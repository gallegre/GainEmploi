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6"/>
  <workbookPr codeName="ThisWorkbook" checkCompatibility="1"/>
  <mc:AlternateContent xmlns:mc="http://schemas.openxmlformats.org/markup-compatibility/2006">
    <mc:Choice Requires="x15">
      <x15ac:absPath xmlns:x15ac="http://schemas.microsoft.com/office/spreadsheetml/2010/11/ac" url="https://d.docs.live.net/FC63792E2F244A79/Documents/GitHub/PB_GainEmploi/"/>
    </mc:Choice>
  </mc:AlternateContent>
  <xr:revisionPtr revIDLastSave="2" documentId="8_{88ADA55B-E4F3-49D2-B497-9395CD85FE86}" xr6:coauthVersionLast="36" xr6:coauthVersionMax="47" xr10:uidLastSave="{13B6D672-5E15-4CC0-A9CE-1531311C0E8E}"/>
  <bookViews>
    <workbookView xWindow="-120" yWindow="-120" windowWidth="29040" windowHeight="15840" firstSheet="4" activeTab="4" xr2:uid="{00000000-000D-0000-FFFF-FFFF00000000}"/>
  </bookViews>
  <sheets>
    <sheet name="Données 2024" sheetId="6" r:id="rId1"/>
    <sheet name="cas types" sheetId="185" r:id="rId2"/>
    <sheet name="Isole" sheetId="186" r:id="rId3"/>
    <sheet name="Cmono_ina" sheetId="187" r:id="rId4"/>
    <sheet name="synthese" sheetId="191" r:id="rId5"/>
  </sheets>
  <definedNames>
    <definedName name="_xlnm._FilterDatabase" localSheetId="4" hidden="1">synthese!$A$1:$U$81</definedName>
    <definedName name="AAH_I0">'Données 2024'!$B$76</definedName>
    <definedName name="AAH_plaf_I0">'Données 2024'!$B$77</definedName>
    <definedName name="AAH_salmin_revact">'Données 2024'!$B$82</definedName>
    <definedName name="AAH_seuil_abat1">'Données 2024'!$B$79</definedName>
    <definedName name="AAH_Sup_enf">'Données 2024'!$B$78</definedName>
    <definedName name="AAH_taux_abat1">'Données 2024'!$B$80</definedName>
    <definedName name="AAH_taux_abat2">'Données 2024'!$B$81</definedName>
    <definedName name="ab">'Données 2024'!$B$57</definedName>
    <definedName name="ab_plaf1_couple_biact_ou_iso_1_enf">'Données 2024'!$F$58</definedName>
    <definedName name="ab_plaf1_couple_biact_ou_iso_2_enf">'Données 2024'!$G$58</definedName>
    <definedName name="ab_plaf1_couple_monact_2_enf">'Données 2024'!$E$58</definedName>
    <definedName name="ab_plaf1_couple_monoact_1_enf">'Données 2024'!$D$58</definedName>
    <definedName name="ab_plaf1_sup_enf">'Données 2024'!$H$58</definedName>
    <definedName name="ab_plaf2_couple_biact_ou_iso_1_enf">'Données 2024'!$F$57</definedName>
    <definedName name="ab_plaf2_couple_biact_ou_iso_2_enf">'Données 2024'!$G$57</definedName>
    <definedName name="ab_plaf2_couple_monact_2_enf">'Données 2024'!$E$57</definedName>
    <definedName name="ab_plaf2_couple_monoact_1_enf">'Données 2024'!$D$57</definedName>
    <definedName name="ab_plaf2_sup_enf">'Données 2024'!$H$57</definedName>
    <definedName name="ab_réduit">'Données 2024'!$B$58</definedName>
    <definedName name="af_1">'Données 2024'!$B$29</definedName>
    <definedName name="af_2">'Données 2024'!$B$30</definedName>
    <definedName name="af_3">'Données 2024'!$B$31</definedName>
    <definedName name="af_4">'Données 2024'!$B$32</definedName>
    <definedName name="af_5">'Données 2024'!$B$33</definedName>
    <definedName name="af_6">'Données 2024'!$B$34</definedName>
    <definedName name="af_forfait">'Données 2024'!$B$37</definedName>
    <definedName name="af_majo_âge">'Données 2024'!$B$36</definedName>
    <definedName name="af_plaf_suppl_enf">'Données 2024'!$F$29</definedName>
    <definedName name="af_plaf1">'Données 2024'!$D$29</definedName>
    <definedName name="af_plaf2">'Données 2024'!$E$29</definedName>
    <definedName name="al_forf_charges_0_pac">'Données 2024'!$G$125</definedName>
    <definedName name="al_forf_charges_1_pac">'Données 2024'!$G$126</definedName>
    <definedName name="al_forf_charges_sup_pac">'Données 2024'!$G$127</definedName>
    <definedName name="al_loy_plaf_1_pac_z1">'Données 2024'!$G$123</definedName>
    <definedName name="al_loy_plaf_1_pac_z2">'Données 2024'!$H$123</definedName>
    <definedName name="al_loy_plaf_1_pac_z3">'Données 2024'!$I$123</definedName>
    <definedName name="al_loy_plaf_c0_z1">'Données 2024'!$G$122</definedName>
    <definedName name="al_loy_plaf_C0_z2">'Données 2024'!$H$122</definedName>
    <definedName name="al_loy_plaf_C0_z3">'Données 2024'!$I$122</definedName>
    <definedName name="al_loy_plaf_I0_z1">'Données 2024'!$G$121</definedName>
    <definedName name="al_loy_plaf_I0_z2">'Données 2024'!$H$121</definedName>
    <definedName name="al_loy_plaf_I0_z3">'Données 2024'!$I$121</definedName>
    <definedName name="al_loy_plaf_sup_pac_z1">'Données 2024'!$G$124</definedName>
    <definedName name="al_loy_plaf_sup_pac_z2">'Données 2024'!$H$124</definedName>
    <definedName name="al_loy_plaf_sup_pac_z3">'Données 2024'!$I$124</definedName>
    <definedName name="al_p0">'Données 2024'!$G$137</definedName>
    <definedName name="al_p0_taux">'Données 2024'!$G$138</definedName>
    <definedName name="al_R0_1pac">'Données 2024'!$H$130</definedName>
    <definedName name="al_R0_2pac">'Données 2024'!$H$131</definedName>
    <definedName name="al_R0_3pac">'Données 2024'!$H$132</definedName>
    <definedName name="al_R0_4pac">'Données 2024'!$H$133</definedName>
    <definedName name="al_R0_5pac">'Données 2024'!$H$134</definedName>
    <definedName name="al_R0_6pac">'Données 2024'!$H$135</definedName>
    <definedName name="al_R0_C0">'Données 2024'!$H$129</definedName>
    <definedName name="al_R0_I0">'Données 2024'!$H$128</definedName>
    <definedName name="al_R0_suppac">'Données 2024'!$H$136</definedName>
    <definedName name="al_reduc">'Données 2024'!$H$149</definedName>
    <definedName name="al_seuil_versement">'Données 2024'!$H$150</definedName>
    <definedName name="al_seuil1_deg_z1">'Données 2024'!$G$147</definedName>
    <definedName name="al_seuil1_deg_z2">'Données 2024'!$H$147</definedName>
    <definedName name="al_seuil1_deg_z3">'Données 2024'!$I$147</definedName>
    <definedName name="al_seuil2_deg_z1">'Données 2024'!$G$148</definedName>
    <definedName name="al_seuil2_deg_z2">'Données 2024'!$H$148</definedName>
    <definedName name="al_seuil2_deg_z3">'Données 2024'!$I$148</definedName>
    <definedName name="al_tf_1pac">'Données 2024'!$G$141</definedName>
    <definedName name="al_tf_2pac">'Données 2024'!$G$142</definedName>
    <definedName name="al_tf_3pac">'Données 2024'!$G$143</definedName>
    <definedName name="al_tf_4pac">'Données 2024'!$G$144</definedName>
    <definedName name="al_tf_C0">'Données 2024'!$G$140</definedName>
    <definedName name="al_tf_I0">'Données 2024'!$G$139</definedName>
    <definedName name="al_tf_suppac">'Données 2024'!$G$145</definedName>
    <definedName name="al_tl_z1">'Données 2024'!$G$146</definedName>
    <definedName name="al_tl_z2">'Données 2024'!$H$146</definedName>
    <definedName name="al_tl_z3">'Données 2024'!$I$146</definedName>
    <definedName name="ancre5" localSheetId="1">'cas types'!#REF!</definedName>
    <definedName name="ancre5" localSheetId="3">Cmono_ina!#REF!</definedName>
    <definedName name="ancre5" localSheetId="2">Isole!#REF!</definedName>
    <definedName name="ars_11_14">'Données 2024'!$B$52</definedName>
    <definedName name="ars_15_18">'Données 2024'!$B$53</definedName>
    <definedName name="ars_6_10">'Données 2024'!$B$51</definedName>
    <definedName name="ars_plaf_1_enf">'Données 2024'!$D$51</definedName>
    <definedName name="ars_plaf_sup_enf">'Données 2024'!$E$51</definedName>
    <definedName name="asf">'Données 2024'!$B$41</definedName>
    <definedName name="ASF_à_déduire_du_RSA">'Données 2024'!$B$42</definedName>
    <definedName name="assiette_csgcrds">'Données 2024'!$F$13</definedName>
    <definedName name="assmat_cout_brut_total">'Données 2024'!$B$206</definedName>
    <definedName name="assmat_nb_heures_par_jour">'Données 2024'!$B$201</definedName>
    <definedName name="assmat_nb_jour">'Données 2024'!$B$200</definedName>
    <definedName name="bcol_montant1">'Données 2024'!$A$242</definedName>
    <definedName name="bcol_montant2">'Données 2024'!$A$243</definedName>
    <definedName name="bcol_montant3">'Données 2024'!$A$244</definedName>
    <definedName name="bcol_seuil1_1enf">'Données 2024'!$B$242</definedName>
    <definedName name="bcol_seuil1_enf_sup">'Données 2024'!$C$242</definedName>
    <definedName name="bcol_seuil2_1enf">'Données 2024'!$B$243</definedName>
    <definedName name="bcol_seuil2_enf_sup">'Données 2024'!$C$243</definedName>
    <definedName name="bcol_seuil3_1enf">'Données 2024'!$B$244</definedName>
    <definedName name="bcol_seuil3_enf_sup">'Données 2024'!$C$244</definedName>
    <definedName name="blyc_1enf_seuil1">'Données 2024'!$B$258</definedName>
    <definedName name="blyc_1enf_seuil2">'Données 2024'!$C$258</definedName>
    <definedName name="blyc_1enf_seuil3">'Données 2024'!$D$258</definedName>
    <definedName name="blyc_1enf_seuil4">'Données 2024'!$E$258</definedName>
    <definedName name="blyc_1enf_seuil5">'Données 2024'!$F$258</definedName>
    <definedName name="blyc_1enf_seuil6">'Données 2024'!$G$258</definedName>
    <definedName name="blyc_2enf_seuil1">'Données 2024'!$B$259</definedName>
    <definedName name="blyc_2enf_seuil2">'Données 2024'!$C$259</definedName>
    <definedName name="blyc_2enf_seuil3">'Données 2024'!$D$259</definedName>
    <definedName name="blyc_2enf_seuil4">'Données 2024'!$E$259</definedName>
    <definedName name="blyc_2enf_seuil5">'Données 2024'!$F$259</definedName>
    <definedName name="blyc_2enf_seuil6">'Données 2024'!$G$259</definedName>
    <definedName name="blyc_3enf_seuil1">'Données 2024'!$B$260</definedName>
    <definedName name="blyc_3enf_seuil2">'Données 2024'!$C$260</definedName>
    <definedName name="blyc_3enf_seuil3">'Données 2024'!$D$260</definedName>
    <definedName name="blyc_3enf_seuil4">'Données 2024'!$E$260</definedName>
    <definedName name="blyc_3enf_seuil5">'Données 2024'!$F$260</definedName>
    <definedName name="blyc_3enf_seuil6">'Données 2024'!$G$260</definedName>
    <definedName name="blyc_4enf_seuil1">'Données 2024'!$B$261</definedName>
    <definedName name="blyc_4enf_seuil2">'Données 2024'!$C$261</definedName>
    <definedName name="blyc_4enf_seuil3">'Données 2024'!$D$261</definedName>
    <definedName name="blyc_4enf_seuil4">'Données 2024'!$E$261</definedName>
    <definedName name="blyc_4enf_seuil5">'Données 2024'!$F$261</definedName>
    <definedName name="blyc_4enf_seuil6">'Données 2024'!$G$261</definedName>
    <definedName name="blyc_5enf_seuil1">'Données 2024'!$B$262</definedName>
    <definedName name="blyc_5enf_seuil2">'Données 2024'!$C$262</definedName>
    <definedName name="blyc_5enf_seuil3">'Données 2024'!$D$262</definedName>
    <definedName name="blyc_5enf_seuil4">'Données 2024'!$E$262</definedName>
    <definedName name="blyc_5enf_seuil5">'Données 2024'!$F$262</definedName>
    <definedName name="blyc_5enf_seuil6">'Données 2024'!$G$262</definedName>
    <definedName name="blyc_6enf_seuil1">'Données 2024'!$B$263</definedName>
    <definedName name="blyc_6enf_seuil2">'Données 2024'!$C$263</definedName>
    <definedName name="blyc_6enf_seuil3">'Données 2024'!$D$263</definedName>
    <definedName name="blyc_6enf_seuil4">'Données 2024'!$E$263</definedName>
    <definedName name="blyc_6enf_seuil5">'Données 2024'!$F$263</definedName>
    <definedName name="blyc_6enf_seuil6">'Données 2024'!$G$263</definedName>
    <definedName name="blyc_montant_ech1">'Données 2024'!$B$250</definedName>
    <definedName name="blyc_montant_ech2">'Données 2024'!$B$251</definedName>
    <definedName name="blyc_montant_ech3">'Données 2024'!$B$252</definedName>
    <definedName name="blyc_montant_ech4">'Données 2024'!$B$253</definedName>
    <definedName name="blyc_montant_ech5">'Données 2024'!$B$254</definedName>
    <definedName name="blyc_montant_ech6">'Données 2024'!$B$255</definedName>
    <definedName name="bmaf">'Données 2024'!$B$26</definedName>
    <definedName name="bs_montant_ech0bis">'Données 2024'!$C$297</definedName>
    <definedName name="bs_montant_ech1">'Données 2024'!$C$298</definedName>
    <definedName name="bs_montant_ech2">'Données 2024'!$C$299</definedName>
    <definedName name="bs_montant_ech3">'Données 2024'!$C$300</definedName>
    <definedName name="bs_montant_ech4">'Données 2024'!$C$301</definedName>
    <definedName name="bs_montant_ech5">'Données 2024'!$C$302</definedName>
    <definedName name="bs_montant_ech6">'Données 2024'!$C$303</definedName>
    <definedName name="bs_montant_ech7">'Données 2024'!$C$304</definedName>
    <definedName name="bs_pc0_seuil1">'Données 2024'!$I$274</definedName>
    <definedName name="bs_pc0_seuil2">'Données 2024'!$H$274</definedName>
    <definedName name="bs_pc0_seuil3">'Données 2024'!$G$276</definedName>
    <definedName name="bs_pc0_seuil4">'Données 2024'!$F$276</definedName>
    <definedName name="bs_pc0_seuil5">'Données 2024'!$E$276</definedName>
    <definedName name="bs_pc0_seuil6">'Données 2024'!$D$276</definedName>
    <definedName name="bs_pc0_seuil7">'Données 2024'!$C$276</definedName>
    <definedName name="bs_pc0_seuil8">'Données 2024'!$B$276</definedName>
    <definedName name="bs_pc1_seuil1">'Données 2024'!$I$275</definedName>
    <definedName name="bs_pc1_seuil2">'Données 2024'!$H$275</definedName>
    <definedName name="bs_pc1_seuil3">'Données 2024'!$G$277</definedName>
    <definedName name="bs_pc1_seuil4">'Données 2024'!$F$277</definedName>
    <definedName name="bs_pc1_seuil5">'Données 2024'!$E$277</definedName>
    <definedName name="bs_pc1_seuil6">'Données 2024'!$D$277</definedName>
    <definedName name="bs_pc1_seuil7">'Données 2024'!$C$277</definedName>
    <definedName name="bs_pc1_seuil8">'Données 2024'!$B$277</definedName>
    <definedName name="bs_pc10_seuil1">'Données 2024'!$I$284</definedName>
    <definedName name="bs_pc10_seuil2">'Données 2024'!$H$284</definedName>
    <definedName name="bs_pc10_seuil3">'Données 2024'!$G$286</definedName>
    <definedName name="bs_pc10_seuil4">'Données 2024'!$F$286</definedName>
    <definedName name="bs_pc10_seuil5">'Données 2024'!$E$286</definedName>
    <definedName name="bs_pc10_seuil6">'Données 2024'!$D$286</definedName>
    <definedName name="bs_pc10_seuil7">'Données 2024'!$C$286</definedName>
    <definedName name="bs_pc10_seuil8">'Données 2024'!$B$286</definedName>
    <definedName name="bs_pc11_seuil1">'Données 2024'!$I$285</definedName>
    <definedName name="bs_pc11_seuil2">'Données 2024'!$H$285</definedName>
    <definedName name="bs_pc11_seuil3">'Données 2024'!$G$287</definedName>
    <definedName name="bs_pc11_seuil4">'Données 2024'!$F$287</definedName>
    <definedName name="bs_pc11_seuil5">'Données 2024'!$E$287</definedName>
    <definedName name="bs_pc11_seuil6">'Données 2024'!$D$287</definedName>
    <definedName name="bs_pc11_seuil7">'Données 2024'!$C$287</definedName>
    <definedName name="bs_pc11_seuil8">'Données 2024'!$B$287</definedName>
    <definedName name="bs_pc12_seuil1">'Données 2024'!$I$286</definedName>
    <definedName name="bs_pc12_seuil2">'Données 2024'!$H$286</definedName>
    <definedName name="bs_pc12_seuil3">'Données 2024'!$G$288</definedName>
    <definedName name="bs_pc12_seuil4">'Données 2024'!$F$288</definedName>
    <definedName name="bs_pc12_seuil5">'Données 2024'!$E$288</definedName>
    <definedName name="bs_pc12_seuil6">'Données 2024'!$D$288</definedName>
    <definedName name="bs_pc12_seuil7">'Données 2024'!$C$288</definedName>
    <definedName name="bs_pc12_seuil8">'Données 2024'!$B$288</definedName>
    <definedName name="bs_pc13_seuil1">'Données 2024'!$I$287</definedName>
    <definedName name="bs_pc13_seuil2">'Données 2024'!$H$287</definedName>
    <definedName name="bs_pc13_seuil3">'Données 2024'!$G$289</definedName>
    <definedName name="bs_pc13_seuil4">'Données 2024'!$F$289</definedName>
    <definedName name="bs_pc13_seuil5">'Données 2024'!$E$289</definedName>
    <definedName name="bs_pc13_seuil6">'Données 2024'!$D$289</definedName>
    <definedName name="bs_pc13_seuil7">'Données 2024'!$C$289</definedName>
    <definedName name="bs_pc13_seuil8">'Données 2024'!$B$289</definedName>
    <definedName name="bs_pc14_seuil1">'Données 2024'!$I$288</definedName>
    <definedName name="bs_pc14_seuil2">'Données 2024'!$H$288</definedName>
    <definedName name="bs_pc14_seuil3">'Données 2024'!$G$290</definedName>
    <definedName name="bs_pc14_seuil4">'Données 2024'!$F$290</definedName>
    <definedName name="bs_pc14_seuil5">'Données 2024'!$E$290</definedName>
    <definedName name="bs_pc14_seuil6">'Données 2024'!$D$290</definedName>
    <definedName name="bs_pc14_seuil7">'Données 2024'!$C$290</definedName>
    <definedName name="bs_pc14_seuil8">'Données 2024'!$B$290</definedName>
    <definedName name="bs_pc15_seuil1">'Données 2024'!$I$289</definedName>
    <definedName name="bs_pc15_seuil2">'Données 2024'!$H$289</definedName>
    <definedName name="bs_pc15_seuil3">'Données 2024'!$G$291</definedName>
    <definedName name="bs_pc15_seuil4">'Données 2024'!$F$291</definedName>
    <definedName name="bs_pc15_seuil5">'Données 2024'!$E$291</definedName>
    <definedName name="bs_pc15_seuil6">'Données 2024'!$D$291</definedName>
    <definedName name="bs_pc15_seuil7">'Données 2024'!$C$291</definedName>
    <definedName name="bs_pc15_seuil8">'Données 2024'!$B$291</definedName>
    <definedName name="bs_pc16_seuil1">'Données 2024'!$I$290</definedName>
    <definedName name="bs_pc16_seuil2">'Données 2024'!$H$290</definedName>
    <definedName name="bs_pc16_seuil3">'Données 2024'!$G$292</definedName>
    <definedName name="bs_pc16_seuil4">'Données 2024'!$F$292</definedName>
    <definedName name="bs_pc16_seuil5">'Données 2024'!$E$292</definedName>
    <definedName name="bs_pc16_seuil6">'Données 2024'!$D$292</definedName>
    <definedName name="bs_pc16_seuil7">'Données 2024'!$C$292</definedName>
    <definedName name="bs_pc16_seuil8">'Données 2024'!$B$292</definedName>
    <definedName name="bs_pc17_seuil1">'Données 2024'!$I$291</definedName>
    <definedName name="bs_pc17_seuil2">'Données 2024'!$H$291</definedName>
    <definedName name="bs_pc17_seuil3">'Données 2024'!$G$293</definedName>
    <definedName name="bs_pc17_seuil4">'Données 2024'!$F$293</definedName>
    <definedName name="bs_pc17_seuil5">'Données 2024'!$E$293</definedName>
    <definedName name="bs_pc17_seuil6">'Données 2024'!$D$293</definedName>
    <definedName name="bs_pc17_seuil7">'Données 2024'!$C$293</definedName>
    <definedName name="bs_pc17_seuil8">'Données 2024'!$B$293</definedName>
    <definedName name="bs_pc2_seuil1">'Données 2024'!$I$276</definedName>
    <definedName name="bs_pc2_seuil2">'Données 2024'!$H$276</definedName>
    <definedName name="bs_pc2_seuil3">'Données 2024'!$G$278</definedName>
    <definedName name="bs_pc2_seuil4">'Données 2024'!$F$278</definedName>
    <definedName name="bs_pc2_seuil5">'Données 2024'!$E$278</definedName>
    <definedName name="bs_pc2_seuil6">'Données 2024'!$D$278</definedName>
    <definedName name="bs_pc2_seuil7">'Données 2024'!$C$278</definedName>
    <definedName name="bs_pc2_seuil8">'Données 2024'!$B$278</definedName>
    <definedName name="bs_pc3_seuil1">'Données 2024'!$I$277</definedName>
    <definedName name="bs_pc3_seuil2">'Données 2024'!$H$277</definedName>
    <definedName name="bs_pc3_seuil3">'Données 2024'!$G$279</definedName>
    <definedName name="bs_pc3_seuil4">'Données 2024'!$F$279</definedName>
    <definedName name="bs_pc3_seuil5">'Données 2024'!$E$279</definedName>
    <definedName name="bs_pc3_seuil6">'Données 2024'!$D$279</definedName>
    <definedName name="bs_pc3_seuil7">'Données 2024'!$C$279</definedName>
    <definedName name="bs_pc3_seuil8">'Données 2024'!$B$279</definedName>
    <definedName name="bs_pc4_seuil1">'Données 2024'!$I$278</definedName>
    <definedName name="bs_pc4_seuil2">'Données 2024'!$H$278</definedName>
    <definedName name="bs_pc4_seuil3">'Données 2024'!$G$280</definedName>
    <definedName name="bs_pc4_seuil4">'Données 2024'!$F$280</definedName>
    <definedName name="bs_pc4_seuil5">'Données 2024'!$E$280</definedName>
    <definedName name="bs_pc4_seuil6">'Données 2024'!$D$280</definedName>
    <definedName name="bs_pc4_seuil7">'Données 2024'!$C$280</definedName>
    <definedName name="bs_pc4_seuil8">'Données 2024'!$B$280</definedName>
    <definedName name="bs_pc5_seuil1">'Données 2024'!$I$279</definedName>
    <definedName name="bs_pc5_seuil2">'Données 2024'!$H$279</definedName>
    <definedName name="bs_pc5_seuil3">'Données 2024'!$G$281</definedName>
    <definedName name="bs_pc5_seuil4">'Données 2024'!$F$281</definedName>
    <definedName name="bs_pc5_seuil5">'Données 2024'!$E$281</definedName>
    <definedName name="bs_pc5_seuil6">'Données 2024'!$D$281</definedName>
    <definedName name="bs_pc5_seuil7">'Données 2024'!$C$281</definedName>
    <definedName name="bs_pc5_seuil8">'Données 2024'!$B$281</definedName>
    <definedName name="bs_pc6_seuil1">'Données 2024'!$I$280</definedName>
    <definedName name="bs_pc6_seuil2">'Données 2024'!$H$280</definedName>
    <definedName name="bs_pc6_seuil3">'Données 2024'!$G$282</definedName>
    <definedName name="bs_pc6_seuil4">'Données 2024'!$F$282</definedName>
    <definedName name="bs_pc6_seuil5">'Données 2024'!$E$282</definedName>
    <definedName name="bs_pc6_seuil6">'Données 2024'!$D$282</definedName>
    <definedName name="bs_pc6_seuil7">'Données 2024'!$C$282</definedName>
    <definedName name="bs_pc6_seuil8">'Données 2024'!$B$282</definedName>
    <definedName name="bs_pc7_seuil1">'Données 2024'!$I$281</definedName>
    <definedName name="bs_pc7_seuil2">'Données 2024'!$H$281</definedName>
    <definedName name="bs_pc7_seuil3">'Données 2024'!$G$283</definedName>
    <definedName name="bs_pc7_seuil4">'Données 2024'!$F$283</definedName>
    <definedName name="bs_pc7_seuil5">'Données 2024'!$E$283</definedName>
    <definedName name="bs_pc7_seuil6">'Données 2024'!$D$283</definedName>
    <definedName name="bs_pc7_seuil7">'Données 2024'!$C$283</definedName>
    <definedName name="bs_pc7_seuil8">'Données 2024'!$B$283</definedName>
    <definedName name="bs_pc8_seuil1">'Données 2024'!$I$282</definedName>
    <definedName name="bs_pc8_seuil2">'Données 2024'!$H$282</definedName>
    <definedName name="bs_pc8_seuil3">'Données 2024'!$G$284</definedName>
    <definedName name="bs_pc8_seuil4">'Données 2024'!$F$284</definedName>
    <definedName name="bs_pc8_seuil5">'Données 2024'!$E$284</definedName>
    <definedName name="bs_pc8_seuil6">'Données 2024'!$D$284</definedName>
    <definedName name="bs_pc8_seuil7">'Données 2024'!$C$284</definedName>
    <definedName name="bs_pc8_seuil8">'Données 2024'!$B$284</definedName>
    <definedName name="bs_pc9_seuil1">'Données 2024'!$I$283</definedName>
    <definedName name="bs_pc9_seuil2">'Données 2024'!$H$283</definedName>
    <definedName name="bs_pc9_seuil3">'Données 2024'!$G$285</definedName>
    <definedName name="bs_pc9_seuil4">'Données 2024'!$F$285</definedName>
    <definedName name="bs_pc9_seuil5">'Données 2024'!$E$285</definedName>
    <definedName name="bs_pc9_seuil6">'Données 2024'!$D$285</definedName>
    <definedName name="bs_pc9_seuil7">'Données 2024'!$C$285</definedName>
    <definedName name="bs_pc9_seuil8">'Données 2024'!$B$285</definedName>
    <definedName name="ceee_abat">'Données 2024'!$C$329</definedName>
    <definedName name="ceee_inter_coef">'Données 2024'!$H$358</definedName>
    <definedName name="ceee_inter_seuil1">'Données 2024'!$H$355</definedName>
    <definedName name="ceee_inter_seuil2">'Données 2024'!$H$356</definedName>
    <definedName name="ceee_taux_1enf">'Données 2024'!$C$333</definedName>
    <definedName name="ceee_taux_1enf_ga">'Données 2024'!$E$333</definedName>
    <definedName name="ceee_taux_2enf">'Données 2024'!$C$334</definedName>
    <definedName name="ceee_taux_2enf_ga">'Données 2024'!$E$334</definedName>
    <definedName name="ceee_taux_3enf">'Données 2024'!$C$335</definedName>
    <definedName name="ceee_taux_3enf_ga">'Données 2024'!$E$335</definedName>
    <definedName name="ceee_taux_4enf">'Données 2024'!$C$336</definedName>
    <definedName name="ceee_taux_4enf_ga">'Données 2024'!$E$336</definedName>
    <definedName name="ceee_taux_5enf">'Données 2024'!$C$337</definedName>
    <definedName name="ceee_taux_5enf_ga">'Données 2024'!$E$337</definedName>
    <definedName name="ceee_taux_6enf">'Données 2024'!$C$338</definedName>
    <definedName name="ceee_taux_6enf_ga">'Données 2024'!$E$338</definedName>
    <definedName name="ceeeb_reste_à_vivre">'Données 2024'!$C$343</definedName>
    <definedName name="ceeeb_taux_1enf">'Données 2024'!$C$347</definedName>
    <definedName name="ceeeb_taux_1enf_ga">'Données 2024'!$E$347</definedName>
    <definedName name="ceeeb_taux_2enf">'Données 2024'!$C$348</definedName>
    <definedName name="ceeeb_taux_2enf_ga">'Données 2024'!$E$348</definedName>
    <definedName name="ceeeb_taux_3enf">'Données 2024'!$C$349</definedName>
    <definedName name="ceeeb_taux_3enf_ga">'Données 2024'!$E$349</definedName>
    <definedName name="ceeeb_taux_4enf">'Données 2024'!$C$350</definedName>
    <definedName name="ceeeb_taux_4enf_ga">'Données 2024'!$E$350</definedName>
    <definedName name="ceeeb_taux_5enf">'Données 2024'!$C$351</definedName>
    <definedName name="ceeeb_taux_5enf_ga">'Données 2024'!$E$351</definedName>
    <definedName name="ceeeb_taux_6enf">'Données 2024'!$C$352</definedName>
    <definedName name="ceeeb_taux_6enf_ga">'Données 2024'!$E$352</definedName>
    <definedName name="cf_base">'Données 2024'!$B$46</definedName>
    <definedName name="cf_majoration">'Données 2024'!$B$47</definedName>
    <definedName name="cf_plaf1_couple_biact_ou_iso_3_enf">'Données 2024'!$E$47</definedName>
    <definedName name="cf_plaf1_couple_monoact_3_enf">'Données 2024'!$D$47</definedName>
    <definedName name="cf_plaf1_sup_enf">'Données 2024'!$F$47</definedName>
    <definedName name="cf_plaf2_couple_biact_ou_iso_3_enf">'Données 2024'!$E$46</definedName>
    <definedName name="cf_plaf2_couple_monoact_3_enf">'Données 2024'!$D$46</definedName>
    <definedName name="cf_plaf2_sup_enf">'Données 2024'!$F$46</definedName>
    <definedName name="cf_seuil_act">'Données 2024'!$G$46</definedName>
    <definedName name="clca_tp">'Données 2024'!$B$62</definedName>
    <definedName name="clca_tr_1">'Données 2024'!$B$63</definedName>
    <definedName name="clca_tr_2">'Données 2024'!$B$64</definedName>
    <definedName name="cmg_cotis_assmat">'Données 2024'!$B$205</definedName>
    <definedName name="cmg_cotis_gdom">'Données 2024'!$B$215</definedName>
    <definedName name="cmg_cout_net_assmat">'Données 2024'!$B$203</definedName>
    <definedName name="cmg_cout_net_gdom">'Données 2024'!$B$213</definedName>
    <definedName name="cmg_inter">'Données 2024'!$B$69</definedName>
    <definedName name="cmg_majo_iso">'Données 2024'!$B$73</definedName>
    <definedName name="cmg_majo_plaf_isolé">'Données 2024'!$H$68</definedName>
    <definedName name="cmg_max">'Données 2024'!$B$68</definedName>
    <definedName name="cmg_max_pccs_gdom">'Données 2024'!$B$72</definedName>
    <definedName name="cmg_min">'Données 2024'!$B$70</definedName>
    <definedName name="cmg_part_max_pcsn">'Données 2024'!$B$71</definedName>
    <definedName name="cmg_plaf_1_pct_plaf_inter">'Données 2024'!$G$68</definedName>
    <definedName name="cmg_plaf_inter_1_enf">'Données 2024'!$D$68</definedName>
    <definedName name="cmg_plaf_inter_2_enf">'Données 2024'!$E$68</definedName>
    <definedName name="cmg_plaf_inter_sup_enf">'Données 2024'!$F$68</definedName>
    <definedName name="Coef_impot">'Données 2024'!$B$17</definedName>
    <definedName name="Coef_n">'Données 2024'!$B$18</definedName>
    <definedName name="Coef_n_1">'Données 2024'!$B$17</definedName>
    <definedName name="Coef_n_2">'Données 2024'!$B$16</definedName>
    <definedName name="crds">'Données 2024'!$F$18</definedName>
    <definedName name="creche_coef_1_enf">'Données 2024'!$C$221</definedName>
    <definedName name="creche_coef_2_enf">'Données 2024'!$C$222</definedName>
    <definedName name="creche_coef_3_enf">'Données 2024'!$C$223</definedName>
    <definedName name="creche_coef_4_enf">'Données 2024'!$C$224</definedName>
    <definedName name="creche_plafond_ressources">'Données 2024'!$B$230</definedName>
    <definedName name="creche_plancher_ressource">'Données 2024'!$B$229</definedName>
    <definedName name="evol_ipc_n_1_n">'Données 2024'!$B$9</definedName>
    <definedName name="evol_ipc_n_2_n">'Données 2024'!$B$10</definedName>
    <definedName name="evol_smic">'Données 2024'!$B$4</definedName>
    <definedName name="évol_smic_21_12">'Données 2024'!$D$6</definedName>
    <definedName name="evol_smic_n_moins_1_n">'Données 2024'!$B$13</definedName>
    <definedName name="evol_smic_n_moins_2_n">'Données 2024'!$B$14</definedName>
    <definedName name="evol_smic_n_moins_2_n_moins_1">'Données 2024'!$B$15</definedName>
    <definedName name="gdom_cout_brut_total">'Données 2024'!$B$216</definedName>
    <definedName name="IPC2020_2020">'Données 2024'!$E$9</definedName>
    <definedName name="irpp_cout_net_assmat">'Données 2024'!$B$204</definedName>
    <definedName name="irpp_max_avqf_couple">'Données 2024'!$G$178</definedName>
    <definedName name="irpp_max_avqf_iso">'Données 2024'!$G$177</definedName>
    <definedName name="irpp_max_fg_assmat">'Données 2024'!$G$186</definedName>
    <definedName name="irpp_max_fg_gdom">'Données 2024'!$G$190</definedName>
    <definedName name="irpp_max_reduc_fp">'Données 2024'!$G$172</definedName>
    <definedName name="irpp_max_reduc_pens">'Données 2024'!$G$175</definedName>
    <definedName name="irpp_min_reduc_fp">'Données 2024'!$G$173</definedName>
    <definedName name="irpp_min_reduc_pens">'Données 2024'!$G$176</definedName>
    <definedName name="irpp_part_fg_assmat">'Données 2024'!$G$185</definedName>
    <definedName name="irpp_part_fg_gdom">'Données 2024'!$G$187</definedName>
    <definedName name="irpp_plaf_decote">'Données 2024'!$G$180</definedName>
    <definedName name="irpp_plaf_decote_couple">'Données 2024'!$G$181</definedName>
    <definedName name="irpp_reduc_coll">'Données 2024'!$G$182</definedName>
    <definedName name="irpp_reduc_es">'Données 2024'!$G$184</definedName>
    <definedName name="irpp_reduc_lyc">'Données 2024'!$G$183</definedName>
    <definedName name="irpp_reduc1">'Données 2024'!$G$163</definedName>
    <definedName name="irpp_reduc2">'Données 2024'!$G$164</definedName>
    <definedName name="irpp_reduc3">'Données 2024'!$G$165</definedName>
    <definedName name="irpp_reduc4">'Données 2024'!$G$166</definedName>
    <definedName name="irpp_seuil1">'Données 2024'!$G$155</definedName>
    <definedName name="irpp_seuil1_cont_excep">'Données 2024'!$G$167</definedName>
    <definedName name="irpp_seuil1_fg_gdom">'Données 2024'!$G$188</definedName>
    <definedName name="irpp_seuil2">'Données 2024'!$G$156</definedName>
    <definedName name="irpp_seuil2_cont_excep">'Données 2024'!$G$168</definedName>
    <definedName name="irpp_seuil3">'Données 2024'!$G$157</definedName>
    <definedName name="irpp_seuil4">'Données 2024'!$G$158</definedName>
    <definedName name="irpp_supp_enf_seuil_fg_gdom">'Données 2024'!$G$189</definedName>
    <definedName name="irpp_taux_decote">'Données 2024'!$G$179</definedName>
    <definedName name="irpp_taux_reduc_fp">'Données 2024'!$G$171</definedName>
    <definedName name="irpp_taux_reduc_pens">'Données 2024'!$G$174</definedName>
    <definedName name="irpp_taux1">'Données 2024'!$G$159</definedName>
    <definedName name="irpp_taux1_cont_excep">'Données 2024'!$G$169</definedName>
    <definedName name="irpp_taux2">'Données 2024'!$G$160</definedName>
    <definedName name="irpp_taux2_cont_excep">'Données 2024'!$G$170</definedName>
    <definedName name="irpp_taux3">'Données 2024'!$G$161</definedName>
    <definedName name="irpp_taux4">'Données 2024'!$G$162</definedName>
    <definedName name="pa_coeff_calcul_bonus">'Données 2024'!$B$116</definedName>
    <definedName name="pa_fl1">'Données 2024'!$B$101</definedName>
    <definedName name="pa_fl2">'Données 2024'!$B$102</definedName>
    <definedName name="pa_fl3">'Données 2024'!$B$103</definedName>
    <definedName name="pa_forf_c0">'Données 2024'!$C$106</definedName>
    <definedName name="pa_forf_c1">'Données 2024'!$C$107</definedName>
    <definedName name="pa_forf_c2">'Données 2024'!$C$108</definedName>
    <definedName name="pa_forf_I0">'Données 2024'!$B$106</definedName>
    <definedName name="pa_forf_I1">'Données 2024'!$B$107</definedName>
    <definedName name="pa_forf_I2">'Données 2024'!$B$108</definedName>
    <definedName name="pa_forfm_I0">'Données 2024'!$D$106</definedName>
    <definedName name="pa_forfm_I1">'Données 2024'!$D$107</definedName>
    <definedName name="pa_forfm_I2">'Données 2024'!$D$108</definedName>
    <definedName name="pa_forfm_supenf">'Données 2024'!$D$109</definedName>
    <definedName name="pa_max_BPA">'Données 2024'!$B$115</definedName>
    <definedName name="pa_seuil_versement">'Données 2024'!$B$117</definedName>
    <definedName name="pa_seuil1_BPA">'Données 2024'!$B$113</definedName>
    <definedName name="pa_seuil2_BPA">'Données 2024'!$B$114</definedName>
    <definedName name="pa_sup_enf">'Données 2024'!$B$109</definedName>
    <definedName name="pa_taux_rev_act">'Données 2024'!$B$110</definedName>
    <definedName name="pl_ss_n">'Données 2024'!$B$20</definedName>
    <definedName name="pl_ss_n_1">'Données 2024'!$B$21</definedName>
    <definedName name="pl_ss_n_2">'Données 2024'!$B$22</definedName>
    <definedName name="rsa_C0">'Données 2024'!$C$93</definedName>
    <definedName name="rsa_C1">'Données 2024'!$C$94</definedName>
    <definedName name="rsa_C2">'Données 2024'!$C$95</definedName>
    <definedName name="rsa_fl_1">'Données 2024'!$B$87</definedName>
    <definedName name="rsa_fl_2">'Données 2024'!$B$88</definedName>
    <definedName name="rsa_fl_3">'Données 2024'!$B$89</definedName>
    <definedName name="rsa_I0">'Données 2024'!$B$93</definedName>
    <definedName name="rsa_I1">'Données 2024'!$B$94</definedName>
    <definedName name="rsa_I2">'Données 2024'!$B$95</definedName>
    <definedName name="rsa_seuil_versement">'Données 2024'!$B$98</definedName>
    <definedName name="rsa_sup_enf">'Données 2024'!$B$96</definedName>
    <definedName name="rsam_I0">'Données 2024'!$D$93</definedName>
    <definedName name="rsam_I1">'Données 2024'!$D$94</definedName>
    <definedName name="rsam_I2">'Données 2024'!$D$95</definedName>
    <definedName name="rsam_sup_enf">'Données 2024'!$D$96</definedName>
    <definedName name="seuilpm">'Données 2024'!$F$22</definedName>
    <definedName name="smic">'Données 2024'!$B$3</definedName>
    <definedName name="smic_2012">'Données 2024'!$D$5</definedName>
    <definedName name="smic_aout">'Données 2024'!$C$4</definedName>
    <definedName name="smic_h">'Données 2024'!$B$5</definedName>
    <definedName name="smicb_h">'Données 2024'!$B$6</definedName>
    <definedName name="taux_CRDS">'Données 2024'!$F$18</definedName>
    <definedName name="taux_pat">'Données 2024'!$F$196</definedName>
    <definedName name="taux_sal">'Données 2024'!$E$196</definedName>
    <definedName name="tx_cotsal">'Données 2024'!$F$16</definedName>
    <definedName name="tx_cotsal2">'Données 2024'!$F$17</definedName>
    <definedName name="tx_csgded">'Données 2024'!$F$14</definedName>
    <definedName name="tx_csgimp">'Données 2024'!$F$15</definedName>
    <definedName name="uc_ado">'Données 2024'!$B$357</definedName>
    <definedName name="uc_ado_iso">'Données 2024'!$C$357</definedName>
    <definedName name="uc_ado_iso50">'Données 2024'!$D$357</definedName>
    <definedName name="uc_ado_pg">'Données 2024'!$C$360</definedName>
    <definedName name="uc_ado_png">'Données 2024'!$C$362</definedName>
    <definedName name="uc_enf">'Données 2024'!$B$356</definedName>
    <definedName name="uc_enf_iso">'Données 2024'!$C$356</definedName>
    <definedName name="uc_enf_iso50">'Données 2024'!$D$356</definedName>
    <definedName name="uc_enf_pg">'Données 2024'!$C$359</definedName>
    <definedName name="uc_enf_png">'Données 2024'!$C$361</definedName>
  </definedNames>
  <calcPr calcId="191029"/>
</workbook>
</file>

<file path=xl/calcChain.xml><?xml version="1.0" encoding="utf-8"?>
<calcChain xmlns="http://schemas.openxmlformats.org/spreadsheetml/2006/main">
  <c r="T3" i="191" l="1"/>
  <c r="T4" i="191"/>
  <c r="T5" i="191"/>
  <c r="T6" i="191"/>
  <c r="T7" i="191"/>
  <c r="T8" i="191"/>
  <c r="T9" i="191"/>
  <c r="T10" i="191"/>
  <c r="T11" i="191"/>
  <c r="T12" i="191"/>
  <c r="T13" i="191"/>
  <c r="T14" i="191"/>
  <c r="T15" i="191"/>
  <c r="T16" i="191"/>
  <c r="T17" i="191"/>
  <c r="T18" i="191"/>
  <c r="T19" i="191"/>
  <c r="T20" i="191"/>
  <c r="T21" i="191"/>
  <c r="T22" i="191"/>
  <c r="T23" i="191"/>
  <c r="T24" i="191"/>
  <c r="T25" i="191"/>
  <c r="T26" i="191"/>
  <c r="T27" i="191"/>
  <c r="T28" i="191"/>
  <c r="T29" i="191"/>
  <c r="T30" i="191"/>
  <c r="T31" i="191"/>
  <c r="T32" i="191"/>
  <c r="T33" i="191"/>
  <c r="T34" i="191"/>
  <c r="T35" i="191"/>
  <c r="T36" i="191"/>
  <c r="T37" i="191"/>
  <c r="T38" i="191"/>
  <c r="T39" i="191"/>
  <c r="T40" i="191"/>
  <c r="T41" i="191"/>
  <c r="T42" i="191"/>
  <c r="T43" i="191"/>
  <c r="T44" i="191"/>
  <c r="T45" i="191"/>
  <c r="T46" i="191"/>
  <c r="T47" i="191"/>
  <c r="T48" i="191"/>
  <c r="T49" i="191"/>
  <c r="T50" i="191"/>
  <c r="T51" i="191"/>
  <c r="T52" i="191"/>
  <c r="T53" i="191"/>
  <c r="T54" i="191"/>
  <c r="T55" i="191"/>
  <c r="T56" i="191"/>
  <c r="T57" i="191"/>
  <c r="T58" i="191"/>
  <c r="T59" i="191"/>
  <c r="T60" i="191"/>
  <c r="T61" i="191"/>
  <c r="T62" i="191"/>
  <c r="T63" i="191"/>
  <c r="T64" i="191"/>
  <c r="T65" i="191"/>
  <c r="T66" i="191"/>
  <c r="T67" i="191"/>
  <c r="T68" i="191"/>
  <c r="T69" i="191"/>
  <c r="T70" i="191"/>
  <c r="T71" i="191"/>
  <c r="T72" i="191"/>
  <c r="T73" i="191"/>
  <c r="T74" i="191"/>
  <c r="T75" i="191"/>
  <c r="T76" i="191"/>
  <c r="T77" i="191"/>
  <c r="T78" i="191"/>
  <c r="T79" i="191"/>
  <c r="T80" i="191"/>
  <c r="T81" i="191"/>
  <c r="T2" i="191"/>
  <c r="S81" i="191" l="1"/>
  <c r="S80" i="191"/>
  <c r="S79" i="191"/>
  <c r="S77" i="191"/>
  <c r="S76" i="191"/>
  <c r="S75" i="191"/>
  <c r="S73" i="191"/>
  <c r="S72" i="191"/>
  <c r="S71" i="191"/>
  <c r="S69" i="191"/>
  <c r="S68" i="191"/>
  <c r="S67" i="191"/>
  <c r="S65" i="191"/>
  <c r="S64" i="191"/>
  <c r="S63" i="191"/>
  <c r="S61" i="191"/>
  <c r="S60" i="191"/>
  <c r="S59" i="191"/>
  <c r="S57" i="191"/>
  <c r="S56" i="191"/>
  <c r="S55" i="191"/>
  <c r="S53" i="191"/>
  <c r="S52" i="191"/>
  <c r="S51" i="191"/>
  <c r="S49" i="191"/>
  <c r="S48" i="191"/>
  <c r="S47" i="191"/>
  <c r="S45" i="191"/>
  <c r="S44" i="191"/>
  <c r="S43" i="191"/>
  <c r="S41" i="191"/>
  <c r="S40" i="191"/>
  <c r="S39" i="191"/>
  <c r="S37" i="191"/>
  <c r="S36" i="191"/>
  <c r="S35" i="191"/>
  <c r="S33" i="191"/>
  <c r="S32" i="191"/>
  <c r="S31" i="191"/>
  <c r="S29" i="191"/>
  <c r="S28" i="191"/>
  <c r="S27" i="191"/>
  <c r="S25" i="191"/>
  <c r="S24" i="191"/>
  <c r="S23" i="191"/>
  <c r="S21" i="191"/>
  <c r="S20" i="191"/>
  <c r="S19" i="191"/>
  <c r="S17" i="191"/>
  <c r="S16" i="191"/>
  <c r="S15" i="191"/>
  <c r="S13" i="191"/>
  <c r="S12" i="191"/>
  <c r="S11" i="191"/>
  <c r="S9" i="191"/>
  <c r="S8" i="191"/>
  <c r="S7" i="191"/>
  <c r="S5" i="191"/>
  <c r="S4" i="191"/>
  <c r="S3" i="191"/>
  <c r="U234" i="187" l="1"/>
  <c r="T234" i="187"/>
  <c r="S234" i="187"/>
  <c r="R234" i="187"/>
  <c r="U234" i="186"/>
  <c r="T234" i="186"/>
  <c r="S234" i="186"/>
  <c r="R234" i="186"/>
  <c r="P234" i="187"/>
  <c r="O234" i="187"/>
  <c r="N234" i="187"/>
  <c r="M234" i="187"/>
  <c r="P234" i="186"/>
  <c r="O234" i="186"/>
  <c r="N234" i="186"/>
  <c r="M234" i="186"/>
  <c r="K234" i="187"/>
  <c r="J234" i="187"/>
  <c r="I234" i="187"/>
  <c r="H234" i="187"/>
  <c r="K234" i="186"/>
  <c r="J234" i="186"/>
  <c r="I234" i="186"/>
  <c r="H234" i="186"/>
  <c r="D234" i="187"/>
  <c r="E234" i="187"/>
  <c r="F234" i="187"/>
  <c r="D234" i="186"/>
  <c r="E234" i="186"/>
  <c r="F234" i="186"/>
  <c r="C234" i="187"/>
  <c r="C234" i="186"/>
  <c r="T203" i="187" l="1"/>
  <c r="U194" i="187"/>
  <c r="T194" i="187"/>
  <c r="S194" i="187"/>
  <c r="R194" i="187"/>
  <c r="U192" i="187"/>
  <c r="T192" i="187"/>
  <c r="S192" i="187"/>
  <c r="R192" i="187"/>
  <c r="U190" i="187"/>
  <c r="T190" i="187"/>
  <c r="S190" i="187"/>
  <c r="R190" i="187"/>
  <c r="U189" i="187"/>
  <c r="U188" i="187" s="1"/>
  <c r="T189" i="187"/>
  <c r="T188" i="187" s="1"/>
  <c r="S189" i="187"/>
  <c r="S188" i="187" s="1"/>
  <c r="R189" i="187"/>
  <c r="R188" i="187" s="1"/>
  <c r="U114" i="187"/>
  <c r="U115" i="187" s="1"/>
  <c r="T114" i="187"/>
  <c r="T115" i="187" s="1"/>
  <c r="T116" i="187" s="1"/>
  <c r="S114" i="187"/>
  <c r="S115" i="187" s="1"/>
  <c r="R114" i="187"/>
  <c r="R115" i="187" s="1"/>
  <c r="U113" i="187"/>
  <c r="T113" i="187"/>
  <c r="S113" i="187"/>
  <c r="R113" i="187"/>
  <c r="U109" i="187"/>
  <c r="U110" i="187" s="1"/>
  <c r="T109" i="187"/>
  <c r="T110" i="187" s="1"/>
  <c r="S109" i="187"/>
  <c r="S110" i="187" s="1"/>
  <c r="R109" i="187"/>
  <c r="R110" i="187" s="1"/>
  <c r="U108" i="187"/>
  <c r="T108" i="187"/>
  <c r="S108" i="187"/>
  <c r="R108" i="187"/>
  <c r="U104" i="187"/>
  <c r="T104" i="187"/>
  <c r="S104" i="187"/>
  <c r="R104" i="187"/>
  <c r="U103" i="187"/>
  <c r="T103" i="187"/>
  <c r="S103" i="187"/>
  <c r="R103" i="187"/>
  <c r="U102" i="187"/>
  <c r="T102" i="187"/>
  <c r="S102" i="187"/>
  <c r="R102" i="187"/>
  <c r="U101" i="187"/>
  <c r="T101" i="187"/>
  <c r="S101" i="187"/>
  <c r="R101" i="187"/>
  <c r="U100" i="187"/>
  <c r="U150" i="187" s="1"/>
  <c r="T100" i="187"/>
  <c r="T150" i="187" s="1"/>
  <c r="S100" i="187"/>
  <c r="S150" i="187" s="1"/>
  <c r="R100" i="187"/>
  <c r="R150" i="187" s="1"/>
  <c r="U99" i="187"/>
  <c r="T99" i="187"/>
  <c r="S99" i="187"/>
  <c r="S211" i="187" s="1"/>
  <c r="R99" i="187"/>
  <c r="U98" i="187"/>
  <c r="U177" i="187" s="1"/>
  <c r="T98" i="187"/>
  <c r="T177" i="187" s="1"/>
  <c r="S98" i="187"/>
  <c r="S177" i="187" s="1"/>
  <c r="R98" i="187"/>
  <c r="R177" i="187" s="1"/>
  <c r="U97" i="187"/>
  <c r="T97" i="187"/>
  <c r="S97" i="187"/>
  <c r="S263" i="187" s="1"/>
  <c r="R97" i="187"/>
  <c r="R56" i="187"/>
  <c r="R42" i="187"/>
  <c r="U41" i="187"/>
  <c r="T41" i="187"/>
  <c r="S41" i="187"/>
  <c r="R41" i="187"/>
  <c r="R40" i="187"/>
  <c r="U38" i="187"/>
  <c r="T38" i="187"/>
  <c r="S38" i="187"/>
  <c r="U14" i="187"/>
  <c r="U52" i="187" s="1"/>
  <c r="T14" i="187"/>
  <c r="T52" i="187" s="1"/>
  <c r="S14" i="187"/>
  <c r="S52" i="187" s="1"/>
  <c r="R14" i="187"/>
  <c r="R52" i="187" s="1"/>
  <c r="U10" i="187"/>
  <c r="U96" i="187" s="1"/>
  <c r="U232" i="187" s="1"/>
  <c r="T10" i="187"/>
  <c r="T96" i="187" s="1"/>
  <c r="T232" i="187" s="1"/>
  <c r="S10" i="187"/>
  <c r="S96" i="187" s="1"/>
  <c r="S232" i="187" s="1"/>
  <c r="R10" i="187"/>
  <c r="R96" i="187" s="1"/>
  <c r="R232" i="187" s="1"/>
  <c r="T211" i="186"/>
  <c r="U194" i="186"/>
  <c r="T194" i="186"/>
  <c r="S194" i="186"/>
  <c r="R194" i="186"/>
  <c r="U192" i="186"/>
  <c r="T192" i="186"/>
  <c r="S192" i="186"/>
  <c r="R192" i="186"/>
  <c r="U190" i="186"/>
  <c r="T190" i="186"/>
  <c r="S190" i="186"/>
  <c r="R190" i="186"/>
  <c r="U189" i="186"/>
  <c r="U188" i="186" s="1"/>
  <c r="T189" i="186"/>
  <c r="T188" i="186" s="1"/>
  <c r="S189" i="186"/>
  <c r="S188" i="186" s="1"/>
  <c r="R189" i="186"/>
  <c r="R188" i="186" s="1"/>
  <c r="U114" i="186"/>
  <c r="U115" i="186" s="1"/>
  <c r="T114" i="186"/>
  <c r="T115" i="186" s="1"/>
  <c r="S114" i="186"/>
  <c r="S115" i="186" s="1"/>
  <c r="R114" i="186"/>
  <c r="R115" i="186" s="1"/>
  <c r="U113" i="186"/>
  <c r="T113" i="186"/>
  <c r="S113" i="186"/>
  <c r="R113" i="186"/>
  <c r="R110" i="186"/>
  <c r="U109" i="186"/>
  <c r="U110" i="186" s="1"/>
  <c r="T109" i="186"/>
  <c r="T110" i="186" s="1"/>
  <c r="S109" i="186"/>
  <c r="S110" i="186" s="1"/>
  <c r="R109" i="186"/>
  <c r="U108" i="186"/>
  <c r="T108" i="186"/>
  <c r="S108" i="186"/>
  <c r="R108" i="186"/>
  <c r="U104" i="186"/>
  <c r="T104" i="186"/>
  <c r="S104" i="186"/>
  <c r="R104" i="186"/>
  <c r="U103" i="186"/>
  <c r="T103" i="186"/>
  <c r="S103" i="186"/>
  <c r="R103" i="186"/>
  <c r="U102" i="186"/>
  <c r="T102" i="186"/>
  <c r="T87" i="186" s="1"/>
  <c r="S102" i="186"/>
  <c r="R102" i="186"/>
  <c r="U101" i="186"/>
  <c r="T101" i="186"/>
  <c r="S101" i="186"/>
  <c r="R101" i="186"/>
  <c r="U100" i="186"/>
  <c r="U150" i="186" s="1"/>
  <c r="T100" i="186"/>
  <c r="S100" i="186"/>
  <c r="S150" i="186" s="1"/>
  <c r="R100" i="186"/>
  <c r="U99" i="186"/>
  <c r="T99" i="186"/>
  <c r="S99" i="186"/>
  <c r="S211" i="186" s="1"/>
  <c r="R99" i="186"/>
  <c r="R211" i="186" s="1"/>
  <c r="U98" i="186"/>
  <c r="U177" i="186" s="1"/>
  <c r="T98" i="186"/>
  <c r="S98" i="186"/>
  <c r="S179" i="186" s="1"/>
  <c r="R98" i="186"/>
  <c r="R175" i="186" s="1"/>
  <c r="U97" i="186"/>
  <c r="T97" i="186"/>
  <c r="S97" i="186"/>
  <c r="R97" i="186"/>
  <c r="U96" i="186"/>
  <c r="U232" i="186" s="1"/>
  <c r="R56" i="186"/>
  <c r="R42" i="186"/>
  <c r="U41" i="186"/>
  <c r="T41" i="186"/>
  <c r="S41" i="186"/>
  <c r="R41" i="186"/>
  <c r="R40" i="186"/>
  <c r="U38" i="186"/>
  <c r="T38" i="186"/>
  <c r="S38" i="186"/>
  <c r="U14" i="186"/>
  <c r="U52" i="186" s="1"/>
  <c r="T14" i="186"/>
  <c r="T52" i="186" s="1"/>
  <c r="S14" i="186"/>
  <c r="S52" i="186" s="1"/>
  <c r="R14" i="186"/>
  <c r="R52" i="186" s="1"/>
  <c r="U10" i="186"/>
  <c r="T10" i="186"/>
  <c r="T96" i="186" s="1"/>
  <c r="T232" i="186" s="1"/>
  <c r="S10" i="186"/>
  <c r="S96" i="186" s="1"/>
  <c r="S232" i="186" s="1"/>
  <c r="R10" i="186"/>
  <c r="P194" i="187"/>
  <c r="O194" i="187"/>
  <c r="N194" i="187"/>
  <c r="M194" i="187"/>
  <c r="K194" i="187"/>
  <c r="J194" i="187"/>
  <c r="I194" i="187"/>
  <c r="H194" i="187"/>
  <c r="F194" i="187"/>
  <c r="E194" i="187"/>
  <c r="D194" i="187"/>
  <c r="C194" i="187"/>
  <c r="P192" i="187"/>
  <c r="O192" i="187"/>
  <c r="N192" i="187"/>
  <c r="M192" i="187"/>
  <c r="K192" i="187"/>
  <c r="J192" i="187"/>
  <c r="I192" i="187"/>
  <c r="H192" i="187"/>
  <c r="F192" i="187"/>
  <c r="E192" i="187"/>
  <c r="D192" i="187"/>
  <c r="C192" i="187"/>
  <c r="P190" i="187"/>
  <c r="O190" i="187"/>
  <c r="N190" i="187"/>
  <c r="M190" i="187"/>
  <c r="K190" i="187"/>
  <c r="J190" i="187"/>
  <c r="I190" i="187"/>
  <c r="H190" i="187"/>
  <c r="F190" i="187"/>
  <c r="E190" i="187"/>
  <c r="D190" i="187"/>
  <c r="C190" i="187"/>
  <c r="P189" i="187"/>
  <c r="P188" i="187" s="1"/>
  <c r="O189" i="187"/>
  <c r="O188" i="187" s="1"/>
  <c r="N189" i="187"/>
  <c r="N188" i="187" s="1"/>
  <c r="M189" i="187"/>
  <c r="M188" i="187" s="1"/>
  <c r="K189" i="187"/>
  <c r="K188" i="187" s="1"/>
  <c r="J189" i="187"/>
  <c r="J188" i="187" s="1"/>
  <c r="I189" i="187"/>
  <c r="I188" i="187" s="1"/>
  <c r="H189" i="187"/>
  <c r="H188" i="187" s="1"/>
  <c r="F189" i="187"/>
  <c r="F188" i="187" s="1"/>
  <c r="E189" i="187"/>
  <c r="E188" i="187" s="1"/>
  <c r="D189" i="187"/>
  <c r="D188" i="187" s="1"/>
  <c r="C189" i="187"/>
  <c r="C188" i="187" s="1"/>
  <c r="O179" i="187"/>
  <c r="O175" i="187"/>
  <c r="N175" i="187"/>
  <c r="N123" i="187"/>
  <c r="K115" i="187"/>
  <c r="J115" i="187"/>
  <c r="P114" i="187"/>
  <c r="P115" i="187" s="1"/>
  <c r="O114" i="187"/>
  <c r="O115" i="187" s="1"/>
  <c r="N114" i="187"/>
  <c r="N115" i="187" s="1"/>
  <c r="M114" i="187"/>
  <c r="M115" i="187" s="1"/>
  <c r="K114" i="187"/>
  <c r="J114" i="187"/>
  <c r="I114" i="187"/>
  <c r="I115" i="187" s="1"/>
  <c r="H114" i="187"/>
  <c r="H115" i="187" s="1"/>
  <c r="F114" i="187"/>
  <c r="F115" i="187" s="1"/>
  <c r="E114" i="187"/>
  <c r="E115" i="187" s="1"/>
  <c r="D114" i="187"/>
  <c r="D115" i="187" s="1"/>
  <c r="C114" i="187"/>
  <c r="C115" i="187" s="1"/>
  <c r="P113" i="187"/>
  <c r="O113" i="187"/>
  <c r="N113" i="187"/>
  <c r="M113" i="187"/>
  <c r="K113" i="187"/>
  <c r="J113" i="187"/>
  <c r="I113" i="187"/>
  <c r="H113" i="187"/>
  <c r="F113" i="187"/>
  <c r="E113" i="187"/>
  <c r="D113" i="187"/>
  <c r="C113" i="187"/>
  <c r="P109" i="187"/>
  <c r="P110" i="187" s="1"/>
  <c r="O109" i="187"/>
  <c r="O110" i="187" s="1"/>
  <c r="N109" i="187"/>
  <c r="N110" i="187" s="1"/>
  <c r="M109" i="187"/>
  <c r="M110" i="187" s="1"/>
  <c r="K109" i="187"/>
  <c r="K110" i="187" s="1"/>
  <c r="J109" i="187"/>
  <c r="J110" i="187" s="1"/>
  <c r="I109" i="187"/>
  <c r="I110" i="187" s="1"/>
  <c r="H109" i="187"/>
  <c r="H110" i="187" s="1"/>
  <c r="F109" i="187"/>
  <c r="F110" i="187" s="1"/>
  <c r="E109" i="187"/>
  <c r="E110" i="187" s="1"/>
  <c r="D109" i="187"/>
  <c r="D110" i="187" s="1"/>
  <c r="C109" i="187"/>
  <c r="C110" i="187" s="1"/>
  <c r="P108" i="187"/>
  <c r="O108" i="187"/>
  <c r="N108" i="187"/>
  <c r="M108" i="187"/>
  <c r="K108" i="187"/>
  <c r="J108" i="187"/>
  <c r="I108" i="187"/>
  <c r="H108" i="187"/>
  <c r="F108" i="187"/>
  <c r="E108" i="187"/>
  <c r="D108" i="187"/>
  <c r="C108" i="187"/>
  <c r="P104" i="187"/>
  <c r="O104" i="187"/>
  <c r="N104" i="187"/>
  <c r="M104" i="187"/>
  <c r="K104" i="187"/>
  <c r="J104" i="187"/>
  <c r="I104" i="187"/>
  <c r="H104" i="187"/>
  <c r="F104" i="187"/>
  <c r="E104" i="187"/>
  <c r="D104" i="187"/>
  <c r="C104" i="187"/>
  <c r="P103" i="187"/>
  <c r="O103" i="187"/>
  <c r="O248" i="187" s="1"/>
  <c r="N103" i="187"/>
  <c r="N248" i="187" s="1"/>
  <c r="M103" i="187"/>
  <c r="M248" i="187" s="1"/>
  <c r="K103" i="187"/>
  <c r="K248" i="187" s="1"/>
  <c r="J103" i="187"/>
  <c r="I103" i="187"/>
  <c r="H103" i="187"/>
  <c r="F103" i="187"/>
  <c r="E103" i="187"/>
  <c r="E248" i="187" s="1"/>
  <c r="D103" i="187"/>
  <c r="D248" i="187" s="1"/>
  <c r="C103" i="187"/>
  <c r="C248" i="187" s="1"/>
  <c r="P102" i="187"/>
  <c r="O102" i="187"/>
  <c r="N102" i="187"/>
  <c r="M102" i="187"/>
  <c r="K102" i="187"/>
  <c r="J102" i="187"/>
  <c r="I102" i="187"/>
  <c r="I84" i="187" s="1"/>
  <c r="H102" i="187"/>
  <c r="F102" i="187"/>
  <c r="E102" i="187"/>
  <c r="D102" i="187"/>
  <c r="C102" i="187"/>
  <c r="P101" i="187"/>
  <c r="O101" i="187"/>
  <c r="N101" i="187"/>
  <c r="M101" i="187"/>
  <c r="K101" i="187"/>
  <c r="J101" i="187"/>
  <c r="I101" i="187"/>
  <c r="H101" i="187"/>
  <c r="F101" i="187"/>
  <c r="E101" i="187"/>
  <c r="D101" i="187"/>
  <c r="C101" i="187"/>
  <c r="P100" i="187"/>
  <c r="O100" i="187"/>
  <c r="N100" i="187"/>
  <c r="M100" i="187"/>
  <c r="M151" i="187" s="1"/>
  <c r="K100" i="187"/>
  <c r="J100" i="187"/>
  <c r="J151" i="187" s="1"/>
  <c r="I100" i="187"/>
  <c r="H100" i="187"/>
  <c r="F100" i="187"/>
  <c r="E100" i="187"/>
  <c r="D100" i="187"/>
  <c r="C100" i="187"/>
  <c r="P99" i="187"/>
  <c r="O99" i="187"/>
  <c r="O211" i="187" s="1"/>
  <c r="N99" i="187"/>
  <c r="N211" i="187" s="1"/>
  <c r="M99" i="187"/>
  <c r="M211" i="187" s="1"/>
  <c r="K99" i="187"/>
  <c r="K211" i="187" s="1"/>
  <c r="J99" i="187"/>
  <c r="I99" i="187"/>
  <c r="I211" i="187" s="1"/>
  <c r="H99" i="187"/>
  <c r="H211" i="187" s="1"/>
  <c r="F99" i="187"/>
  <c r="E99" i="187"/>
  <c r="D99" i="187"/>
  <c r="D84" i="187" s="1"/>
  <c r="C99" i="187"/>
  <c r="C84" i="187" s="1"/>
  <c r="P98" i="187"/>
  <c r="P177" i="187" s="1"/>
  <c r="O98" i="187"/>
  <c r="N98" i="187"/>
  <c r="N177" i="187" s="1"/>
  <c r="M98" i="187"/>
  <c r="M177" i="187" s="1"/>
  <c r="K98" i="187"/>
  <c r="J98" i="187"/>
  <c r="I98" i="187"/>
  <c r="H98" i="187"/>
  <c r="F98" i="187"/>
  <c r="F175" i="187" s="1"/>
  <c r="E98" i="187"/>
  <c r="E175" i="187" s="1"/>
  <c r="D98" i="187"/>
  <c r="D175" i="187" s="1"/>
  <c r="C98" i="187"/>
  <c r="C175" i="187" s="1"/>
  <c r="P97" i="187"/>
  <c r="O97" i="187"/>
  <c r="N97" i="187"/>
  <c r="M97" i="187"/>
  <c r="K97" i="187"/>
  <c r="J97" i="187"/>
  <c r="I97" i="187"/>
  <c r="H97" i="187"/>
  <c r="F97" i="187"/>
  <c r="E97" i="187"/>
  <c r="D97" i="187"/>
  <c r="C97" i="187"/>
  <c r="P96" i="187"/>
  <c r="P232" i="187" s="1"/>
  <c r="M56" i="187"/>
  <c r="H56" i="187"/>
  <c r="C56" i="187"/>
  <c r="M42" i="187"/>
  <c r="H42" i="187"/>
  <c r="C42" i="187"/>
  <c r="P41" i="187"/>
  <c r="O41" i="187"/>
  <c r="N41" i="187"/>
  <c r="M41" i="187"/>
  <c r="K41" i="187"/>
  <c r="J41" i="187"/>
  <c r="I41" i="187"/>
  <c r="H41" i="187"/>
  <c r="F41" i="187"/>
  <c r="E41" i="187"/>
  <c r="D41" i="187"/>
  <c r="C41" i="187"/>
  <c r="P40" i="187"/>
  <c r="O40" i="187"/>
  <c r="M40" i="187"/>
  <c r="H40" i="187"/>
  <c r="C40" i="187"/>
  <c r="P38" i="187"/>
  <c r="O38" i="187"/>
  <c r="N38" i="187"/>
  <c r="K38" i="187"/>
  <c r="J38" i="187"/>
  <c r="I38" i="187"/>
  <c r="F38" i="187"/>
  <c r="E38" i="187"/>
  <c r="D38" i="187"/>
  <c r="P14" i="187"/>
  <c r="P52" i="187" s="1"/>
  <c r="P18" i="187" s="1"/>
  <c r="O14" i="187"/>
  <c r="O52" i="187" s="1"/>
  <c r="O18" i="187" s="1"/>
  <c r="N14" i="187"/>
  <c r="N52" i="187" s="1"/>
  <c r="N18" i="187" s="1"/>
  <c r="M14" i="187"/>
  <c r="M52" i="187" s="1"/>
  <c r="M18" i="187" s="1"/>
  <c r="K14" i="187"/>
  <c r="K52" i="187" s="1"/>
  <c r="K18" i="187" s="1"/>
  <c r="J14" i="187"/>
  <c r="J52" i="187" s="1"/>
  <c r="J18" i="187" s="1"/>
  <c r="I14" i="187"/>
  <c r="I52" i="187" s="1"/>
  <c r="I18" i="187" s="1"/>
  <c r="H14" i="187"/>
  <c r="H52" i="187" s="1"/>
  <c r="H18" i="187" s="1"/>
  <c r="F14" i="187"/>
  <c r="F52" i="187" s="1"/>
  <c r="F18" i="187" s="1"/>
  <c r="E14" i="187"/>
  <c r="E52" i="187" s="1"/>
  <c r="E18" i="187" s="1"/>
  <c r="D14" i="187"/>
  <c r="D52" i="187" s="1"/>
  <c r="D18" i="187" s="1"/>
  <c r="C14" i="187"/>
  <c r="C52" i="187" s="1"/>
  <c r="C18" i="187" s="1"/>
  <c r="P10" i="187"/>
  <c r="O10" i="187"/>
  <c r="O96" i="187" s="1"/>
  <c r="O232" i="187" s="1"/>
  <c r="N10" i="187"/>
  <c r="M10" i="187"/>
  <c r="K10" i="187"/>
  <c r="K96" i="187" s="1"/>
  <c r="K232" i="187" s="1"/>
  <c r="J10" i="187"/>
  <c r="J96" i="187" s="1"/>
  <c r="J232" i="187" s="1"/>
  <c r="I10" i="187"/>
  <c r="I96" i="187" s="1"/>
  <c r="I232" i="187" s="1"/>
  <c r="H10" i="187"/>
  <c r="H96" i="187" s="1"/>
  <c r="H232" i="187" s="1"/>
  <c r="F10" i="187"/>
  <c r="E10" i="187"/>
  <c r="D10" i="187"/>
  <c r="C10" i="187"/>
  <c r="C96" i="187" s="1"/>
  <c r="C232" i="187" s="1"/>
  <c r="P194" i="186"/>
  <c r="O194" i="186"/>
  <c r="N194" i="186"/>
  <c r="M194" i="186"/>
  <c r="P192" i="186"/>
  <c r="O192" i="186"/>
  <c r="N192" i="186"/>
  <c r="M192" i="186"/>
  <c r="P190" i="186"/>
  <c r="O190" i="186"/>
  <c r="N190" i="186"/>
  <c r="M190" i="186"/>
  <c r="P189" i="186"/>
  <c r="P188" i="186" s="1"/>
  <c r="O189" i="186"/>
  <c r="O188" i="186" s="1"/>
  <c r="N189" i="186"/>
  <c r="N188" i="186" s="1"/>
  <c r="M189" i="186"/>
  <c r="M188" i="186" s="1"/>
  <c r="P114" i="186"/>
  <c r="P115" i="186" s="1"/>
  <c r="O114" i="186"/>
  <c r="O115" i="186" s="1"/>
  <c r="N114" i="186"/>
  <c r="N115" i="186" s="1"/>
  <c r="M114" i="186"/>
  <c r="M115" i="186" s="1"/>
  <c r="P113" i="186"/>
  <c r="O113" i="186"/>
  <c r="N113" i="186"/>
  <c r="M113" i="186"/>
  <c r="P109" i="186"/>
  <c r="P110" i="186" s="1"/>
  <c r="O109" i="186"/>
  <c r="O110" i="186" s="1"/>
  <c r="N109" i="186"/>
  <c r="N110" i="186" s="1"/>
  <c r="M109" i="186"/>
  <c r="M110" i="186" s="1"/>
  <c r="P108" i="186"/>
  <c r="O108" i="186"/>
  <c r="N108" i="186"/>
  <c r="M108" i="186"/>
  <c r="P104" i="186"/>
  <c r="O104" i="186"/>
  <c r="N104" i="186"/>
  <c r="M104" i="186"/>
  <c r="P103" i="186"/>
  <c r="O103" i="186"/>
  <c r="N103" i="186"/>
  <c r="M103" i="186"/>
  <c r="P102" i="186"/>
  <c r="O102" i="186"/>
  <c r="N102" i="186"/>
  <c r="N84" i="186" s="1"/>
  <c r="M102" i="186"/>
  <c r="M84" i="186" s="1"/>
  <c r="P101" i="186"/>
  <c r="O101" i="186"/>
  <c r="N101" i="186"/>
  <c r="M101" i="186"/>
  <c r="P100" i="186"/>
  <c r="O100" i="186"/>
  <c r="N100" i="186"/>
  <c r="M100" i="186"/>
  <c r="P99" i="186"/>
  <c r="O99" i="186"/>
  <c r="N99" i="186"/>
  <c r="M99" i="186"/>
  <c r="P98" i="186"/>
  <c r="P177" i="186" s="1"/>
  <c r="O98" i="186"/>
  <c r="O177" i="186" s="1"/>
  <c r="N98" i="186"/>
  <c r="M98" i="186"/>
  <c r="M175" i="186" s="1"/>
  <c r="P97" i="186"/>
  <c r="O97" i="186"/>
  <c r="O263" i="186" s="1"/>
  <c r="N97" i="186"/>
  <c r="N263" i="186" s="1"/>
  <c r="M97" i="186"/>
  <c r="M56" i="186"/>
  <c r="M42" i="186"/>
  <c r="P41" i="186"/>
  <c r="O41" i="186"/>
  <c r="N41" i="186"/>
  <c r="M41" i="186"/>
  <c r="M40" i="186"/>
  <c r="P38" i="186"/>
  <c r="O38" i="186"/>
  <c r="N38" i="186"/>
  <c r="P14" i="186"/>
  <c r="P52" i="186" s="1"/>
  <c r="P18" i="186" s="1"/>
  <c r="O14" i="186"/>
  <c r="O52" i="186" s="1"/>
  <c r="O18" i="186" s="1"/>
  <c r="N14" i="186"/>
  <c r="N52" i="186" s="1"/>
  <c r="N18" i="186" s="1"/>
  <c r="M14" i="186"/>
  <c r="M52" i="186" s="1"/>
  <c r="P10" i="186"/>
  <c r="P96" i="186" s="1"/>
  <c r="P232" i="186" s="1"/>
  <c r="O10" i="186"/>
  <c r="O96" i="186" s="1"/>
  <c r="O232" i="186" s="1"/>
  <c r="N10" i="186"/>
  <c r="N96" i="186" s="1"/>
  <c r="N232" i="186" s="1"/>
  <c r="M10" i="186"/>
  <c r="M96" i="186" s="1"/>
  <c r="M232" i="186" s="1"/>
  <c r="K194" i="186"/>
  <c r="J194" i="186"/>
  <c r="I194" i="186"/>
  <c r="H194" i="186"/>
  <c r="K192" i="186"/>
  <c r="J192" i="186"/>
  <c r="I192" i="186"/>
  <c r="H192" i="186"/>
  <c r="K190" i="186"/>
  <c r="J190" i="186"/>
  <c r="I190" i="186"/>
  <c r="H190" i="186"/>
  <c r="K189" i="186"/>
  <c r="K188" i="186" s="1"/>
  <c r="J189" i="186"/>
  <c r="J188" i="186" s="1"/>
  <c r="I189" i="186"/>
  <c r="I188" i="186" s="1"/>
  <c r="H189" i="186"/>
  <c r="H188" i="186" s="1"/>
  <c r="I151" i="186"/>
  <c r="K114" i="186"/>
  <c r="K115" i="186" s="1"/>
  <c r="J114" i="186"/>
  <c r="J115" i="186" s="1"/>
  <c r="I114" i="186"/>
  <c r="I115" i="186" s="1"/>
  <c r="H114" i="186"/>
  <c r="H115" i="186" s="1"/>
  <c r="K113" i="186"/>
  <c r="J113" i="186"/>
  <c r="I113" i="186"/>
  <c r="H113" i="186"/>
  <c r="K109" i="186"/>
  <c r="K110" i="186" s="1"/>
  <c r="J109" i="186"/>
  <c r="J110" i="186" s="1"/>
  <c r="I109" i="186"/>
  <c r="I110" i="186" s="1"/>
  <c r="H109" i="186"/>
  <c r="H110" i="186" s="1"/>
  <c r="K108" i="186"/>
  <c r="J108" i="186"/>
  <c r="I108" i="186"/>
  <c r="H108" i="186"/>
  <c r="K104" i="186"/>
  <c r="J104" i="186"/>
  <c r="I104" i="186"/>
  <c r="H104" i="186"/>
  <c r="K103" i="186"/>
  <c r="J103" i="186"/>
  <c r="I103" i="186"/>
  <c r="I248" i="186" s="1"/>
  <c r="H103" i="186"/>
  <c r="H248" i="186" s="1"/>
  <c r="K102" i="186"/>
  <c r="J102" i="186"/>
  <c r="I102" i="186"/>
  <c r="H102" i="186"/>
  <c r="K101" i="186"/>
  <c r="J101" i="186"/>
  <c r="I101" i="186"/>
  <c r="H101" i="186"/>
  <c r="K100" i="186"/>
  <c r="J100" i="186"/>
  <c r="I100" i="186"/>
  <c r="H100" i="186"/>
  <c r="K99" i="186"/>
  <c r="J99" i="186"/>
  <c r="J211" i="186" s="1"/>
  <c r="I99" i="186"/>
  <c r="H99" i="186"/>
  <c r="H84" i="186" s="1"/>
  <c r="K98" i="186"/>
  <c r="K175" i="186" s="1"/>
  <c r="J98" i="186"/>
  <c r="J177" i="186" s="1"/>
  <c r="I98" i="186"/>
  <c r="I177" i="186" s="1"/>
  <c r="H98" i="186"/>
  <c r="H177" i="186" s="1"/>
  <c r="K97" i="186"/>
  <c r="J97" i="186"/>
  <c r="I97" i="186"/>
  <c r="H97" i="186"/>
  <c r="H56" i="186"/>
  <c r="H42" i="186"/>
  <c r="K41" i="186"/>
  <c r="J41" i="186"/>
  <c r="I41" i="186"/>
  <c r="H41" i="186"/>
  <c r="H40" i="186"/>
  <c r="K38" i="186"/>
  <c r="J38" i="186"/>
  <c r="I38" i="186"/>
  <c r="K14" i="186"/>
  <c r="K52" i="186" s="1"/>
  <c r="J14" i="186"/>
  <c r="J52" i="186" s="1"/>
  <c r="I14" i="186"/>
  <c r="I52" i="186" s="1"/>
  <c r="H14" i="186"/>
  <c r="H52" i="186" s="1"/>
  <c r="K10" i="186"/>
  <c r="J10" i="186"/>
  <c r="I10" i="186"/>
  <c r="H10" i="186"/>
  <c r="H96" i="186" s="1"/>
  <c r="H232" i="186" s="1"/>
  <c r="F38" i="186"/>
  <c r="E38" i="186"/>
  <c r="D38" i="186"/>
  <c r="F194" i="186"/>
  <c r="F192" i="186"/>
  <c r="F190" i="186"/>
  <c r="F189" i="186"/>
  <c r="F188" i="186" s="1"/>
  <c r="F114" i="186"/>
  <c r="F115" i="186" s="1"/>
  <c r="F113" i="186"/>
  <c r="F109" i="186"/>
  <c r="F110" i="186" s="1"/>
  <c r="F108" i="186"/>
  <c r="F104" i="186"/>
  <c r="F103" i="186"/>
  <c r="F102" i="186"/>
  <c r="F101" i="186"/>
  <c r="F100" i="186"/>
  <c r="F99" i="186"/>
  <c r="F211" i="186" s="1"/>
  <c r="F98" i="186"/>
  <c r="F97" i="186"/>
  <c r="F203" i="186" s="1"/>
  <c r="F41" i="186"/>
  <c r="F14" i="186"/>
  <c r="F52" i="186" s="1"/>
  <c r="F18" i="186" s="1"/>
  <c r="F10" i="186"/>
  <c r="F96" i="186" s="1"/>
  <c r="E194" i="186"/>
  <c r="E192" i="186"/>
  <c r="E190" i="186"/>
  <c r="E189" i="186"/>
  <c r="E188" i="186" s="1"/>
  <c r="E177" i="186"/>
  <c r="E175" i="186"/>
  <c r="E174" i="186"/>
  <c r="E173" i="186" s="1"/>
  <c r="E123" i="186"/>
  <c r="E122" i="186"/>
  <c r="E131" i="186" s="1"/>
  <c r="E114" i="186"/>
  <c r="E115" i="186" s="1"/>
  <c r="E113" i="186"/>
  <c r="E109" i="186"/>
  <c r="E110" i="186" s="1"/>
  <c r="E108" i="186"/>
  <c r="E104" i="186"/>
  <c r="E103" i="186"/>
  <c r="E102" i="186"/>
  <c r="E101" i="186"/>
  <c r="E100" i="186"/>
  <c r="E99" i="186"/>
  <c r="E211" i="186" s="1"/>
  <c r="E98" i="186"/>
  <c r="E179" i="186" s="1"/>
  <c r="E97" i="186"/>
  <c r="E41" i="186"/>
  <c r="E14" i="186"/>
  <c r="E52" i="186" s="1"/>
  <c r="E18" i="186" s="1"/>
  <c r="E10" i="186"/>
  <c r="E96" i="186" s="1"/>
  <c r="E232" i="186" s="1"/>
  <c r="D211" i="186"/>
  <c r="D194" i="186"/>
  <c r="D192" i="186"/>
  <c r="D190" i="186"/>
  <c r="D189" i="186"/>
  <c r="D188" i="186" s="1"/>
  <c r="D114" i="186"/>
  <c r="D115" i="186" s="1"/>
  <c r="D113" i="186"/>
  <c r="D109" i="186"/>
  <c r="D110" i="186" s="1"/>
  <c r="D108" i="186"/>
  <c r="D104" i="186"/>
  <c r="D103" i="186"/>
  <c r="D248" i="186" s="1"/>
  <c r="D102" i="186"/>
  <c r="D101" i="186"/>
  <c r="D100" i="186"/>
  <c r="D99" i="186"/>
  <c r="D87" i="186" s="1"/>
  <c r="D98" i="186"/>
  <c r="D179" i="186" s="1"/>
  <c r="D97" i="186"/>
  <c r="D41" i="186"/>
  <c r="D14" i="186"/>
  <c r="D52" i="186" s="1"/>
  <c r="D18" i="186" s="1"/>
  <c r="D10" i="186"/>
  <c r="C194" i="186"/>
  <c r="C192" i="186"/>
  <c r="C190" i="186"/>
  <c r="C189" i="186"/>
  <c r="C188" i="186" s="1"/>
  <c r="C123" i="186"/>
  <c r="C114" i="186"/>
  <c r="C115" i="186" s="1"/>
  <c r="C113" i="186"/>
  <c r="C109" i="186"/>
  <c r="C110" i="186" s="1"/>
  <c r="C108" i="186"/>
  <c r="C104" i="186"/>
  <c r="C103" i="186"/>
  <c r="C248" i="186" s="1"/>
  <c r="C102" i="186"/>
  <c r="C101" i="186"/>
  <c r="C100" i="186"/>
  <c r="C99" i="186"/>
  <c r="C87" i="186" s="1"/>
  <c r="C98" i="186"/>
  <c r="C179" i="186" s="1"/>
  <c r="C97" i="186"/>
  <c r="C96" i="186"/>
  <c r="C232" i="186" s="1"/>
  <c r="C56" i="186"/>
  <c r="C42" i="186"/>
  <c r="C41" i="186"/>
  <c r="C40" i="186"/>
  <c r="C14" i="186"/>
  <c r="C52" i="186" s="1"/>
  <c r="C18" i="186" s="1"/>
  <c r="C10" i="186"/>
  <c r="O233" i="187" l="1"/>
  <c r="O241" i="187"/>
  <c r="O250" i="187"/>
  <c r="F232" i="186"/>
  <c r="I233" i="187"/>
  <c r="I241" i="187" s="1"/>
  <c r="I250" i="187"/>
  <c r="M250" i="186"/>
  <c r="M233" i="186"/>
  <c r="M241" i="186" s="1"/>
  <c r="I263" i="186"/>
  <c r="M263" i="187"/>
  <c r="S250" i="186"/>
  <c r="S233" i="186"/>
  <c r="R233" i="187"/>
  <c r="R241" i="187" s="1"/>
  <c r="R250" i="187"/>
  <c r="D203" i="186"/>
  <c r="D263" i="186"/>
  <c r="J248" i="186"/>
  <c r="D122" i="187"/>
  <c r="D130" i="187" s="1"/>
  <c r="D263" i="187"/>
  <c r="T250" i="186"/>
  <c r="T233" i="186"/>
  <c r="T241" i="186"/>
  <c r="S233" i="187"/>
  <c r="S241" i="187" s="1"/>
  <c r="S250" i="187"/>
  <c r="K250" i="187"/>
  <c r="K233" i="187"/>
  <c r="K241" i="187" s="1"/>
  <c r="E263" i="187"/>
  <c r="E122" i="187"/>
  <c r="E130" i="187" s="1"/>
  <c r="R263" i="186"/>
  <c r="R248" i="186"/>
  <c r="R248" i="187"/>
  <c r="E248" i="186"/>
  <c r="C250" i="187"/>
  <c r="C233" i="187"/>
  <c r="C241" i="187" s="1"/>
  <c r="P122" i="187"/>
  <c r="P141" i="187" s="1"/>
  <c r="P263" i="187"/>
  <c r="P248" i="187"/>
  <c r="N248" i="186"/>
  <c r="K87" i="187"/>
  <c r="H263" i="187"/>
  <c r="H248" i="187"/>
  <c r="P123" i="187"/>
  <c r="P203" i="187"/>
  <c r="T122" i="186"/>
  <c r="T263" i="186"/>
  <c r="T248" i="186"/>
  <c r="T263" i="187"/>
  <c r="T248" i="187"/>
  <c r="F122" i="186"/>
  <c r="F263" i="186"/>
  <c r="H122" i="186"/>
  <c r="H263" i="186"/>
  <c r="H233" i="187"/>
  <c r="H241" i="187" s="1"/>
  <c r="H250" i="187"/>
  <c r="P250" i="187"/>
  <c r="P233" i="187"/>
  <c r="P241" i="187" s="1"/>
  <c r="K263" i="187"/>
  <c r="N203" i="187"/>
  <c r="N263" i="187"/>
  <c r="U250" i="186"/>
  <c r="U233" i="186"/>
  <c r="U241" i="186" s="1"/>
  <c r="E233" i="186"/>
  <c r="E241" i="186" s="1"/>
  <c r="E250" i="186"/>
  <c r="P233" i="186"/>
  <c r="P241" i="186" s="1"/>
  <c r="P250" i="186"/>
  <c r="F84" i="187"/>
  <c r="K84" i="187"/>
  <c r="S263" i="186"/>
  <c r="S248" i="186"/>
  <c r="S248" i="187"/>
  <c r="C122" i="186"/>
  <c r="C263" i="186"/>
  <c r="E203" i="186"/>
  <c r="E263" i="186"/>
  <c r="F248" i="186"/>
  <c r="H250" i="186"/>
  <c r="H233" i="186"/>
  <c r="H241" i="186" s="1"/>
  <c r="J84" i="186"/>
  <c r="O84" i="186"/>
  <c r="O248" i="186"/>
  <c r="I263" i="187"/>
  <c r="I248" i="187"/>
  <c r="J150" i="187"/>
  <c r="U263" i="186"/>
  <c r="U248" i="186"/>
  <c r="U263" i="187"/>
  <c r="U84" i="187"/>
  <c r="U248" i="187"/>
  <c r="P174" i="187"/>
  <c r="P173" i="187" s="1"/>
  <c r="C122" i="187"/>
  <c r="C263" i="187"/>
  <c r="J263" i="186"/>
  <c r="N250" i="186"/>
  <c r="N233" i="186"/>
  <c r="N241" i="186" s="1"/>
  <c r="J241" i="187"/>
  <c r="J233" i="187"/>
  <c r="J250" i="187"/>
  <c r="K122" i="186"/>
  <c r="K263" i="186"/>
  <c r="K248" i="186"/>
  <c r="O241" i="186"/>
  <c r="O250" i="186"/>
  <c r="O233" i="186"/>
  <c r="O203" i="187"/>
  <c r="O263" i="187"/>
  <c r="P175" i="187"/>
  <c r="P176" i="187" s="1"/>
  <c r="T250" i="187"/>
  <c r="T233" i="187"/>
  <c r="T241" i="187" s="1"/>
  <c r="R122" i="187"/>
  <c r="R141" i="187" s="1"/>
  <c r="R263" i="187"/>
  <c r="M122" i="186"/>
  <c r="M263" i="186"/>
  <c r="M248" i="186"/>
  <c r="F122" i="187"/>
  <c r="F130" i="187" s="1"/>
  <c r="F263" i="187"/>
  <c r="F248" i="187"/>
  <c r="U233" i="187"/>
  <c r="U241" i="187" s="1"/>
  <c r="U250" i="187"/>
  <c r="C250" i="186"/>
  <c r="C233" i="186"/>
  <c r="K84" i="186"/>
  <c r="P263" i="186"/>
  <c r="P248" i="186"/>
  <c r="J263" i="187"/>
  <c r="J87" i="187"/>
  <c r="J248" i="187"/>
  <c r="J211" i="187"/>
  <c r="T203" i="186"/>
  <c r="P130" i="187"/>
  <c r="F175" i="186"/>
  <c r="F123" i="186"/>
  <c r="F174" i="186"/>
  <c r="F173" i="186" s="1"/>
  <c r="F176" i="186" s="1"/>
  <c r="F178" i="186" s="1"/>
  <c r="I151" i="187"/>
  <c r="I150" i="187"/>
  <c r="F177" i="186"/>
  <c r="J56" i="186"/>
  <c r="I87" i="187"/>
  <c r="T150" i="186"/>
  <c r="P211" i="187"/>
  <c r="P84" i="187"/>
  <c r="P87" i="187"/>
  <c r="U203" i="187"/>
  <c r="U56" i="186"/>
  <c r="U42" i="186"/>
  <c r="K150" i="187"/>
  <c r="K151" i="187"/>
  <c r="S203" i="186"/>
  <c r="I42" i="186"/>
  <c r="T179" i="186"/>
  <c r="T175" i="186"/>
  <c r="U56" i="187"/>
  <c r="D56" i="186"/>
  <c r="K166" i="186"/>
  <c r="K211" i="186"/>
  <c r="O42" i="186"/>
  <c r="N177" i="186"/>
  <c r="N179" i="186"/>
  <c r="N151" i="186"/>
  <c r="O177" i="187"/>
  <c r="O174" i="187"/>
  <c r="O173" i="187" s="1"/>
  <c r="O123" i="187"/>
  <c r="F179" i="186"/>
  <c r="D150" i="186"/>
  <c r="D151" i="186"/>
  <c r="K203" i="186"/>
  <c r="P56" i="186"/>
  <c r="N40" i="187"/>
  <c r="D131" i="187"/>
  <c r="U203" i="186"/>
  <c r="U211" i="186"/>
  <c r="U87" i="186"/>
  <c r="T151" i="186"/>
  <c r="J150" i="186"/>
  <c r="E141" i="186"/>
  <c r="N122" i="187"/>
  <c r="N131" i="187" s="1"/>
  <c r="E130" i="186"/>
  <c r="J122" i="186"/>
  <c r="J203" i="186"/>
  <c r="M174" i="186"/>
  <c r="M173" i="186" s="1"/>
  <c r="M176" i="186" s="1"/>
  <c r="M177" i="186"/>
  <c r="D123" i="186"/>
  <c r="P151" i="186"/>
  <c r="M179" i="186"/>
  <c r="O56" i="187"/>
  <c r="M203" i="187"/>
  <c r="M122" i="187"/>
  <c r="M130" i="187" s="1"/>
  <c r="H84" i="187"/>
  <c r="H87" i="187"/>
  <c r="S56" i="186"/>
  <c r="N56" i="186"/>
  <c r="P84" i="186"/>
  <c r="O122" i="187"/>
  <c r="U151" i="186"/>
  <c r="S42" i="187"/>
  <c r="O151" i="186"/>
  <c r="P56" i="187"/>
  <c r="E84" i="187"/>
  <c r="J84" i="187"/>
  <c r="N179" i="187"/>
  <c r="T56" i="186"/>
  <c r="T56" i="187"/>
  <c r="E56" i="186"/>
  <c r="H150" i="186"/>
  <c r="P122" i="186"/>
  <c r="P130" i="186" s="1"/>
  <c r="M111" i="187"/>
  <c r="M57" i="187" s="1"/>
  <c r="M58" i="187" s="1"/>
  <c r="N174" i="187"/>
  <c r="N173" i="187" s="1"/>
  <c r="P179" i="187"/>
  <c r="R150" i="186"/>
  <c r="R151" i="186"/>
  <c r="S175" i="186"/>
  <c r="F56" i="186"/>
  <c r="I150" i="186"/>
  <c r="I84" i="186"/>
  <c r="I56" i="187"/>
  <c r="S84" i="186"/>
  <c r="S151" i="186"/>
  <c r="T191" i="186"/>
  <c r="T87" i="187"/>
  <c r="R151" i="187"/>
  <c r="J56" i="187"/>
  <c r="J42" i="187"/>
  <c r="S116" i="186"/>
  <c r="C111" i="187"/>
  <c r="S111" i="187"/>
  <c r="R111" i="187"/>
  <c r="U191" i="186"/>
  <c r="U193" i="186" s="1"/>
  <c r="T42" i="187"/>
  <c r="R116" i="186"/>
  <c r="U42" i="187"/>
  <c r="D111" i="187"/>
  <c r="T116" i="186"/>
  <c r="E111" i="187"/>
  <c r="H116" i="186"/>
  <c r="H111" i="186"/>
  <c r="E42" i="187"/>
  <c r="E40" i="187"/>
  <c r="O111" i="187"/>
  <c r="F42" i="187"/>
  <c r="F56" i="187"/>
  <c r="I116" i="186"/>
  <c r="F40" i="187"/>
  <c r="U116" i="186"/>
  <c r="U57" i="186" s="1"/>
  <c r="U58" i="186" s="1"/>
  <c r="M116" i="187"/>
  <c r="K40" i="186"/>
  <c r="K42" i="186"/>
  <c r="S191" i="186"/>
  <c r="F111" i="187"/>
  <c r="S111" i="186"/>
  <c r="T191" i="187"/>
  <c r="T193" i="187" s="1"/>
  <c r="H111" i="187"/>
  <c r="N191" i="187"/>
  <c r="N193" i="187" s="1"/>
  <c r="T111" i="186"/>
  <c r="U116" i="187"/>
  <c r="I111" i="187"/>
  <c r="U111" i="186"/>
  <c r="M116" i="186"/>
  <c r="K116" i="186"/>
  <c r="J111" i="187"/>
  <c r="R111" i="186"/>
  <c r="K111" i="187"/>
  <c r="I42" i="187"/>
  <c r="R191" i="186"/>
  <c r="R193" i="186" s="1"/>
  <c r="I111" i="186"/>
  <c r="O116" i="187"/>
  <c r="F111" i="186"/>
  <c r="N56" i="187"/>
  <c r="H116" i="187"/>
  <c r="H57" i="187" s="1"/>
  <c r="H58" i="187" s="1"/>
  <c r="H53" i="187" s="1"/>
  <c r="R116" i="187"/>
  <c r="M191" i="186"/>
  <c r="M193" i="186" s="1"/>
  <c r="I116" i="187"/>
  <c r="S40" i="186"/>
  <c r="S116" i="187"/>
  <c r="N191" i="186"/>
  <c r="N193" i="186" s="1"/>
  <c r="J116" i="187"/>
  <c r="R191" i="187"/>
  <c r="O191" i="186"/>
  <c r="O193" i="186" s="1"/>
  <c r="K116" i="187"/>
  <c r="S191" i="187"/>
  <c r="S42" i="186"/>
  <c r="J42" i="186"/>
  <c r="C116" i="186"/>
  <c r="K111" i="186"/>
  <c r="O56" i="186"/>
  <c r="T42" i="186"/>
  <c r="M191" i="187"/>
  <c r="M193" i="187" s="1"/>
  <c r="P111" i="187"/>
  <c r="T111" i="187"/>
  <c r="T57" i="187" s="1"/>
  <c r="T58" i="187" s="1"/>
  <c r="U111" i="187"/>
  <c r="U57" i="187" s="1"/>
  <c r="D116" i="186"/>
  <c r="J116" i="186"/>
  <c r="E56" i="187"/>
  <c r="T151" i="187"/>
  <c r="U211" i="187"/>
  <c r="S151" i="187"/>
  <c r="U151" i="187"/>
  <c r="T211" i="187"/>
  <c r="T84" i="187"/>
  <c r="T175" i="187"/>
  <c r="U175" i="187"/>
  <c r="U87" i="187"/>
  <c r="R84" i="187"/>
  <c r="T18" i="187"/>
  <c r="U18" i="187"/>
  <c r="R18" i="187"/>
  <c r="S18" i="187"/>
  <c r="U191" i="187"/>
  <c r="R193" i="187"/>
  <c r="S193" i="187"/>
  <c r="U58" i="187"/>
  <c r="T122" i="187"/>
  <c r="R123" i="187"/>
  <c r="R174" i="187"/>
  <c r="R173" i="187" s="1"/>
  <c r="R179" i="187"/>
  <c r="S84" i="187"/>
  <c r="S40" i="187"/>
  <c r="S123" i="187"/>
  <c r="S179" i="187"/>
  <c r="T40" i="187"/>
  <c r="T123" i="187"/>
  <c r="T174" i="187"/>
  <c r="T173" i="187" s="1"/>
  <c r="T179" i="187"/>
  <c r="S122" i="187"/>
  <c r="S166" i="187" s="1"/>
  <c r="U122" i="187"/>
  <c r="S56" i="187"/>
  <c r="U40" i="187"/>
  <c r="U123" i="187"/>
  <c r="U174" i="187"/>
  <c r="U173" i="187" s="1"/>
  <c r="U179" i="187"/>
  <c r="R87" i="187"/>
  <c r="R175" i="187"/>
  <c r="R203" i="187"/>
  <c r="R211" i="187"/>
  <c r="S174" i="187"/>
  <c r="S173" i="187" s="1"/>
  <c r="S87" i="187"/>
  <c r="S175" i="187"/>
  <c r="S203" i="187"/>
  <c r="U175" i="186"/>
  <c r="T84" i="186"/>
  <c r="U84" i="186"/>
  <c r="S87" i="186"/>
  <c r="R84" i="186"/>
  <c r="T18" i="186"/>
  <c r="T141" i="186"/>
  <c r="T166" i="186"/>
  <c r="T131" i="186"/>
  <c r="T130" i="186"/>
  <c r="R96" i="186"/>
  <c r="R232" i="186" s="1"/>
  <c r="R18" i="186"/>
  <c r="S18" i="186"/>
  <c r="U18" i="186"/>
  <c r="R57" i="186"/>
  <c r="R58" i="186" s="1"/>
  <c r="R177" i="186"/>
  <c r="S193" i="186"/>
  <c r="R122" i="186"/>
  <c r="S122" i="186"/>
  <c r="S177" i="186"/>
  <c r="U122" i="186"/>
  <c r="R123" i="186"/>
  <c r="R174" i="186"/>
  <c r="R173" i="186" s="1"/>
  <c r="R179" i="186"/>
  <c r="T177" i="186"/>
  <c r="S174" i="186"/>
  <c r="S173" i="186" s="1"/>
  <c r="S176" i="186" s="1"/>
  <c r="T40" i="186"/>
  <c r="T123" i="186"/>
  <c r="T174" i="186"/>
  <c r="T173" i="186" s="1"/>
  <c r="T193" i="186"/>
  <c r="S123" i="186"/>
  <c r="U40" i="186"/>
  <c r="U123" i="186"/>
  <c r="U174" i="186"/>
  <c r="U173" i="186" s="1"/>
  <c r="U176" i="186" s="1"/>
  <c r="U179" i="186"/>
  <c r="R87" i="186"/>
  <c r="R203" i="186"/>
  <c r="P191" i="187"/>
  <c r="P193" i="187" s="1"/>
  <c r="O176" i="187"/>
  <c r="O178" i="187" s="1"/>
  <c r="O191" i="187"/>
  <c r="O193" i="187" s="1"/>
  <c r="C141" i="187"/>
  <c r="M166" i="187"/>
  <c r="C179" i="187"/>
  <c r="C191" i="187"/>
  <c r="E116" i="186"/>
  <c r="J111" i="186"/>
  <c r="N116" i="186"/>
  <c r="D179" i="187"/>
  <c r="D191" i="187"/>
  <c r="D42" i="187"/>
  <c r="M96" i="187"/>
  <c r="M232" i="187" s="1"/>
  <c r="H179" i="187"/>
  <c r="H174" i="187"/>
  <c r="H173" i="187" s="1"/>
  <c r="H123" i="187"/>
  <c r="C151" i="187"/>
  <c r="C150" i="187"/>
  <c r="O166" i="187"/>
  <c r="E179" i="187"/>
  <c r="E191" i="187"/>
  <c r="D111" i="186"/>
  <c r="M87" i="187"/>
  <c r="N96" i="187"/>
  <c r="N232" i="187" s="1"/>
  <c r="I179" i="187"/>
  <c r="I174" i="187"/>
  <c r="I173" i="187" s="1"/>
  <c r="I123" i="187"/>
  <c r="D151" i="187"/>
  <c r="D150" i="187"/>
  <c r="N111" i="187"/>
  <c r="F179" i="187"/>
  <c r="F191" i="187"/>
  <c r="N87" i="187"/>
  <c r="J179" i="187"/>
  <c r="J174" i="187"/>
  <c r="J173" i="187" s="1"/>
  <c r="J123" i="187"/>
  <c r="E151" i="187"/>
  <c r="E150" i="187"/>
  <c r="C174" i="187"/>
  <c r="C173" i="187" s="1"/>
  <c r="C176" i="187" s="1"/>
  <c r="C177" i="187"/>
  <c r="M179" i="187"/>
  <c r="H191" i="187"/>
  <c r="E111" i="186"/>
  <c r="C191" i="186"/>
  <c r="P191" i="186"/>
  <c r="P193" i="186" s="1"/>
  <c r="O87" i="187"/>
  <c r="K179" i="187"/>
  <c r="K174" i="187"/>
  <c r="K173" i="187" s="1"/>
  <c r="K123" i="187"/>
  <c r="F151" i="187"/>
  <c r="F150" i="187"/>
  <c r="D141" i="187"/>
  <c r="D127" i="187"/>
  <c r="D174" i="187"/>
  <c r="D173" i="187" s="1"/>
  <c r="D176" i="187" s="1"/>
  <c r="D177" i="187"/>
  <c r="I191" i="187"/>
  <c r="N176" i="187"/>
  <c r="M84" i="187"/>
  <c r="C203" i="187"/>
  <c r="E174" i="187"/>
  <c r="E173" i="187" s="1"/>
  <c r="E177" i="187"/>
  <c r="J191" i="187"/>
  <c r="F116" i="186"/>
  <c r="K56" i="187"/>
  <c r="K40" i="187"/>
  <c r="N84" i="187"/>
  <c r="F174" i="187"/>
  <c r="F173" i="187" s="1"/>
  <c r="F177" i="187"/>
  <c r="K191" i="187"/>
  <c r="N42" i="187"/>
  <c r="O84" i="187"/>
  <c r="H150" i="187"/>
  <c r="M174" i="187"/>
  <c r="M173" i="187" s="1"/>
  <c r="H177" i="187"/>
  <c r="O42" i="187"/>
  <c r="N116" i="187"/>
  <c r="I177" i="187"/>
  <c r="D96" i="187"/>
  <c r="D232" i="187" s="1"/>
  <c r="P42" i="187"/>
  <c r="H203" i="187"/>
  <c r="H122" i="187"/>
  <c r="C211" i="187"/>
  <c r="C87" i="187"/>
  <c r="E131" i="187"/>
  <c r="J177" i="187"/>
  <c r="E96" i="187"/>
  <c r="E232" i="187" s="1"/>
  <c r="I203" i="187"/>
  <c r="I122" i="187"/>
  <c r="D211" i="187"/>
  <c r="D166" i="187"/>
  <c r="D87" i="187"/>
  <c r="N151" i="187"/>
  <c r="P116" i="187"/>
  <c r="F131" i="187"/>
  <c r="K177" i="187"/>
  <c r="F40" i="186"/>
  <c r="F42" i="186"/>
  <c r="F96" i="187"/>
  <c r="F232" i="187" s="1"/>
  <c r="D40" i="187"/>
  <c r="J203" i="187"/>
  <c r="J122" i="187"/>
  <c r="E211" i="187"/>
  <c r="E87" i="187"/>
  <c r="O151" i="187"/>
  <c r="C116" i="187"/>
  <c r="C123" i="187"/>
  <c r="M131" i="187"/>
  <c r="M150" i="187"/>
  <c r="H175" i="187"/>
  <c r="K203" i="187"/>
  <c r="K122" i="187"/>
  <c r="F211" i="187"/>
  <c r="F87" i="187"/>
  <c r="P151" i="187"/>
  <c r="D116" i="187"/>
  <c r="D123" i="187"/>
  <c r="N150" i="187"/>
  <c r="I175" i="187"/>
  <c r="O111" i="186"/>
  <c r="E116" i="187"/>
  <c r="E123" i="187"/>
  <c r="O131" i="187"/>
  <c r="O150" i="187"/>
  <c r="J175" i="187"/>
  <c r="D191" i="186"/>
  <c r="D193" i="186" s="1"/>
  <c r="E176" i="186"/>
  <c r="E178" i="186" s="1"/>
  <c r="P111" i="186"/>
  <c r="F116" i="187"/>
  <c r="F123" i="187"/>
  <c r="P131" i="187"/>
  <c r="P150" i="187"/>
  <c r="K175" i="187"/>
  <c r="C111" i="186"/>
  <c r="K42" i="187"/>
  <c r="D56" i="187"/>
  <c r="M123" i="187"/>
  <c r="M141" i="187"/>
  <c r="H151" i="187"/>
  <c r="M175" i="187"/>
  <c r="D203" i="187"/>
  <c r="E203" i="187"/>
  <c r="F203" i="187"/>
  <c r="I40" i="187"/>
  <c r="J40" i="187"/>
  <c r="P174" i="186"/>
  <c r="P173" i="186" s="1"/>
  <c r="P175" i="186"/>
  <c r="P123" i="186"/>
  <c r="P179" i="186"/>
  <c r="O175" i="186"/>
  <c r="O174" i="186"/>
  <c r="O173" i="186" s="1"/>
  <c r="O123" i="186"/>
  <c r="O179" i="186"/>
  <c r="N175" i="186"/>
  <c r="N174" i="186"/>
  <c r="N173" i="186" s="1"/>
  <c r="N123" i="186"/>
  <c r="M151" i="186"/>
  <c r="M123" i="186"/>
  <c r="O116" i="186"/>
  <c r="M87" i="186"/>
  <c r="M166" i="186"/>
  <c r="M211" i="186"/>
  <c r="O87" i="186"/>
  <c r="O211" i="186"/>
  <c r="P87" i="186"/>
  <c r="P211" i="186"/>
  <c r="M150" i="186"/>
  <c r="N150" i="186"/>
  <c r="M141" i="186"/>
  <c r="M131" i="186"/>
  <c r="M130" i="186"/>
  <c r="M18" i="186"/>
  <c r="N42" i="186"/>
  <c r="P116" i="186"/>
  <c r="P42" i="186"/>
  <c r="P40" i="186"/>
  <c r="N87" i="186"/>
  <c r="N211" i="186"/>
  <c r="N40" i="186"/>
  <c r="O40" i="186"/>
  <c r="O150" i="186"/>
  <c r="M111" i="186"/>
  <c r="N111" i="186"/>
  <c r="M203" i="186"/>
  <c r="N203" i="186"/>
  <c r="O203" i="186"/>
  <c r="N122" i="186"/>
  <c r="P203" i="186"/>
  <c r="O122" i="186"/>
  <c r="P150" i="186"/>
  <c r="K150" i="186"/>
  <c r="J151" i="186"/>
  <c r="K151" i="186"/>
  <c r="K177" i="186"/>
  <c r="H151" i="186"/>
  <c r="H130" i="186"/>
  <c r="I18" i="186"/>
  <c r="K18" i="186"/>
  <c r="H18" i="186"/>
  <c r="J96" i="186"/>
  <c r="J232" i="186" s="1"/>
  <c r="K131" i="186"/>
  <c r="K130" i="186"/>
  <c r="I191" i="186"/>
  <c r="J123" i="186"/>
  <c r="J179" i="186"/>
  <c r="J174" i="186"/>
  <c r="J173" i="186" s="1"/>
  <c r="K87" i="186"/>
  <c r="H211" i="186"/>
  <c r="H166" i="186"/>
  <c r="H87" i="186"/>
  <c r="I203" i="186"/>
  <c r="H57" i="186"/>
  <c r="H58" i="186" s="1"/>
  <c r="J18" i="186"/>
  <c r="K179" i="186"/>
  <c r="K174" i="186"/>
  <c r="K173" i="186" s="1"/>
  <c r="K176" i="186" s="1"/>
  <c r="K123" i="186"/>
  <c r="J127" i="186"/>
  <c r="J175" i="186"/>
  <c r="H191" i="186"/>
  <c r="I211" i="186"/>
  <c r="I87" i="186"/>
  <c r="K127" i="186"/>
  <c r="J191" i="186"/>
  <c r="K141" i="186"/>
  <c r="K191" i="186"/>
  <c r="J87" i="186"/>
  <c r="I56" i="186"/>
  <c r="I40" i="186"/>
  <c r="I122" i="186"/>
  <c r="J141" i="186"/>
  <c r="I96" i="186"/>
  <c r="I232" i="186" s="1"/>
  <c r="K96" i="186"/>
  <c r="K232" i="186" s="1"/>
  <c r="H203" i="186"/>
  <c r="J131" i="186"/>
  <c r="J130" i="186"/>
  <c r="H175" i="186"/>
  <c r="H179" i="186"/>
  <c r="H174" i="186"/>
  <c r="H173" i="186" s="1"/>
  <c r="H123" i="186"/>
  <c r="I175" i="186"/>
  <c r="I174" i="186"/>
  <c r="I173" i="186" s="1"/>
  <c r="I123" i="186"/>
  <c r="I179" i="186"/>
  <c r="H141" i="186"/>
  <c r="H127" i="186"/>
  <c r="H131" i="186"/>
  <c r="J40" i="186"/>
  <c r="K56" i="186"/>
  <c r="E40" i="186"/>
  <c r="E42" i="186"/>
  <c r="D40" i="186"/>
  <c r="D42" i="186"/>
  <c r="F191" i="186"/>
  <c r="F84" i="186"/>
  <c r="F151" i="186"/>
  <c r="F166" i="186"/>
  <c r="F87" i="186"/>
  <c r="F150" i="186"/>
  <c r="F127" i="186"/>
  <c r="E191" i="186"/>
  <c r="E84" i="186"/>
  <c r="E87" i="186"/>
  <c r="E150" i="186"/>
  <c r="E166" i="186"/>
  <c r="E151" i="186"/>
  <c r="E127" i="186"/>
  <c r="D122" i="186"/>
  <c r="D96" i="186"/>
  <c r="D232" i="186" s="1"/>
  <c r="D174" i="186"/>
  <c r="D173" i="186" s="1"/>
  <c r="D175" i="186"/>
  <c r="D177" i="186"/>
  <c r="D84" i="186"/>
  <c r="C130" i="186"/>
  <c r="C141" i="186"/>
  <c r="C131" i="186"/>
  <c r="C127" i="186"/>
  <c r="C193" i="186"/>
  <c r="C211" i="186"/>
  <c r="C166" i="186"/>
  <c r="C174" i="186"/>
  <c r="C173" i="186" s="1"/>
  <c r="C175" i="186"/>
  <c r="C177" i="186"/>
  <c r="C84" i="186"/>
  <c r="C150" i="186"/>
  <c r="C203" i="186"/>
  <c r="C151" i="186"/>
  <c r="B214" i="6"/>
  <c r="B215" i="6" s="1"/>
  <c r="B213" i="6"/>
  <c r="B205" i="6"/>
  <c r="B197" i="6"/>
  <c r="B199" i="6"/>
  <c r="R250" i="186" l="1"/>
  <c r="R233" i="186"/>
  <c r="R241" i="186" s="1"/>
  <c r="C127" i="187"/>
  <c r="C131" i="187"/>
  <c r="C130" i="187"/>
  <c r="C166" i="187"/>
  <c r="J241" i="186"/>
  <c r="J233" i="186"/>
  <c r="J250" i="186"/>
  <c r="C241" i="186"/>
  <c r="K250" i="186"/>
  <c r="K233" i="186"/>
  <c r="K241" i="186" s="1"/>
  <c r="I57" i="187"/>
  <c r="I58" i="187" s="1"/>
  <c r="I53" i="187" s="1"/>
  <c r="E250" i="187"/>
  <c r="E233" i="187"/>
  <c r="E241" i="187" s="1"/>
  <c r="D250" i="187"/>
  <c r="D233" i="187"/>
  <c r="F250" i="186"/>
  <c r="F233" i="186"/>
  <c r="D250" i="186"/>
  <c r="D233" i="186"/>
  <c r="D241" i="186" s="1"/>
  <c r="F166" i="187"/>
  <c r="F250" i="187"/>
  <c r="F241" i="187"/>
  <c r="F233" i="187"/>
  <c r="N250" i="187"/>
  <c r="N233" i="187"/>
  <c r="N241" i="187" s="1"/>
  <c r="R131" i="187"/>
  <c r="N166" i="187"/>
  <c r="R166" i="187"/>
  <c r="P166" i="186"/>
  <c r="F127" i="187"/>
  <c r="P166" i="187"/>
  <c r="J57" i="186"/>
  <c r="J58" i="186" s="1"/>
  <c r="R130" i="187"/>
  <c r="I57" i="186"/>
  <c r="C57" i="186"/>
  <c r="C58" i="186" s="1"/>
  <c r="S57" i="186"/>
  <c r="S58" i="186" s="1"/>
  <c r="S53" i="186" s="1"/>
  <c r="I250" i="186"/>
  <c r="I233" i="186"/>
  <c r="I241" i="186" s="1"/>
  <c r="F141" i="187"/>
  <c r="E127" i="187"/>
  <c r="E166" i="187"/>
  <c r="E141" i="187"/>
  <c r="M250" i="187"/>
  <c r="M233" i="187"/>
  <c r="M241" i="187"/>
  <c r="F130" i="186"/>
  <c r="F131" i="186"/>
  <c r="F141" i="186"/>
  <c r="S241" i="186"/>
  <c r="B216" i="6"/>
  <c r="U161" i="187"/>
  <c r="S161" i="186"/>
  <c r="N161" i="187"/>
  <c r="D161" i="187"/>
  <c r="H161" i="186"/>
  <c r="T161" i="187"/>
  <c r="R161" i="186"/>
  <c r="M161" i="187"/>
  <c r="C161" i="187"/>
  <c r="P161" i="186"/>
  <c r="R161" i="187"/>
  <c r="J161" i="187"/>
  <c r="N161" i="186"/>
  <c r="U161" i="186"/>
  <c r="P161" i="187"/>
  <c r="F161" i="187"/>
  <c r="J161" i="186"/>
  <c r="F161" i="186"/>
  <c r="O161" i="187"/>
  <c r="K161" i="186"/>
  <c r="E161" i="186"/>
  <c r="K161" i="187"/>
  <c r="I161" i="186"/>
  <c r="E161" i="187"/>
  <c r="S161" i="187"/>
  <c r="I161" i="187"/>
  <c r="M161" i="186"/>
  <c r="T161" i="186"/>
  <c r="D161" i="186"/>
  <c r="H161" i="187"/>
  <c r="O161" i="186"/>
  <c r="C161" i="186"/>
  <c r="K57" i="186"/>
  <c r="R166" i="186"/>
  <c r="O166" i="186"/>
  <c r="P176" i="186"/>
  <c r="P178" i="186" s="1"/>
  <c r="D57" i="187"/>
  <c r="D58" i="187" s="1"/>
  <c r="I162" i="187"/>
  <c r="I160" i="187"/>
  <c r="M162" i="186"/>
  <c r="M160" i="186"/>
  <c r="E160" i="186"/>
  <c r="H162" i="187"/>
  <c r="H160" i="187"/>
  <c r="K162" i="186"/>
  <c r="K160" i="186"/>
  <c r="C162" i="186"/>
  <c r="T162" i="186"/>
  <c r="T160" i="186"/>
  <c r="O162" i="187"/>
  <c r="E162" i="187"/>
  <c r="O160" i="187"/>
  <c r="E160" i="187"/>
  <c r="I162" i="186"/>
  <c r="I160" i="186"/>
  <c r="U162" i="187"/>
  <c r="U160" i="187"/>
  <c r="S162" i="186"/>
  <c r="S160" i="186"/>
  <c r="S162" i="187"/>
  <c r="S160" i="187"/>
  <c r="K162" i="187"/>
  <c r="K160" i="187"/>
  <c r="O162" i="186"/>
  <c r="O160" i="186"/>
  <c r="R160" i="186"/>
  <c r="C162" i="187"/>
  <c r="M160" i="187"/>
  <c r="H162" i="186"/>
  <c r="E162" i="186"/>
  <c r="C160" i="186"/>
  <c r="N162" i="186"/>
  <c r="J160" i="186"/>
  <c r="J162" i="187"/>
  <c r="D162" i="186"/>
  <c r="N160" i="186"/>
  <c r="F162" i="186"/>
  <c r="T162" i="187"/>
  <c r="J160" i="187"/>
  <c r="F160" i="186"/>
  <c r="R160" i="187"/>
  <c r="R162" i="186"/>
  <c r="R162" i="187"/>
  <c r="P162" i="187"/>
  <c r="F160" i="187"/>
  <c r="P162" i="186"/>
  <c r="P160" i="186"/>
  <c r="N160" i="187"/>
  <c r="N162" i="187"/>
  <c r="D160" i="187"/>
  <c r="D162" i="187"/>
  <c r="J162" i="186"/>
  <c r="T160" i="187"/>
  <c r="U162" i="186"/>
  <c r="M162" i="187"/>
  <c r="C160" i="187"/>
  <c r="H160" i="186"/>
  <c r="P160" i="187"/>
  <c r="F162" i="187"/>
  <c r="U160" i="186"/>
  <c r="D160" i="186"/>
  <c r="E57" i="187"/>
  <c r="E58" i="187" s="1"/>
  <c r="E53" i="187" s="1"/>
  <c r="J166" i="186"/>
  <c r="P141" i="186"/>
  <c r="N130" i="187"/>
  <c r="N141" i="187"/>
  <c r="P131" i="186"/>
  <c r="D166" i="186"/>
  <c r="P57" i="187"/>
  <c r="P58" i="187" s="1"/>
  <c r="P53" i="187" s="1"/>
  <c r="N166" i="186"/>
  <c r="O130" i="187"/>
  <c r="O141" i="187"/>
  <c r="K57" i="187"/>
  <c r="K58" i="187" s="1"/>
  <c r="K53" i="187" s="1"/>
  <c r="T57" i="186"/>
  <c r="T58" i="186" s="1"/>
  <c r="T53" i="186" s="1"/>
  <c r="F57" i="186"/>
  <c r="F58" i="186" s="1"/>
  <c r="F53" i="186" s="1"/>
  <c r="O57" i="187"/>
  <c r="O58" i="187" s="1"/>
  <c r="O53" i="187" s="1"/>
  <c r="F57" i="187"/>
  <c r="F58" i="187" s="1"/>
  <c r="F53" i="187" s="1"/>
  <c r="M57" i="186"/>
  <c r="M58" i="186" s="1"/>
  <c r="M53" i="186" s="1"/>
  <c r="E57" i="186"/>
  <c r="E58" i="186" s="1"/>
  <c r="E53" i="186" s="1"/>
  <c r="N176" i="186"/>
  <c r="N178" i="186" s="1"/>
  <c r="C57" i="187"/>
  <c r="C58" i="187" s="1"/>
  <c r="C53" i="187" s="1"/>
  <c r="J176" i="187"/>
  <c r="J178" i="187" s="1"/>
  <c r="I58" i="186"/>
  <c r="I53" i="186" s="1"/>
  <c r="J57" i="187"/>
  <c r="J58" i="187" s="1"/>
  <c r="J53" i="187" s="1"/>
  <c r="D57" i="186"/>
  <c r="D58" i="186" s="1"/>
  <c r="D53" i="186" s="1"/>
  <c r="D176" i="186"/>
  <c r="D178" i="186" s="1"/>
  <c r="R57" i="187"/>
  <c r="R58" i="187" s="1"/>
  <c r="R53" i="187" s="1"/>
  <c r="N57" i="186"/>
  <c r="N58" i="186" s="1"/>
  <c r="R156" i="187"/>
  <c r="U156" i="186"/>
  <c r="U67" i="186" s="1"/>
  <c r="T156" i="186"/>
  <c r="T67" i="186" s="1"/>
  <c r="S156" i="186"/>
  <c r="S67" i="186" s="1"/>
  <c r="R156" i="186"/>
  <c r="R67" i="186" s="1"/>
  <c r="S156" i="187"/>
  <c r="U156" i="187"/>
  <c r="T156" i="187"/>
  <c r="T67" i="187" s="1"/>
  <c r="S57" i="187"/>
  <c r="S58" i="187" s="1"/>
  <c r="S53" i="187" s="1"/>
  <c r="S176" i="187"/>
  <c r="S178" i="187" s="1"/>
  <c r="T176" i="187"/>
  <c r="T178" i="187" s="1"/>
  <c r="T53" i="187"/>
  <c r="U53" i="187"/>
  <c r="S141" i="187"/>
  <c r="S131" i="187"/>
  <c r="S130" i="187"/>
  <c r="U166" i="187"/>
  <c r="U131" i="187"/>
  <c r="U130" i="187"/>
  <c r="U141" i="187"/>
  <c r="U176" i="187"/>
  <c r="U193" i="187"/>
  <c r="R176" i="187"/>
  <c r="T141" i="187"/>
  <c r="T131" i="187"/>
  <c r="T166" i="187"/>
  <c r="T130" i="187"/>
  <c r="U178" i="186"/>
  <c r="T176" i="186"/>
  <c r="R141" i="186"/>
  <c r="R131" i="186"/>
  <c r="R130" i="186"/>
  <c r="R53" i="186"/>
  <c r="U141" i="186"/>
  <c r="U166" i="186"/>
  <c r="U131" i="186"/>
  <c r="U130" i="186"/>
  <c r="S131" i="186"/>
  <c r="S130" i="186"/>
  <c r="S141" i="186"/>
  <c r="S166" i="186"/>
  <c r="S178" i="186"/>
  <c r="U53" i="186"/>
  <c r="R176" i="186"/>
  <c r="M176" i="187"/>
  <c r="M178" i="187" s="1"/>
  <c r="H176" i="187"/>
  <c r="H178" i="187" s="1"/>
  <c r="I176" i="187"/>
  <c r="I178" i="187" s="1"/>
  <c r="K176" i="187"/>
  <c r="K178" i="187" s="1"/>
  <c r="C178" i="187"/>
  <c r="D178" i="187"/>
  <c r="K193" i="187"/>
  <c r="H193" i="187"/>
  <c r="D193" i="187"/>
  <c r="J193" i="187"/>
  <c r="K58" i="186"/>
  <c r="K53" i="186" s="1"/>
  <c r="F193" i="187"/>
  <c r="E193" i="187"/>
  <c r="E176" i="187"/>
  <c r="C156" i="186"/>
  <c r="C67" i="186" s="1"/>
  <c r="K156" i="187"/>
  <c r="K67" i="187" s="1"/>
  <c r="J156" i="187"/>
  <c r="J67" i="187" s="1"/>
  <c r="I156" i="187"/>
  <c r="I67" i="187" s="1"/>
  <c r="H156" i="187"/>
  <c r="C156" i="187"/>
  <c r="C67" i="187" s="1"/>
  <c r="O156" i="186"/>
  <c r="N156" i="186"/>
  <c r="F156" i="186"/>
  <c r="F67" i="186" s="1"/>
  <c r="M156" i="186"/>
  <c r="K156" i="186"/>
  <c r="K67" i="186" s="1"/>
  <c r="D156" i="186"/>
  <c r="D67" i="186" s="1"/>
  <c r="J156" i="186"/>
  <c r="J67" i="186" s="1"/>
  <c r="I156" i="186"/>
  <c r="E156" i="186"/>
  <c r="H156" i="186"/>
  <c r="H67" i="186" s="1"/>
  <c r="D156" i="187"/>
  <c r="D67" i="187" s="1"/>
  <c r="P156" i="187"/>
  <c r="O156" i="187"/>
  <c r="O67" i="187" s="1"/>
  <c r="P156" i="186"/>
  <c r="P67" i="186" s="1"/>
  <c r="N156" i="187"/>
  <c r="M156" i="187"/>
  <c r="E156" i="187"/>
  <c r="F156" i="187"/>
  <c r="F67" i="187" s="1"/>
  <c r="N57" i="187"/>
  <c r="N58" i="187" s="1"/>
  <c r="F176" i="187"/>
  <c r="M53" i="187"/>
  <c r="C193" i="187"/>
  <c r="J131" i="187"/>
  <c r="J130" i="187"/>
  <c r="J141" i="187"/>
  <c r="J166" i="187"/>
  <c r="J127" i="187"/>
  <c r="P178" i="187"/>
  <c r="N178" i="187"/>
  <c r="K131" i="187"/>
  <c r="K130" i="187"/>
  <c r="K141" i="187"/>
  <c r="K127" i="187"/>
  <c r="K166" i="187"/>
  <c r="H131" i="187"/>
  <c r="H130" i="187"/>
  <c r="H166" i="187"/>
  <c r="H141" i="187"/>
  <c r="H127" i="187"/>
  <c r="I131" i="187"/>
  <c r="I130" i="187"/>
  <c r="I141" i="187"/>
  <c r="I166" i="187"/>
  <c r="I127" i="187"/>
  <c r="I193" i="187"/>
  <c r="P57" i="186"/>
  <c r="P58" i="186" s="1"/>
  <c r="P53" i="186" s="1"/>
  <c r="O176" i="186"/>
  <c r="O178" i="186" s="1"/>
  <c r="N131" i="186"/>
  <c r="N130" i="186"/>
  <c r="N141" i="186"/>
  <c r="N53" i="186"/>
  <c r="M178" i="186"/>
  <c r="O130" i="186"/>
  <c r="O141" i="186"/>
  <c r="O131" i="186"/>
  <c r="O57" i="186"/>
  <c r="O58" i="186" s="1"/>
  <c r="K178" i="186"/>
  <c r="J53" i="186"/>
  <c r="H193" i="186"/>
  <c r="H176" i="186"/>
  <c r="I141" i="186"/>
  <c r="I127" i="186"/>
  <c r="I131" i="186"/>
  <c r="I130" i="186"/>
  <c r="J176" i="186"/>
  <c r="K193" i="186"/>
  <c r="H53" i="186"/>
  <c r="I193" i="186"/>
  <c r="J193" i="186"/>
  <c r="I176" i="186"/>
  <c r="I166" i="186"/>
  <c r="F193" i="186"/>
  <c r="E193" i="186"/>
  <c r="D141" i="186"/>
  <c r="D131" i="186"/>
  <c r="D130" i="186"/>
  <c r="D127" i="186"/>
  <c r="C176" i="186"/>
  <c r="C53" i="186"/>
  <c r="B203" i="6"/>
  <c r="B79" i="6"/>
  <c r="B77" i="6"/>
  <c r="U67" i="187" l="1"/>
  <c r="N67" i="186"/>
  <c r="S67" i="187"/>
  <c r="E67" i="187"/>
  <c r="O67" i="186"/>
  <c r="F241" i="186"/>
  <c r="M67" i="187"/>
  <c r="I67" i="186"/>
  <c r="R67" i="187"/>
  <c r="N67" i="187"/>
  <c r="H67" i="187"/>
  <c r="D241" i="187"/>
  <c r="P67" i="187"/>
  <c r="M67" i="186"/>
  <c r="E67" i="186"/>
  <c r="U155" i="187"/>
  <c r="T155" i="187"/>
  <c r="S155" i="187"/>
  <c r="R155" i="187"/>
  <c r="U155" i="186"/>
  <c r="T155" i="186"/>
  <c r="S155" i="186"/>
  <c r="R155" i="186"/>
  <c r="R178" i="187"/>
  <c r="U178" i="187"/>
  <c r="T178" i="186"/>
  <c r="R178" i="186"/>
  <c r="D53" i="187"/>
  <c r="N53" i="187"/>
  <c r="F178" i="187"/>
  <c r="K155" i="187"/>
  <c r="J155" i="187"/>
  <c r="I155" i="187"/>
  <c r="H155" i="187"/>
  <c r="P155" i="187"/>
  <c r="O155" i="187"/>
  <c r="F155" i="186"/>
  <c r="O155" i="186"/>
  <c r="N155" i="187"/>
  <c r="P155" i="186"/>
  <c r="J155" i="186"/>
  <c r="M155" i="187"/>
  <c r="F155" i="187"/>
  <c r="N155" i="186"/>
  <c r="E155" i="187"/>
  <c r="M155" i="186"/>
  <c r="D155" i="187"/>
  <c r="D155" i="186"/>
  <c r="C155" i="187"/>
  <c r="E155" i="186"/>
  <c r="K155" i="186"/>
  <c r="I155" i="186"/>
  <c r="H155" i="186"/>
  <c r="E178" i="187"/>
  <c r="O53" i="186"/>
  <c r="H178" i="186"/>
  <c r="I178" i="186"/>
  <c r="J178" i="186"/>
  <c r="B206" i="6"/>
  <c r="C155" i="186"/>
  <c r="C178" i="186"/>
  <c r="B204" i="6"/>
  <c r="C14" i="185"/>
  <c r="D43" i="6" l="1"/>
  <c r="G163" i="6" l="1"/>
  <c r="G164" i="6" s="1"/>
  <c r="G165" i="6" s="1"/>
  <c r="G166" i="6" s="1"/>
  <c r="G340" i="6"/>
  <c r="G339" i="6"/>
  <c r="G341" i="6" s="1"/>
  <c r="G342" i="6" s="1"/>
  <c r="H332" i="6"/>
  <c r="H331" i="6"/>
  <c r="G334" i="6"/>
  <c r="G333" i="6"/>
  <c r="G336" i="6" l="1"/>
  <c r="H334" i="6"/>
  <c r="E43" i="6"/>
  <c r="E44" i="6"/>
  <c r="D44" i="6"/>
  <c r="F22" i="6" l="1"/>
  <c r="D297" i="6" l="1"/>
  <c r="B255" i="6"/>
  <c r="B254" i="6"/>
  <c r="B253" i="6"/>
  <c r="B252" i="6"/>
  <c r="B251" i="6"/>
  <c r="B250" i="6"/>
  <c r="C244" i="6"/>
  <c r="A244" i="6"/>
  <c r="C243" i="6"/>
  <c r="A243" i="6"/>
  <c r="C242" i="6"/>
  <c r="A242" i="6"/>
  <c r="I146" i="6"/>
  <c r="H146" i="6"/>
  <c r="G146" i="6"/>
  <c r="G46" i="6"/>
  <c r="B17" i="6"/>
  <c r="B10" i="6"/>
  <c r="B9" i="6"/>
  <c r="U180" i="187" l="1"/>
  <c r="T195" i="186"/>
  <c r="H195" i="187"/>
  <c r="M180" i="187"/>
  <c r="C180" i="187"/>
  <c r="M180" i="186"/>
  <c r="J195" i="186"/>
  <c r="F195" i="186"/>
  <c r="D195" i="186"/>
  <c r="T180" i="187"/>
  <c r="S195" i="186"/>
  <c r="P195" i="187"/>
  <c r="F195" i="187"/>
  <c r="K180" i="187"/>
  <c r="P195" i="186"/>
  <c r="I195" i="186"/>
  <c r="E180" i="186"/>
  <c r="R180" i="187"/>
  <c r="N195" i="187"/>
  <c r="D195" i="187"/>
  <c r="I180" i="187"/>
  <c r="N195" i="186"/>
  <c r="K180" i="186"/>
  <c r="U195" i="187"/>
  <c r="U180" i="186"/>
  <c r="S195" i="187"/>
  <c r="S180" i="186"/>
  <c r="J195" i="187"/>
  <c r="O180" i="187"/>
  <c r="E180" i="187"/>
  <c r="O180" i="186"/>
  <c r="H180" i="186"/>
  <c r="S180" i="187"/>
  <c r="R195" i="186"/>
  <c r="N180" i="187"/>
  <c r="C195" i="186"/>
  <c r="E195" i="187"/>
  <c r="I180" i="186"/>
  <c r="P180" i="186"/>
  <c r="C180" i="186"/>
  <c r="P180" i="187"/>
  <c r="E195" i="186"/>
  <c r="O195" i="187"/>
  <c r="J180" i="187"/>
  <c r="T180" i="186"/>
  <c r="M195" i="187"/>
  <c r="H180" i="187"/>
  <c r="K195" i="186"/>
  <c r="H195" i="186"/>
  <c r="U195" i="186"/>
  <c r="R180" i="186"/>
  <c r="K195" i="187"/>
  <c r="F180" i="187"/>
  <c r="M195" i="186"/>
  <c r="C195" i="187"/>
  <c r="I195" i="187"/>
  <c r="D180" i="187"/>
  <c r="O195" i="186"/>
  <c r="J180" i="186"/>
  <c r="F180" i="186"/>
  <c r="D180" i="186"/>
  <c r="T195" i="187"/>
  <c r="R195" i="187"/>
  <c r="N180" i="186"/>
  <c r="C234" i="185"/>
  <c r="C195" i="185"/>
  <c r="C194" i="185"/>
  <c r="C192" i="185"/>
  <c r="C190" i="185"/>
  <c r="C189" i="185"/>
  <c r="C180" i="185"/>
  <c r="C114" i="185"/>
  <c r="C115" i="185" s="1"/>
  <c r="C113" i="185"/>
  <c r="C109" i="185"/>
  <c r="C110" i="185" s="1"/>
  <c r="C108" i="185"/>
  <c r="C104" i="185"/>
  <c r="C103" i="185"/>
  <c r="C102" i="185"/>
  <c r="C101" i="185"/>
  <c r="C100" i="185"/>
  <c r="C151" i="185" s="1"/>
  <c r="C99" i="185"/>
  <c r="C98" i="185"/>
  <c r="C174" i="185" s="1"/>
  <c r="C97" i="185"/>
  <c r="C41" i="185"/>
  <c r="C10" i="185"/>
  <c r="C263" i="185" l="1"/>
  <c r="C203" i="185"/>
  <c r="C87" i="185"/>
  <c r="C123" i="185"/>
  <c r="C122" i="185"/>
  <c r="C131" i="185" s="1"/>
  <c r="C248" i="185"/>
  <c r="C211" i="185"/>
  <c r="C116" i="185"/>
  <c r="C111" i="185"/>
  <c r="C188" i="185"/>
  <c r="C191" i="185" s="1"/>
  <c r="C193" i="185" s="1"/>
  <c r="C173" i="185"/>
  <c r="C96" i="185"/>
  <c r="C232" i="185" s="1"/>
  <c r="C40" i="185"/>
  <c r="C42" i="185"/>
  <c r="C56" i="185"/>
  <c r="C175" i="185"/>
  <c r="C84" i="185"/>
  <c r="C177" i="185"/>
  <c r="C179" i="185"/>
  <c r="C150" i="185"/>
  <c r="C57" i="185" l="1"/>
  <c r="C176" i="185"/>
  <c r="C178" i="185" s="1"/>
  <c r="C127" i="185"/>
  <c r="C166" i="185"/>
  <c r="C141" i="185"/>
  <c r="C130" i="185"/>
  <c r="C58" i="185"/>
  <c r="C53" i="185" s="1"/>
  <c r="C233" i="185"/>
  <c r="C241" i="185" s="1"/>
  <c r="C250" i="185"/>
  <c r="D357" i="6"/>
  <c r="D360" i="6" s="1"/>
  <c r="D356" i="6"/>
  <c r="D359" i="6" s="1"/>
  <c r="C357" i="6"/>
  <c r="C362" i="6" s="1"/>
  <c r="C356" i="6"/>
  <c r="C359" i="6" s="1"/>
  <c r="C364" i="6" l="1"/>
  <c r="C360" i="6"/>
  <c r="C361" i="6"/>
  <c r="C363" i="6"/>
  <c r="D361" i="6"/>
  <c r="D363" i="6"/>
  <c r="D364" i="6"/>
  <c r="D362" i="6"/>
  <c r="G112" i="6" l="1"/>
  <c r="H112" i="6"/>
  <c r="G113" i="6"/>
  <c r="H113" i="6"/>
  <c r="D93" i="6"/>
  <c r="D96" i="6"/>
  <c r="D109" i="6"/>
  <c r="D94" i="6" l="1"/>
  <c r="G93" i="6"/>
  <c r="B94" i="6"/>
  <c r="B41" i="6"/>
  <c r="S62" i="186" l="1"/>
  <c r="U62" i="187"/>
  <c r="U62" i="186"/>
  <c r="R62" i="187"/>
  <c r="T62" i="186"/>
  <c r="T62" i="187"/>
  <c r="R62" i="186"/>
  <c r="S62" i="187"/>
  <c r="K62" i="187"/>
  <c r="O62" i="187"/>
  <c r="N62" i="186"/>
  <c r="F62" i="186"/>
  <c r="C62" i="187"/>
  <c r="J62" i="187"/>
  <c r="N62" i="187"/>
  <c r="E62" i="187"/>
  <c r="E62" i="186"/>
  <c r="O62" i="186"/>
  <c r="M62" i="187"/>
  <c r="P62" i="187"/>
  <c r="H62" i="187"/>
  <c r="I62" i="187"/>
  <c r="D62" i="186"/>
  <c r="F62" i="187"/>
  <c r="D62" i="187"/>
  <c r="P62" i="186"/>
  <c r="I62" i="186"/>
  <c r="M62" i="186"/>
  <c r="K62" i="186"/>
  <c r="J62" i="186"/>
  <c r="H62" i="186"/>
  <c r="H41" i="6"/>
  <c r="C62" i="186"/>
  <c r="D95" i="6"/>
  <c r="G94" i="6"/>
  <c r="E94" i="6"/>
  <c r="B57" i="6" l="1"/>
  <c r="B82" i="6" l="1"/>
  <c r="B5" i="6"/>
  <c r="T224" i="187" l="1"/>
  <c r="S224" i="187"/>
  <c r="R274" i="187"/>
  <c r="R224" i="187"/>
  <c r="M225" i="187"/>
  <c r="M223" i="187"/>
  <c r="N224" i="187"/>
  <c r="U224" i="186"/>
  <c r="M225" i="186"/>
  <c r="M223" i="186"/>
  <c r="T224" i="186"/>
  <c r="M274" i="187"/>
  <c r="P224" i="186"/>
  <c r="U224" i="187"/>
  <c r="R274" i="186"/>
  <c r="H225" i="187"/>
  <c r="H223" i="187"/>
  <c r="K224" i="187"/>
  <c r="R225" i="186"/>
  <c r="M274" i="186"/>
  <c r="J224" i="187"/>
  <c r="R223" i="187"/>
  <c r="S224" i="186"/>
  <c r="I224" i="187"/>
  <c r="R224" i="186"/>
  <c r="N224" i="186"/>
  <c r="H274" i="187"/>
  <c r="R225" i="187"/>
  <c r="R223" i="186"/>
  <c r="M224" i="186"/>
  <c r="P224" i="187"/>
  <c r="O224" i="187"/>
  <c r="H224" i="187"/>
  <c r="M224" i="187"/>
  <c r="K224" i="186"/>
  <c r="I224" i="186"/>
  <c r="E224" i="187"/>
  <c r="O224" i="186"/>
  <c r="H224" i="186"/>
  <c r="F224" i="187"/>
  <c r="D224" i="186"/>
  <c r="C225" i="186"/>
  <c r="E224" i="186"/>
  <c r="C225" i="187"/>
  <c r="C224" i="186"/>
  <c r="C223" i="187"/>
  <c r="J224" i="186"/>
  <c r="C274" i="187"/>
  <c r="C274" i="186"/>
  <c r="C274" i="185"/>
  <c r="F224" i="186"/>
  <c r="C224" i="187"/>
  <c r="C223" i="186"/>
  <c r="D224" i="187"/>
  <c r="H223" i="186"/>
  <c r="H274" i="186"/>
  <c r="H225" i="186"/>
  <c r="C225" i="185"/>
  <c r="C224" i="185"/>
  <c r="C223" i="185"/>
  <c r="D6" i="6"/>
  <c r="H356" i="6" l="1"/>
  <c r="H355" i="6"/>
  <c r="H358" i="6" l="1"/>
  <c r="B15" i="6" l="1"/>
  <c r="C343" i="6" l="1"/>
  <c r="C329" i="6"/>
  <c r="C52" i="185" s="1"/>
  <c r="C18" i="185" l="1"/>
  <c r="C62" i="185" s="1"/>
  <c r="C162" i="185"/>
  <c r="B18" i="6"/>
  <c r="O204" i="186" l="1"/>
  <c r="E204" i="186"/>
  <c r="N204" i="186"/>
  <c r="D204" i="186"/>
  <c r="M204" i="186"/>
  <c r="M205" i="186" s="1"/>
  <c r="C204" i="186"/>
  <c r="C205" i="186" s="1"/>
  <c r="U204" i="186"/>
  <c r="K204" i="186"/>
  <c r="K205" i="186" s="1"/>
  <c r="F204" i="186"/>
  <c r="T204" i="186"/>
  <c r="S204" i="186"/>
  <c r="R204" i="186"/>
  <c r="P204" i="186"/>
  <c r="J204" i="186"/>
  <c r="J205" i="186" s="1"/>
  <c r="I204" i="186"/>
  <c r="I205" i="186" s="1"/>
  <c r="H204" i="186"/>
  <c r="H205" i="186" s="1"/>
  <c r="S206" i="186"/>
  <c r="S207" i="186" s="1"/>
  <c r="T206" i="186"/>
  <c r="T207" i="186" s="1"/>
  <c r="S205" i="186"/>
  <c r="U206" i="187"/>
  <c r="U207" i="187" s="1"/>
  <c r="U206" i="186"/>
  <c r="U207" i="186" s="1"/>
  <c r="R206" i="186"/>
  <c r="R207" i="186" s="1"/>
  <c r="T206" i="187"/>
  <c r="T207" i="187" s="1"/>
  <c r="R206" i="187"/>
  <c r="R207" i="187" s="1"/>
  <c r="S206" i="187"/>
  <c r="S207" i="187" s="1"/>
  <c r="S204" i="187"/>
  <c r="S205" i="187" s="1"/>
  <c r="R204" i="187"/>
  <c r="R205" i="187" s="1"/>
  <c r="U204" i="187"/>
  <c r="U205" i="187" s="1"/>
  <c r="T205" i="186"/>
  <c r="T204" i="187"/>
  <c r="T205" i="187" s="1"/>
  <c r="U205" i="186"/>
  <c r="R205" i="186"/>
  <c r="F204" i="187"/>
  <c r="F205" i="187" s="1"/>
  <c r="E204" i="187"/>
  <c r="E205" i="187" s="1"/>
  <c r="D204" i="187"/>
  <c r="D205" i="187" s="1"/>
  <c r="C204" i="187"/>
  <c r="C205" i="187" s="1"/>
  <c r="P206" i="187"/>
  <c r="P207" i="187" s="1"/>
  <c r="O206" i="187"/>
  <c r="O207" i="187" s="1"/>
  <c r="N206" i="187"/>
  <c r="N207" i="187" s="1"/>
  <c r="M206" i="187"/>
  <c r="M207" i="187" s="1"/>
  <c r="K206" i="187"/>
  <c r="K207" i="187" s="1"/>
  <c r="P204" i="187"/>
  <c r="P205" i="187" s="1"/>
  <c r="J206" i="187"/>
  <c r="J207" i="187" s="1"/>
  <c r="O204" i="187"/>
  <c r="O205" i="187" s="1"/>
  <c r="I206" i="187"/>
  <c r="I207" i="187" s="1"/>
  <c r="N204" i="187"/>
  <c r="N205" i="187" s="1"/>
  <c r="H206" i="187"/>
  <c r="H207" i="187" s="1"/>
  <c r="M204" i="187"/>
  <c r="M205" i="187" s="1"/>
  <c r="F206" i="187"/>
  <c r="F207" i="187" s="1"/>
  <c r="E206" i="187"/>
  <c r="E207" i="187" s="1"/>
  <c r="D206" i="187"/>
  <c r="D207" i="187" s="1"/>
  <c r="C206" i="187"/>
  <c r="C207" i="187" s="1"/>
  <c r="K204" i="187"/>
  <c r="K205" i="187" s="1"/>
  <c r="J204" i="187"/>
  <c r="J205" i="187" s="1"/>
  <c r="I204" i="187"/>
  <c r="I205" i="187" s="1"/>
  <c r="H204" i="187"/>
  <c r="H205" i="187" s="1"/>
  <c r="M206" i="186"/>
  <c r="M207" i="186" s="1"/>
  <c r="I206" i="186"/>
  <c r="I207" i="186" s="1"/>
  <c r="J206" i="186"/>
  <c r="J207" i="186" s="1"/>
  <c r="K206" i="186"/>
  <c r="K207" i="186" s="1"/>
  <c r="H206" i="186"/>
  <c r="H207" i="186" s="1"/>
  <c r="D206" i="186"/>
  <c r="D207" i="186" s="1"/>
  <c r="E206" i="186"/>
  <c r="E207" i="186" s="1"/>
  <c r="F206" i="186"/>
  <c r="F207" i="186" s="1"/>
  <c r="O206" i="186"/>
  <c r="O207" i="186" s="1"/>
  <c r="N206" i="186"/>
  <c r="N207" i="186" s="1"/>
  <c r="P206" i="186"/>
  <c r="P207" i="186" s="1"/>
  <c r="N205" i="186"/>
  <c r="D205" i="186"/>
  <c r="E205" i="186"/>
  <c r="P205" i="186"/>
  <c r="F205" i="186"/>
  <c r="O205" i="186"/>
  <c r="C206" i="185"/>
  <c r="C207" i="185" s="1"/>
  <c r="C206" i="186"/>
  <c r="C207" i="186" s="1"/>
  <c r="C204" i="185"/>
  <c r="C205" i="185" s="1"/>
  <c r="D106" i="6"/>
  <c r="D107" i="6" s="1"/>
  <c r="D108" i="6" s="1"/>
  <c r="I223" i="186" l="1"/>
  <c r="I225" i="186"/>
  <c r="I274" i="186"/>
  <c r="E223" i="186"/>
  <c r="E274" i="186"/>
  <c r="E225" i="186"/>
  <c r="K223" i="186"/>
  <c r="K274" i="186"/>
  <c r="K225" i="186"/>
  <c r="D274" i="186"/>
  <c r="D225" i="186"/>
  <c r="D223" i="186"/>
  <c r="T274" i="187"/>
  <c r="T225" i="187"/>
  <c r="T223" i="187"/>
  <c r="J225" i="186"/>
  <c r="J223" i="186"/>
  <c r="J274" i="186"/>
  <c r="N274" i="186"/>
  <c r="N225" i="186"/>
  <c r="N223" i="186"/>
  <c r="O223" i="187"/>
  <c r="O225" i="187"/>
  <c r="O274" i="187"/>
  <c r="U223" i="187"/>
  <c r="U274" i="187"/>
  <c r="U225" i="187"/>
  <c r="I223" i="187"/>
  <c r="I274" i="187"/>
  <c r="I225" i="187"/>
  <c r="U223" i="186"/>
  <c r="U225" i="186"/>
  <c r="U274" i="186"/>
  <c r="J274" i="187"/>
  <c r="J225" i="187"/>
  <c r="J223" i="187"/>
  <c r="K225" i="187"/>
  <c r="K274" i="187"/>
  <c r="K223" i="187"/>
  <c r="T274" i="186"/>
  <c r="T225" i="186"/>
  <c r="T223" i="186"/>
  <c r="O274" i="186"/>
  <c r="O225" i="186"/>
  <c r="O223" i="186"/>
  <c r="D225" i="187"/>
  <c r="D274" i="187"/>
  <c r="D223" i="187"/>
  <c r="S225" i="186"/>
  <c r="S223" i="186"/>
  <c r="S274" i="186"/>
  <c r="P223" i="187"/>
  <c r="P225" i="187"/>
  <c r="P274" i="187"/>
  <c r="E223" i="187"/>
  <c r="E225" i="187"/>
  <c r="E274" i="187"/>
  <c r="S225" i="187"/>
  <c r="S274" i="187"/>
  <c r="S223" i="187"/>
  <c r="N223" i="187"/>
  <c r="N274" i="187"/>
  <c r="N225" i="187"/>
  <c r="F274" i="186"/>
  <c r="F225" i="186"/>
  <c r="F223" i="186"/>
  <c r="P225" i="186"/>
  <c r="P274" i="186"/>
  <c r="P223" i="186"/>
  <c r="F274" i="187"/>
  <c r="F223" i="187"/>
  <c r="F225" i="187"/>
  <c r="R74" i="186"/>
  <c r="C74" i="186"/>
  <c r="S74" i="186"/>
  <c r="U74" i="186"/>
  <c r="T74" i="186"/>
  <c r="M74" i="186"/>
  <c r="M74" i="187"/>
  <c r="U74" i="187"/>
  <c r="R74" i="187"/>
  <c r="C74" i="185"/>
  <c r="S74" i="187"/>
  <c r="T74" i="187"/>
  <c r="N74" i="186"/>
  <c r="J74" i="186"/>
  <c r="I74" i="186"/>
  <c r="D74" i="186"/>
  <c r="N74" i="187"/>
  <c r="O74" i="187"/>
  <c r="P74" i="187"/>
  <c r="P74" i="186"/>
  <c r="H74" i="187"/>
  <c r="C74" i="187"/>
  <c r="O74" i="186"/>
  <c r="H74" i="186"/>
  <c r="I74" i="187"/>
  <c r="D74" i="187"/>
  <c r="K74" i="186"/>
  <c r="J74" i="187"/>
  <c r="E74" i="187"/>
  <c r="F74" i="186"/>
  <c r="E74" i="186"/>
  <c r="K74" i="187"/>
  <c r="F74" i="187"/>
  <c r="C161" i="185"/>
  <c r="C160" i="185"/>
  <c r="C224" i="6" l="1"/>
  <c r="C223" i="6"/>
  <c r="C222" i="6"/>
  <c r="C221" i="6"/>
  <c r="B202" i="6"/>
  <c r="C156" i="185" l="1"/>
  <c r="C67" i="185" s="1"/>
  <c r="C155" i="185"/>
  <c r="B70" i="6"/>
  <c r="B69" i="6"/>
  <c r="B68" i="6"/>
  <c r="B64" i="6"/>
  <c r="B63" i="6"/>
  <c r="B62" i="6"/>
  <c r="R152" i="186" l="1"/>
  <c r="R65" i="186" s="1"/>
  <c r="R152" i="187"/>
  <c r="R65" i="187" s="1"/>
  <c r="U152" i="186"/>
  <c r="U65" i="186" s="1"/>
  <c r="T152" i="186"/>
  <c r="T65" i="186" s="1"/>
  <c r="S152" i="186"/>
  <c r="S65" i="186" s="1"/>
  <c r="U152" i="187"/>
  <c r="U65" i="187" s="1"/>
  <c r="S152" i="187"/>
  <c r="S65" i="187" s="1"/>
  <c r="T152" i="187"/>
  <c r="T65" i="187" s="1"/>
  <c r="C152" i="186"/>
  <c r="C65" i="186" s="1"/>
  <c r="I152" i="186"/>
  <c r="I65" i="186" s="1"/>
  <c r="J152" i="187"/>
  <c r="J65" i="187" s="1"/>
  <c r="D152" i="186"/>
  <c r="D65" i="186" s="1"/>
  <c r="K152" i="187"/>
  <c r="K65" i="187" s="1"/>
  <c r="I152" i="187"/>
  <c r="I65" i="187" s="1"/>
  <c r="E152" i="187"/>
  <c r="E65" i="187" s="1"/>
  <c r="H152" i="187"/>
  <c r="H65" i="187" s="1"/>
  <c r="D152" i="187"/>
  <c r="D65" i="187" s="1"/>
  <c r="K152" i="186"/>
  <c r="K65" i="186" s="1"/>
  <c r="M152" i="186"/>
  <c r="M65" i="186" s="1"/>
  <c r="C152" i="187"/>
  <c r="C65" i="187" s="1"/>
  <c r="F152" i="186"/>
  <c r="F65" i="186" s="1"/>
  <c r="H152" i="186"/>
  <c r="H65" i="186" s="1"/>
  <c r="O152" i="186"/>
  <c r="O65" i="186" s="1"/>
  <c r="F152" i="187"/>
  <c r="F65" i="187" s="1"/>
  <c r="J152" i="186"/>
  <c r="J65" i="186" s="1"/>
  <c r="P152" i="186"/>
  <c r="P65" i="186" s="1"/>
  <c r="N152" i="187"/>
  <c r="N65" i="187" s="1"/>
  <c r="M152" i="187"/>
  <c r="M65" i="187" s="1"/>
  <c r="O152" i="187"/>
  <c r="O65" i="187" s="1"/>
  <c r="P152" i="187"/>
  <c r="P65" i="187" s="1"/>
  <c r="N152" i="186"/>
  <c r="N65" i="186" s="1"/>
  <c r="E152" i="186"/>
  <c r="E65" i="186" s="1"/>
  <c r="C152" i="185"/>
  <c r="C65" i="185" s="1"/>
  <c r="B101" i="6"/>
  <c r="B109" i="6"/>
  <c r="C106" i="6"/>
  <c r="B107" i="6"/>
  <c r="S221" i="186" l="1"/>
  <c r="S226" i="186" s="1"/>
  <c r="E221" i="186"/>
  <c r="E226" i="186" s="1"/>
  <c r="J221" i="186"/>
  <c r="J226" i="186" s="1"/>
  <c r="I221" i="186"/>
  <c r="I226" i="186" s="1"/>
  <c r="P221" i="186"/>
  <c r="P226" i="186" s="1"/>
  <c r="U221" i="186"/>
  <c r="U226" i="186" s="1"/>
  <c r="M221" i="186"/>
  <c r="M226" i="186" s="1"/>
  <c r="C221" i="186"/>
  <c r="C226" i="186" s="1"/>
  <c r="K221" i="186"/>
  <c r="K226" i="186" s="1"/>
  <c r="B108" i="6"/>
  <c r="T221" i="186" s="1"/>
  <c r="T226" i="186" s="1"/>
  <c r="C107" i="6"/>
  <c r="B102" i="6"/>
  <c r="B87" i="6"/>
  <c r="C96" i="6"/>
  <c r="F96" i="6" s="1"/>
  <c r="B96" i="6"/>
  <c r="C93" i="6"/>
  <c r="R221" i="187" l="1"/>
  <c r="R226" i="187" s="1"/>
  <c r="P270" i="187"/>
  <c r="P275" i="187" s="1"/>
  <c r="H221" i="187"/>
  <c r="H226" i="187" s="1"/>
  <c r="O270" i="187"/>
  <c r="O275" i="187" s="1"/>
  <c r="F221" i="186"/>
  <c r="F226" i="186" s="1"/>
  <c r="R221" i="186"/>
  <c r="R226" i="186" s="1"/>
  <c r="I221" i="187"/>
  <c r="I226" i="187" s="1"/>
  <c r="O221" i="186"/>
  <c r="O226" i="186" s="1"/>
  <c r="H221" i="186"/>
  <c r="H226" i="186" s="1"/>
  <c r="D221" i="186"/>
  <c r="D226" i="186" s="1"/>
  <c r="R270" i="187"/>
  <c r="R275" i="187" s="1"/>
  <c r="S221" i="187"/>
  <c r="S226" i="187" s="1"/>
  <c r="M270" i="187"/>
  <c r="M275" i="187" s="1"/>
  <c r="N221" i="186"/>
  <c r="N226" i="186" s="1"/>
  <c r="J221" i="187"/>
  <c r="J226" i="187" s="1"/>
  <c r="U270" i="187"/>
  <c r="U275" i="187" s="1"/>
  <c r="E89" i="6"/>
  <c r="E96" i="6"/>
  <c r="G96" i="6"/>
  <c r="C91" i="6"/>
  <c r="B95" i="6"/>
  <c r="C108" i="6"/>
  <c r="B103" i="6"/>
  <c r="C94" i="6"/>
  <c r="F94" i="6" s="1"/>
  <c r="B88" i="6"/>
  <c r="I270" i="187" l="1"/>
  <c r="I275" i="187" s="1"/>
  <c r="H270" i="187"/>
  <c r="H275" i="187" s="1"/>
  <c r="N221" i="187"/>
  <c r="N226" i="187" s="1"/>
  <c r="D270" i="187"/>
  <c r="D275" i="187" s="1"/>
  <c r="D221" i="187"/>
  <c r="D226" i="187" s="1"/>
  <c r="J270" i="187"/>
  <c r="J275" i="187" s="1"/>
  <c r="E221" i="187"/>
  <c r="E226" i="187" s="1"/>
  <c r="C221" i="187"/>
  <c r="C226" i="187" s="1"/>
  <c r="T221" i="187"/>
  <c r="T226" i="187" s="1"/>
  <c r="O221" i="187"/>
  <c r="O226" i="187" s="1"/>
  <c r="E270" i="187"/>
  <c r="E275" i="187" s="1"/>
  <c r="T270" i="187"/>
  <c r="T275" i="187" s="1"/>
  <c r="P221" i="187"/>
  <c r="P226" i="187" s="1"/>
  <c r="F221" i="187"/>
  <c r="F226" i="187" s="1"/>
  <c r="M221" i="187"/>
  <c r="M226" i="187" s="1"/>
  <c r="C270" i="187"/>
  <c r="C275" i="187" s="1"/>
  <c r="S270" i="187"/>
  <c r="S275" i="187" s="1"/>
  <c r="K221" i="187"/>
  <c r="K226" i="187" s="1"/>
  <c r="N270" i="187"/>
  <c r="N275" i="187" s="1"/>
  <c r="F270" i="187"/>
  <c r="F275" i="187" s="1"/>
  <c r="U221" i="187"/>
  <c r="U226" i="187" s="1"/>
  <c r="K270" i="187"/>
  <c r="K275" i="187" s="1"/>
  <c r="U214" i="186"/>
  <c r="R214" i="186"/>
  <c r="S214" i="186"/>
  <c r="T214" i="186"/>
  <c r="H214" i="186"/>
  <c r="I214" i="186"/>
  <c r="O214" i="186"/>
  <c r="F214" i="186"/>
  <c r="K214" i="186"/>
  <c r="J214" i="186"/>
  <c r="E214" i="186"/>
  <c r="D214" i="186"/>
  <c r="M214" i="186"/>
  <c r="N214" i="186"/>
  <c r="P214" i="186"/>
  <c r="G95" i="6"/>
  <c r="C214" i="186"/>
  <c r="E95" i="6"/>
  <c r="I93" i="6"/>
  <c r="C221" i="185"/>
  <c r="C226" i="185" s="1"/>
  <c r="B89" i="6"/>
  <c r="C95" i="6"/>
  <c r="B58" i="6"/>
  <c r="N214" i="187" l="1"/>
  <c r="C214" i="187"/>
  <c r="T214" i="187"/>
  <c r="H214" i="187"/>
  <c r="I214" i="187"/>
  <c r="R214" i="187"/>
  <c r="K214" i="187"/>
  <c r="U214" i="187"/>
  <c r="J214" i="187"/>
  <c r="S214" i="187"/>
  <c r="D214" i="187"/>
  <c r="F214" i="187"/>
  <c r="M214" i="187"/>
  <c r="O214" i="187"/>
  <c r="E214" i="187"/>
  <c r="P214" i="187"/>
  <c r="F95" i="6"/>
  <c r="J93" i="6"/>
  <c r="I95" i="6"/>
  <c r="J95" i="6"/>
  <c r="C214" i="185"/>
  <c r="B30" i="6"/>
  <c r="P127" i="187" l="1"/>
  <c r="O127" i="187"/>
  <c r="P127" i="186"/>
  <c r="M127" i="186"/>
  <c r="N127" i="187"/>
  <c r="M127" i="187"/>
  <c r="N127" i="186"/>
  <c r="O127" i="186"/>
  <c r="B42" i="6"/>
  <c r="B48" i="6"/>
  <c r="B36" i="6"/>
  <c r="T128" i="186" l="1"/>
  <c r="R128" i="187"/>
  <c r="S128" i="187"/>
  <c r="U128" i="186"/>
  <c r="T128" i="187"/>
  <c r="R128" i="186"/>
  <c r="U128" i="187"/>
  <c r="S128" i="186"/>
  <c r="M128" i="186"/>
  <c r="P128" i="186"/>
  <c r="H128" i="186"/>
  <c r="N128" i="187"/>
  <c r="F128" i="187"/>
  <c r="O128" i="187"/>
  <c r="J128" i="186"/>
  <c r="M128" i="187"/>
  <c r="F128" i="186"/>
  <c r="E128" i="187"/>
  <c r="P128" i="187"/>
  <c r="K128" i="186"/>
  <c r="E128" i="186"/>
  <c r="C128" i="187"/>
  <c r="D128" i="187"/>
  <c r="H128" i="187"/>
  <c r="D128" i="186"/>
  <c r="I128" i="186"/>
  <c r="K128" i="187"/>
  <c r="J128" i="187"/>
  <c r="I128" i="187"/>
  <c r="N128" i="186"/>
  <c r="O128" i="186"/>
  <c r="C128" i="185"/>
  <c r="C128" i="186"/>
  <c r="C109" i="6"/>
  <c r="B14" i="6" l="1"/>
  <c r="B46" i="6"/>
  <c r="B47" i="6" s="1"/>
  <c r="B4" i="6"/>
  <c r="B37" i="6"/>
  <c r="B51" i="6"/>
  <c r="B52" i="6"/>
  <c r="B53" i="6"/>
  <c r="B31" i="6"/>
  <c r="B33" i="6"/>
  <c r="B34" i="6" s="1"/>
  <c r="B32" i="6"/>
  <c r="S235" i="187" l="1"/>
  <c r="K235" i="187"/>
  <c r="D235" i="187"/>
  <c r="F235" i="186"/>
  <c r="K235" i="186"/>
  <c r="D235" i="186"/>
  <c r="R235" i="186"/>
  <c r="T235" i="186"/>
  <c r="O235" i="186"/>
  <c r="M235" i="186"/>
  <c r="R235" i="187"/>
  <c r="J235" i="187"/>
  <c r="I235" i="186"/>
  <c r="C235" i="187"/>
  <c r="E235" i="186"/>
  <c r="P235" i="187"/>
  <c r="M235" i="187"/>
  <c r="O235" i="187"/>
  <c r="H235" i="187"/>
  <c r="C235" i="186"/>
  <c r="P235" i="186"/>
  <c r="T235" i="187"/>
  <c r="N235" i="186"/>
  <c r="U235" i="187"/>
  <c r="J235" i="186"/>
  <c r="S235" i="186"/>
  <c r="N235" i="187"/>
  <c r="F235" i="187"/>
  <c r="U235" i="186"/>
  <c r="I235" i="187"/>
  <c r="E235" i="187"/>
  <c r="H235" i="186"/>
  <c r="U187" i="187"/>
  <c r="U196" i="187" s="1"/>
  <c r="U197" i="187" s="1"/>
  <c r="U198" i="187" s="1"/>
  <c r="U199" i="187" s="1"/>
  <c r="U200" i="187" s="1"/>
  <c r="T172" i="186"/>
  <c r="T181" i="186" s="1"/>
  <c r="T182" i="186" s="1"/>
  <c r="T183" i="186" s="1"/>
  <c r="T184" i="186" s="1"/>
  <c r="T185" i="186" s="1"/>
  <c r="T187" i="186"/>
  <c r="T196" i="186" s="1"/>
  <c r="T197" i="186" s="1"/>
  <c r="T198" i="186" s="1"/>
  <c r="T199" i="186" s="1"/>
  <c r="T200" i="186" s="1"/>
  <c r="T172" i="187"/>
  <c r="T181" i="187" s="1"/>
  <c r="T182" i="187" s="1"/>
  <c r="T183" i="187" s="1"/>
  <c r="T184" i="187" s="1"/>
  <c r="T185" i="187" s="1"/>
  <c r="S172" i="186"/>
  <c r="S181" i="186" s="1"/>
  <c r="S182" i="186" s="1"/>
  <c r="S183" i="186" s="1"/>
  <c r="S184" i="186" s="1"/>
  <c r="S185" i="186" s="1"/>
  <c r="S187" i="186"/>
  <c r="S196" i="186" s="1"/>
  <c r="S197" i="186" s="1"/>
  <c r="S198" i="186" s="1"/>
  <c r="S199" i="186" s="1"/>
  <c r="S200" i="186" s="1"/>
  <c r="S172" i="187"/>
  <c r="S181" i="187" s="1"/>
  <c r="S182" i="187" s="1"/>
  <c r="S183" i="187" s="1"/>
  <c r="S184" i="187" s="1"/>
  <c r="S185" i="187" s="1"/>
  <c r="U172" i="186"/>
  <c r="U181" i="186" s="1"/>
  <c r="U182" i="186" s="1"/>
  <c r="U183" i="186" s="1"/>
  <c r="U184" i="186" s="1"/>
  <c r="U185" i="186" s="1"/>
  <c r="R172" i="187"/>
  <c r="R181" i="187" s="1"/>
  <c r="R182" i="187" s="1"/>
  <c r="R183" i="187" s="1"/>
  <c r="R184" i="187" s="1"/>
  <c r="R185" i="187" s="1"/>
  <c r="R172" i="186"/>
  <c r="R181" i="186" s="1"/>
  <c r="R182" i="186" s="1"/>
  <c r="R183" i="186" s="1"/>
  <c r="R184" i="186" s="1"/>
  <c r="R185" i="186" s="1"/>
  <c r="T187" i="187"/>
  <c r="T196" i="187" s="1"/>
  <c r="T197" i="187" s="1"/>
  <c r="T198" i="187" s="1"/>
  <c r="T199" i="187" s="1"/>
  <c r="T200" i="187" s="1"/>
  <c r="U187" i="186"/>
  <c r="U196" i="186" s="1"/>
  <c r="U197" i="186" s="1"/>
  <c r="U198" i="186" s="1"/>
  <c r="U199" i="186" s="1"/>
  <c r="U200" i="186" s="1"/>
  <c r="U172" i="187"/>
  <c r="U181" i="187" s="1"/>
  <c r="U182" i="187" s="1"/>
  <c r="U183" i="187" s="1"/>
  <c r="U184" i="187" s="1"/>
  <c r="U185" i="187" s="1"/>
  <c r="R187" i="187"/>
  <c r="R196" i="187" s="1"/>
  <c r="R197" i="187" s="1"/>
  <c r="R198" i="187" s="1"/>
  <c r="R199" i="187" s="1"/>
  <c r="R200" i="187" s="1"/>
  <c r="R187" i="186"/>
  <c r="R196" i="186" s="1"/>
  <c r="R197" i="186" s="1"/>
  <c r="R198" i="186" s="1"/>
  <c r="R199" i="186" s="1"/>
  <c r="R200" i="186" s="1"/>
  <c r="S187" i="187"/>
  <c r="S196" i="187" s="1"/>
  <c r="S197" i="187" s="1"/>
  <c r="S198" i="187" s="1"/>
  <c r="S199" i="187" s="1"/>
  <c r="S200" i="187" s="1"/>
  <c r="S129" i="187"/>
  <c r="U129" i="186"/>
  <c r="U129" i="187"/>
  <c r="T129" i="187"/>
  <c r="R129" i="186"/>
  <c r="S129" i="186"/>
  <c r="T129" i="186"/>
  <c r="R129" i="187"/>
  <c r="R127" i="187"/>
  <c r="T127" i="186"/>
  <c r="U127" i="186"/>
  <c r="R127" i="186"/>
  <c r="T127" i="187"/>
  <c r="U127" i="187"/>
  <c r="S127" i="187"/>
  <c r="S127" i="186"/>
  <c r="U142" i="186"/>
  <c r="T142" i="186"/>
  <c r="S142" i="186"/>
  <c r="R142" i="186"/>
  <c r="U142" i="187"/>
  <c r="T142" i="187"/>
  <c r="S142" i="187"/>
  <c r="R142" i="187"/>
  <c r="C142" i="186"/>
  <c r="F142" i="187"/>
  <c r="E142" i="187"/>
  <c r="D142" i="187"/>
  <c r="C142" i="187"/>
  <c r="P142" i="187"/>
  <c r="O142" i="187"/>
  <c r="N142" i="187"/>
  <c r="M142" i="187"/>
  <c r="F142" i="186"/>
  <c r="D142" i="186"/>
  <c r="P142" i="186"/>
  <c r="O142" i="186"/>
  <c r="N142" i="186"/>
  <c r="E142" i="186"/>
  <c r="M142" i="186"/>
  <c r="K142" i="187"/>
  <c r="K142" i="186"/>
  <c r="J142" i="187"/>
  <c r="I142" i="186"/>
  <c r="I142" i="187"/>
  <c r="J142" i="186"/>
  <c r="H142" i="187"/>
  <c r="H142" i="186"/>
  <c r="C129" i="186"/>
  <c r="E129" i="187"/>
  <c r="M129" i="186"/>
  <c r="C129" i="187"/>
  <c r="N129" i="187"/>
  <c r="E129" i="186"/>
  <c r="O129" i="187"/>
  <c r="P129" i="187"/>
  <c r="F129" i="186"/>
  <c r="H129" i="186"/>
  <c r="P129" i="186"/>
  <c r="F129" i="187"/>
  <c r="I129" i="186"/>
  <c r="H129" i="187"/>
  <c r="M129" i="187"/>
  <c r="J129" i="186"/>
  <c r="J129" i="187"/>
  <c r="K129" i="187"/>
  <c r="N129" i="186"/>
  <c r="K129" i="186"/>
  <c r="D129" i="187"/>
  <c r="D129" i="186"/>
  <c r="O129" i="186"/>
  <c r="I129" i="187"/>
  <c r="F187" i="187"/>
  <c r="F196" i="187" s="1"/>
  <c r="F197" i="187" s="1"/>
  <c r="F198" i="187" s="1"/>
  <c r="F199" i="187" s="1"/>
  <c r="F200" i="187" s="1"/>
  <c r="H187" i="187"/>
  <c r="H196" i="187" s="1"/>
  <c r="H197" i="187" s="1"/>
  <c r="H198" i="187" s="1"/>
  <c r="H199" i="187" s="1"/>
  <c r="H200" i="187" s="1"/>
  <c r="D172" i="186"/>
  <c r="D181" i="186" s="1"/>
  <c r="D182" i="186" s="1"/>
  <c r="D183" i="186" s="1"/>
  <c r="D184" i="186" s="1"/>
  <c r="D185" i="186" s="1"/>
  <c r="J172" i="186"/>
  <c r="J181" i="186" s="1"/>
  <c r="J182" i="186" s="1"/>
  <c r="J183" i="186" s="1"/>
  <c r="J184" i="186" s="1"/>
  <c r="J185" i="186" s="1"/>
  <c r="I172" i="187"/>
  <c r="I181" i="187" s="1"/>
  <c r="I182" i="187" s="1"/>
  <c r="I183" i="187" s="1"/>
  <c r="I184" i="187" s="1"/>
  <c r="I185" i="187" s="1"/>
  <c r="I187" i="186"/>
  <c r="I196" i="186" s="1"/>
  <c r="I197" i="186" s="1"/>
  <c r="I198" i="186" s="1"/>
  <c r="I199" i="186" s="1"/>
  <c r="I200" i="186" s="1"/>
  <c r="O187" i="186"/>
  <c r="O196" i="186" s="1"/>
  <c r="O197" i="186" s="1"/>
  <c r="O198" i="186" s="1"/>
  <c r="O199" i="186" s="1"/>
  <c r="O200" i="186" s="1"/>
  <c r="H172" i="186"/>
  <c r="H181" i="186" s="1"/>
  <c r="H182" i="186" s="1"/>
  <c r="H183" i="186" s="1"/>
  <c r="H184" i="186" s="1"/>
  <c r="H185" i="186" s="1"/>
  <c r="J187" i="186"/>
  <c r="J196" i="186" s="1"/>
  <c r="J197" i="186" s="1"/>
  <c r="J198" i="186" s="1"/>
  <c r="J199" i="186" s="1"/>
  <c r="J200" i="186" s="1"/>
  <c r="P172" i="187"/>
  <c r="P181" i="187" s="1"/>
  <c r="P182" i="187" s="1"/>
  <c r="P183" i="187" s="1"/>
  <c r="P184" i="187" s="1"/>
  <c r="P185" i="187" s="1"/>
  <c r="K172" i="187"/>
  <c r="K181" i="187" s="1"/>
  <c r="K182" i="187" s="1"/>
  <c r="K183" i="187" s="1"/>
  <c r="K184" i="187" s="1"/>
  <c r="K185" i="187" s="1"/>
  <c r="M172" i="186"/>
  <c r="M181" i="186" s="1"/>
  <c r="M182" i="186" s="1"/>
  <c r="M183" i="186" s="1"/>
  <c r="M184" i="186" s="1"/>
  <c r="M185" i="186" s="1"/>
  <c r="E187" i="187"/>
  <c r="E196" i="187" s="1"/>
  <c r="E197" i="187" s="1"/>
  <c r="E198" i="187" s="1"/>
  <c r="E199" i="187" s="1"/>
  <c r="E200" i="187" s="1"/>
  <c r="J172" i="187"/>
  <c r="J181" i="187" s="1"/>
  <c r="J182" i="187" s="1"/>
  <c r="J183" i="187" s="1"/>
  <c r="J184" i="187" s="1"/>
  <c r="J185" i="187" s="1"/>
  <c r="I172" i="186"/>
  <c r="I181" i="186" s="1"/>
  <c r="I182" i="186" s="1"/>
  <c r="I183" i="186" s="1"/>
  <c r="I184" i="186" s="1"/>
  <c r="I185" i="186" s="1"/>
  <c r="F187" i="186"/>
  <c r="F196" i="186" s="1"/>
  <c r="F197" i="186" s="1"/>
  <c r="F198" i="186" s="1"/>
  <c r="F199" i="186" s="1"/>
  <c r="F200" i="186" s="1"/>
  <c r="H172" i="187"/>
  <c r="H181" i="187" s="1"/>
  <c r="H182" i="187" s="1"/>
  <c r="H183" i="187" s="1"/>
  <c r="H184" i="187" s="1"/>
  <c r="H185" i="187" s="1"/>
  <c r="E172" i="187"/>
  <c r="E181" i="187" s="1"/>
  <c r="E182" i="187" s="1"/>
  <c r="E183" i="187" s="1"/>
  <c r="E184" i="187" s="1"/>
  <c r="E185" i="187" s="1"/>
  <c r="O172" i="187"/>
  <c r="O181" i="187" s="1"/>
  <c r="O182" i="187" s="1"/>
  <c r="O183" i="187" s="1"/>
  <c r="O184" i="187" s="1"/>
  <c r="O185" i="187" s="1"/>
  <c r="D187" i="186"/>
  <c r="D196" i="186" s="1"/>
  <c r="D197" i="186" s="1"/>
  <c r="D198" i="186" s="1"/>
  <c r="D199" i="186" s="1"/>
  <c r="D200" i="186" s="1"/>
  <c r="K187" i="187"/>
  <c r="K196" i="187" s="1"/>
  <c r="K197" i="187" s="1"/>
  <c r="K198" i="187" s="1"/>
  <c r="K199" i="187" s="1"/>
  <c r="K200" i="187" s="1"/>
  <c r="N187" i="187"/>
  <c r="N196" i="187" s="1"/>
  <c r="N197" i="187" s="1"/>
  <c r="N198" i="187" s="1"/>
  <c r="N199" i="187" s="1"/>
  <c r="N200" i="187" s="1"/>
  <c r="D187" i="187"/>
  <c r="D196" i="187" s="1"/>
  <c r="D197" i="187" s="1"/>
  <c r="D198" i="187" s="1"/>
  <c r="D199" i="187" s="1"/>
  <c r="D200" i="187" s="1"/>
  <c r="K172" i="186"/>
  <c r="K181" i="186" s="1"/>
  <c r="K182" i="186" s="1"/>
  <c r="K183" i="186" s="1"/>
  <c r="K184" i="186" s="1"/>
  <c r="K185" i="186" s="1"/>
  <c r="N172" i="187"/>
  <c r="N181" i="187" s="1"/>
  <c r="N182" i="187" s="1"/>
  <c r="N183" i="187" s="1"/>
  <c r="N184" i="187" s="1"/>
  <c r="N185" i="187" s="1"/>
  <c r="F172" i="187"/>
  <c r="F181" i="187" s="1"/>
  <c r="F182" i="187" s="1"/>
  <c r="F183" i="187" s="1"/>
  <c r="F184" i="187" s="1"/>
  <c r="F185" i="187" s="1"/>
  <c r="H187" i="186"/>
  <c r="H196" i="186" s="1"/>
  <c r="H197" i="186" s="1"/>
  <c r="H198" i="186" s="1"/>
  <c r="H199" i="186" s="1"/>
  <c r="H200" i="186" s="1"/>
  <c r="P187" i="186"/>
  <c r="P196" i="186" s="1"/>
  <c r="P197" i="186" s="1"/>
  <c r="P198" i="186" s="1"/>
  <c r="P199" i="186" s="1"/>
  <c r="P200" i="186" s="1"/>
  <c r="C187" i="187"/>
  <c r="C196" i="187" s="1"/>
  <c r="C197" i="187" s="1"/>
  <c r="C198" i="187" s="1"/>
  <c r="C199" i="187" s="1"/>
  <c r="C200" i="187" s="1"/>
  <c r="N187" i="186"/>
  <c r="N196" i="186" s="1"/>
  <c r="N197" i="186" s="1"/>
  <c r="N198" i="186" s="1"/>
  <c r="N199" i="186" s="1"/>
  <c r="N200" i="186" s="1"/>
  <c r="M172" i="187"/>
  <c r="M181" i="187" s="1"/>
  <c r="M182" i="187" s="1"/>
  <c r="M183" i="187" s="1"/>
  <c r="M184" i="187" s="1"/>
  <c r="M185" i="187" s="1"/>
  <c r="D172" i="187"/>
  <c r="D181" i="187" s="1"/>
  <c r="D182" i="187" s="1"/>
  <c r="D183" i="187" s="1"/>
  <c r="D184" i="187" s="1"/>
  <c r="D185" i="187" s="1"/>
  <c r="E172" i="186"/>
  <c r="E181" i="186" s="1"/>
  <c r="E182" i="186" s="1"/>
  <c r="E183" i="186" s="1"/>
  <c r="E184" i="186" s="1"/>
  <c r="E185" i="186" s="1"/>
  <c r="I187" i="187"/>
  <c r="I196" i="187" s="1"/>
  <c r="I197" i="187" s="1"/>
  <c r="I198" i="187" s="1"/>
  <c r="I199" i="187" s="1"/>
  <c r="I200" i="187" s="1"/>
  <c r="O172" i="186"/>
  <c r="O181" i="186" s="1"/>
  <c r="O182" i="186" s="1"/>
  <c r="O183" i="186" s="1"/>
  <c r="O184" i="186" s="1"/>
  <c r="O185" i="186" s="1"/>
  <c r="C172" i="187"/>
  <c r="C181" i="187" s="1"/>
  <c r="C182" i="187" s="1"/>
  <c r="C183" i="187" s="1"/>
  <c r="C184" i="187" s="1"/>
  <c r="C185" i="187" s="1"/>
  <c r="N172" i="186"/>
  <c r="N181" i="186" s="1"/>
  <c r="N182" i="186" s="1"/>
  <c r="N183" i="186" s="1"/>
  <c r="N184" i="186" s="1"/>
  <c r="N185" i="186" s="1"/>
  <c r="P172" i="186"/>
  <c r="P181" i="186" s="1"/>
  <c r="P182" i="186" s="1"/>
  <c r="P183" i="186" s="1"/>
  <c r="P184" i="186" s="1"/>
  <c r="P185" i="186" s="1"/>
  <c r="K187" i="186"/>
  <c r="K196" i="186" s="1"/>
  <c r="K197" i="186" s="1"/>
  <c r="K198" i="186" s="1"/>
  <c r="K199" i="186" s="1"/>
  <c r="K200" i="186" s="1"/>
  <c r="M187" i="187"/>
  <c r="M196" i="187" s="1"/>
  <c r="M197" i="187" s="1"/>
  <c r="M198" i="187" s="1"/>
  <c r="M199" i="187" s="1"/>
  <c r="M200" i="187" s="1"/>
  <c r="J187" i="187"/>
  <c r="J196" i="187" s="1"/>
  <c r="J197" i="187" s="1"/>
  <c r="J198" i="187" s="1"/>
  <c r="J199" i="187" s="1"/>
  <c r="J200" i="187" s="1"/>
  <c r="E187" i="186"/>
  <c r="E196" i="186" s="1"/>
  <c r="E197" i="186" s="1"/>
  <c r="E198" i="186" s="1"/>
  <c r="E199" i="186" s="1"/>
  <c r="E200" i="186" s="1"/>
  <c r="O187" i="187"/>
  <c r="O196" i="187" s="1"/>
  <c r="O197" i="187" s="1"/>
  <c r="O198" i="187" s="1"/>
  <c r="O199" i="187" s="1"/>
  <c r="O200" i="187" s="1"/>
  <c r="P187" i="187"/>
  <c r="P196" i="187" s="1"/>
  <c r="P197" i="187" s="1"/>
  <c r="P198" i="187" s="1"/>
  <c r="P199" i="187" s="1"/>
  <c r="P200" i="187" s="1"/>
  <c r="F172" i="186"/>
  <c r="F181" i="186" s="1"/>
  <c r="F182" i="186" s="1"/>
  <c r="F183" i="186" s="1"/>
  <c r="F184" i="186" s="1"/>
  <c r="F185" i="186" s="1"/>
  <c r="M187" i="186"/>
  <c r="M196" i="186" s="1"/>
  <c r="M197" i="186" s="1"/>
  <c r="M198" i="186" s="1"/>
  <c r="M199" i="186" s="1"/>
  <c r="M200" i="186" s="1"/>
  <c r="C172" i="186"/>
  <c r="C181" i="186" s="1"/>
  <c r="C182" i="186" s="1"/>
  <c r="C183" i="186" s="1"/>
  <c r="C184" i="186" s="1"/>
  <c r="C185" i="186" s="1"/>
  <c r="C187" i="186"/>
  <c r="C196" i="186" s="1"/>
  <c r="C197" i="186" s="1"/>
  <c r="C198" i="186" s="1"/>
  <c r="C199" i="186" s="1"/>
  <c r="C200" i="186" s="1"/>
  <c r="C129" i="185"/>
  <c r="C187" i="185"/>
  <c r="C235" i="185"/>
  <c r="C172" i="185"/>
  <c r="C142" i="185"/>
  <c r="B13" i="6"/>
  <c r="B16" i="6"/>
  <c r="N237" i="187" l="1"/>
  <c r="N240" i="187" s="1"/>
  <c r="N236" i="187"/>
  <c r="N239" i="187" s="1"/>
  <c r="N242" i="187" s="1"/>
  <c r="N243" i="187" s="1"/>
  <c r="N245" i="187" s="1"/>
  <c r="N246" i="187" s="1"/>
  <c r="N247" i="187" s="1"/>
  <c r="N253" i="187"/>
  <c r="O222" i="186"/>
  <c r="O271" i="186"/>
  <c r="K271" i="187"/>
  <c r="K222" i="187"/>
  <c r="H254" i="186"/>
  <c r="H78" i="186" s="1"/>
  <c r="H253" i="186"/>
  <c r="H236" i="186"/>
  <c r="H239" i="186" s="1"/>
  <c r="H237" i="186"/>
  <c r="H240" i="186" s="1"/>
  <c r="H242" i="186" s="1"/>
  <c r="H243" i="186" s="1"/>
  <c r="H245" i="186" s="1"/>
  <c r="H246" i="186" s="1"/>
  <c r="H247" i="186" s="1"/>
  <c r="P222" i="187"/>
  <c r="P271" i="187"/>
  <c r="R271" i="186"/>
  <c r="R222" i="186"/>
  <c r="E253" i="187"/>
  <c r="E236" i="187"/>
  <c r="E239" i="187" s="1"/>
  <c r="E237" i="187"/>
  <c r="E240" i="187" s="1"/>
  <c r="N253" i="186"/>
  <c r="N236" i="186"/>
  <c r="N239" i="186" s="1"/>
  <c r="N237" i="186"/>
  <c r="N240" i="186" s="1"/>
  <c r="H237" i="187"/>
  <c r="H240" i="187" s="1"/>
  <c r="H236" i="187"/>
  <c r="H239" i="187" s="1"/>
  <c r="H254" i="187"/>
  <c r="H253" i="187"/>
  <c r="R253" i="186"/>
  <c r="R254" i="186"/>
  <c r="R237" i="186"/>
  <c r="R240" i="186" s="1"/>
  <c r="R236" i="186"/>
  <c r="R239" i="186" s="1"/>
  <c r="D237" i="187"/>
  <c r="D240" i="187" s="1"/>
  <c r="D242" i="187" s="1"/>
  <c r="D243" i="187" s="1"/>
  <c r="D245" i="187" s="1"/>
  <c r="D246" i="187" s="1"/>
  <c r="D247" i="187" s="1"/>
  <c r="D253" i="187"/>
  <c r="D236" i="187"/>
  <c r="D239" i="187" s="1"/>
  <c r="E222" i="186"/>
  <c r="E271" i="186"/>
  <c r="N222" i="187"/>
  <c r="N271" i="187"/>
  <c r="H271" i="187"/>
  <c r="H222" i="187"/>
  <c r="U222" i="187"/>
  <c r="U271" i="187"/>
  <c r="I237" i="187"/>
  <c r="I240" i="187" s="1"/>
  <c r="I253" i="187"/>
  <c r="I236" i="187"/>
  <c r="I239" i="187" s="1"/>
  <c r="T253" i="187"/>
  <c r="T236" i="187"/>
  <c r="T239" i="187" s="1"/>
  <c r="T237" i="187"/>
  <c r="T240" i="187" s="1"/>
  <c r="O237" i="187"/>
  <c r="O240" i="187" s="1"/>
  <c r="O253" i="187"/>
  <c r="O236" i="187"/>
  <c r="O239" i="187" s="1"/>
  <c r="E236" i="186"/>
  <c r="E239" i="186" s="1"/>
  <c r="E237" i="186"/>
  <c r="E240" i="186" s="1"/>
  <c r="E253" i="186"/>
  <c r="I253" i="186"/>
  <c r="I236" i="186"/>
  <c r="I239" i="186" s="1"/>
  <c r="I237" i="186"/>
  <c r="I240" i="186" s="1"/>
  <c r="I242" i="186" s="1"/>
  <c r="I243" i="186" s="1"/>
  <c r="M236" i="186"/>
  <c r="M239" i="186" s="1"/>
  <c r="M253" i="186"/>
  <c r="M237" i="186"/>
  <c r="M240" i="186" s="1"/>
  <c r="M254" i="186"/>
  <c r="M78" i="186" s="1"/>
  <c r="D237" i="186"/>
  <c r="D240" i="186" s="1"/>
  <c r="D253" i="186"/>
  <c r="D236" i="186"/>
  <c r="D239" i="186" s="1"/>
  <c r="C271" i="187"/>
  <c r="C222" i="187"/>
  <c r="M271" i="186"/>
  <c r="M222" i="186"/>
  <c r="O271" i="187"/>
  <c r="O222" i="187"/>
  <c r="C237" i="186"/>
  <c r="C240" i="186" s="1"/>
  <c r="C253" i="186"/>
  <c r="C254" i="186"/>
  <c r="C236" i="186"/>
  <c r="C239" i="186" s="1"/>
  <c r="F271" i="187"/>
  <c r="F222" i="187"/>
  <c r="K222" i="186"/>
  <c r="K271" i="186"/>
  <c r="T222" i="186"/>
  <c r="T271" i="186"/>
  <c r="U253" i="186"/>
  <c r="U237" i="186"/>
  <c r="U240" i="186" s="1"/>
  <c r="U236" i="186"/>
  <c r="U239" i="186" s="1"/>
  <c r="J236" i="186"/>
  <c r="J239" i="186" s="1"/>
  <c r="J253" i="186"/>
  <c r="J237" i="186"/>
  <c r="J240" i="186" s="1"/>
  <c r="P236" i="186"/>
  <c r="P239" i="186" s="1"/>
  <c r="P253" i="186"/>
  <c r="P237" i="186"/>
  <c r="P240" i="186" s="1"/>
  <c r="P242" i="186" s="1"/>
  <c r="P243" i="186" s="1"/>
  <c r="P245" i="186" s="1"/>
  <c r="P246" i="186" s="1"/>
  <c r="P247" i="186" s="1"/>
  <c r="K236" i="186"/>
  <c r="K239" i="186" s="1"/>
  <c r="K253" i="186"/>
  <c r="K237" i="186"/>
  <c r="K240" i="186" s="1"/>
  <c r="K242" i="186" s="1"/>
  <c r="K243" i="186" s="1"/>
  <c r="K245" i="186" s="1"/>
  <c r="K246" i="186" s="1"/>
  <c r="K247" i="186" s="1"/>
  <c r="K253" i="187"/>
  <c r="K237" i="187"/>
  <c r="K240" i="187" s="1"/>
  <c r="K236" i="187"/>
  <c r="K239" i="187" s="1"/>
  <c r="T257" i="187"/>
  <c r="S257" i="187"/>
  <c r="U257" i="186"/>
  <c r="R257" i="187"/>
  <c r="T257" i="186"/>
  <c r="M257" i="186"/>
  <c r="U257" i="187"/>
  <c r="P257" i="187"/>
  <c r="S257" i="186"/>
  <c r="I257" i="187"/>
  <c r="R257" i="186"/>
  <c r="H257" i="187"/>
  <c r="O257" i="187"/>
  <c r="N257" i="187"/>
  <c r="M257" i="187"/>
  <c r="N257" i="186"/>
  <c r="E257" i="187"/>
  <c r="F257" i="187"/>
  <c r="K257" i="186"/>
  <c r="J257" i="186"/>
  <c r="I257" i="186"/>
  <c r="P257" i="186"/>
  <c r="J257" i="187"/>
  <c r="O257" i="186"/>
  <c r="D257" i="187"/>
  <c r="K257" i="187"/>
  <c r="F257" i="186"/>
  <c r="C257" i="187"/>
  <c r="C257" i="186"/>
  <c r="H257" i="186"/>
  <c r="D257" i="186"/>
  <c r="E257" i="186"/>
  <c r="C222" i="186"/>
  <c r="C271" i="186"/>
  <c r="M271" i="187"/>
  <c r="M222" i="187"/>
  <c r="I222" i="186"/>
  <c r="I271" i="186"/>
  <c r="S271" i="186"/>
  <c r="S222" i="186"/>
  <c r="F253" i="187"/>
  <c r="F237" i="187"/>
  <c r="F240" i="187" s="1"/>
  <c r="F236" i="187"/>
  <c r="F239" i="187" s="1"/>
  <c r="M237" i="187"/>
  <c r="M240" i="187" s="1"/>
  <c r="M254" i="187"/>
  <c r="M78" i="187" s="1"/>
  <c r="M236" i="187"/>
  <c r="M239" i="187" s="1"/>
  <c r="M253" i="187"/>
  <c r="F237" i="186"/>
  <c r="F240" i="186" s="1"/>
  <c r="F253" i="186"/>
  <c r="F236" i="186"/>
  <c r="F239" i="186" s="1"/>
  <c r="J222" i="186"/>
  <c r="J271" i="186"/>
  <c r="S222" i="187"/>
  <c r="S271" i="187"/>
  <c r="R253" i="187"/>
  <c r="R237" i="187"/>
  <c r="R240" i="187" s="1"/>
  <c r="R242" i="187" s="1"/>
  <c r="R243" i="187" s="1"/>
  <c r="R245" i="187" s="1"/>
  <c r="R246" i="187" s="1"/>
  <c r="R247" i="187" s="1"/>
  <c r="R236" i="187"/>
  <c r="R239" i="187" s="1"/>
  <c r="R254" i="187"/>
  <c r="R78" i="187" s="1"/>
  <c r="E222" i="187"/>
  <c r="E271" i="187"/>
  <c r="H222" i="186"/>
  <c r="H271" i="186"/>
  <c r="J222" i="187"/>
  <c r="J271" i="187"/>
  <c r="U236" i="187"/>
  <c r="U239" i="187" s="1"/>
  <c r="U253" i="187"/>
  <c r="U237" i="187"/>
  <c r="U240" i="187" s="1"/>
  <c r="C237" i="187"/>
  <c r="C240" i="187" s="1"/>
  <c r="C242" i="187" s="1"/>
  <c r="C243" i="187" s="1"/>
  <c r="C245" i="187" s="1"/>
  <c r="C246" i="187" s="1"/>
  <c r="C247" i="187" s="1"/>
  <c r="C254" i="187"/>
  <c r="C253" i="187"/>
  <c r="C236" i="187"/>
  <c r="C239" i="187" s="1"/>
  <c r="J237" i="187"/>
  <c r="J240" i="187" s="1"/>
  <c r="J253" i="187"/>
  <c r="J236" i="187"/>
  <c r="J239" i="187" s="1"/>
  <c r="J242" i="187" s="1"/>
  <c r="J243" i="187" s="1"/>
  <c r="J245" i="187" s="1"/>
  <c r="J246" i="187" s="1"/>
  <c r="J247" i="187" s="1"/>
  <c r="O236" i="186"/>
  <c r="O239" i="186" s="1"/>
  <c r="O253" i="186"/>
  <c r="O237" i="186"/>
  <c r="O240" i="186" s="1"/>
  <c r="O242" i="186" s="1"/>
  <c r="O243" i="186" s="1"/>
  <c r="O245" i="186" s="1"/>
  <c r="O246" i="186" s="1"/>
  <c r="O247" i="186" s="1"/>
  <c r="T253" i="186"/>
  <c r="T237" i="186"/>
  <c r="T240" i="186" s="1"/>
  <c r="T236" i="186"/>
  <c r="T239" i="186" s="1"/>
  <c r="D222" i="186"/>
  <c r="D271" i="186"/>
  <c r="S253" i="186"/>
  <c r="S237" i="186"/>
  <c r="S240" i="186" s="1"/>
  <c r="S236" i="186"/>
  <c r="S239" i="186" s="1"/>
  <c r="S242" i="186" s="1"/>
  <c r="S243" i="186" s="1"/>
  <c r="S245" i="186" s="1"/>
  <c r="S246" i="186" s="1"/>
  <c r="S247" i="186" s="1"/>
  <c r="P253" i="187"/>
  <c r="P237" i="187"/>
  <c r="P240" i="187" s="1"/>
  <c r="P236" i="187"/>
  <c r="P239" i="187" s="1"/>
  <c r="D222" i="187"/>
  <c r="D271" i="187"/>
  <c r="R271" i="187"/>
  <c r="R222" i="187"/>
  <c r="P271" i="186"/>
  <c r="P222" i="186"/>
  <c r="F271" i="186"/>
  <c r="F222" i="186"/>
  <c r="N271" i="186"/>
  <c r="N222" i="186"/>
  <c r="I222" i="187"/>
  <c r="I271" i="187"/>
  <c r="U271" i="186"/>
  <c r="U222" i="186"/>
  <c r="T271" i="187"/>
  <c r="T222" i="187"/>
  <c r="S237" i="187"/>
  <c r="S240" i="187" s="1"/>
  <c r="S253" i="187"/>
  <c r="S236" i="187"/>
  <c r="S239" i="187" s="1"/>
  <c r="K147" i="186"/>
  <c r="M147" i="186"/>
  <c r="J146" i="186"/>
  <c r="F136" i="186"/>
  <c r="T135" i="186"/>
  <c r="K146" i="186"/>
  <c r="M146" i="186"/>
  <c r="F147" i="186"/>
  <c r="F135" i="186"/>
  <c r="H147" i="186"/>
  <c r="U146" i="186"/>
  <c r="R146" i="186"/>
  <c r="K136" i="186"/>
  <c r="F146" i="186"/>
  <c r="H146" i="186"/>
  <c r="P147" i="186"/>
  <c r="S147" i="186"/>
  <c r="K135" i="186"/>
  <c r="D147" i="186"/>
  <c r="H136" i="186"/>
  <c r="M136" i="186"/>
  <c r="D146" i="186"/>
  <c r="C136" i="186"/>
  <c r="H135" i="186"/>
  <c r="U147" i="186"/>
  <c r="M135" i="186"/>
  <c r="R147" i="186"/>
  <c r="C147" i="186"/>
  <c r="C135" i="186"/>
  <c r="I147" i="186"/>
  <c r="E147" i="186"/>
  <c r="T147" i="186"/>
  <c r="C146" i="186"/>
  <c r="N147" i="186"/>
  <c r="E136" i="186"/>
  <c r="P146" i="186"/>
  <c r="O147" i="186"/>
  <c r="I146" i="186"/>
  <c r="S146" i="186"/>
  <c r="E146" i="186"/>
  <c r="T146" i="186"/>
  <c r="N146" i="186"/>
  <c r="J147" i="186"/>
  <c r="E135" i="186"/>
  <c r="O146" i="186"/>
  <c r="T136" i="186"/>
  <c r="I136" i="186"/>
  <c r="I135" i="186"/>
  <c r="S136" i="186"/>
  <c r="S135" i="186"/>
  <c r="O136" i="186"/>
  <c r="U136" i="186"/>
  <c r="J136" i="186"/>
  <c r="P136" i="186"/>
  <c r="R136" i="186"/>
  <c r="O135" i="186"/>
  <c r="U135" i="186"/>
  <c r="J135" i="186"/>
  <c r="P135" i="186"/>
  <c r="D136" i="186"/>
  <c r="N136" i="186"/>
  <c r="R135" i="186"/>
  <c r="D135" i="186"/>
  <c r="N135" i="186"/>
  <c r="T147" i="187"/>
  <c r="R147" i="187"/>
  <c r="S119" i="186"/>
  <c r="S137" i="186" s="1"/>
  <c r="R136" i="187"/>
  <c r="R146" i="187"/>
  <c r="T146" i="187"/>
  <c r="R135" i="187"/>
  <c r="U146" i="187"/>
  <c r="T119" i="186"/>
  <c r="S146" i="187"/>
  <c r="U136" i="187"/>
  <c r="U119" i="186"/>
  <c r="T136" i="187"/>
  <c r="U135" i="187"/>
  <c r="S147" i="187"/>
  <c r="T135" i="187"/>
  <c r="R119" i="187"/>
  <c r="S135" i="187"/>
  <c r="U147" i="187"/>
  <c r="S136" i="187"/>
  <c r="S119" i="187"/>
  <c r="U119" i="187"/>
  <c r="T119" i="187"/>
  <c r="R119" i="186"/>
  <c r="R78" i="186"/>
  <c r="S69" i="186"/>
  <c r="S215" i="186"/>
  <c r="U69" i="187"/>
  <c r="U215" i="187"/>
  <c r="T69" i="187"/>
  <c r="T215" i="187"/>
  <c r="R69" i="186"/>
  <c r="R215" i="186"/>
  <c r="R69" i="187"/>
  <c r="R215" i="187"/>
  <c r="T69" i="186"/>
  <c r="T215" i="186"/>
  <c r="U69" i="186"/>
  <c r="U215" i="186"/>
  <c r="S69" i="187"/>
  <c r="S215" i="187"/>
  <c r="N69" i="187"/>
  <c r="N215" i="187"/>
  <c r="K69" i="186"/>
  <c r="K215" i="186"/>
  <c r="H69" i="186"/>
  <c r="H215" i="186"/>
  <c r="P69" i="186"/>
  <c r="P215" i="186"/>
  <c r="N69" i="186"/>
  <c r="N215" i="186"/>
  <c r="C69" i="187"/>
  <c r="C215" i="187"/>
  <c r="F69" i="186"/>
  <c r="F215" i="186"/>
  <c r="O69" i="187"/>
  <c r="O215" i="187"/>
  <c r="O69" i="186"/>
  <c r="O215" i="186"/>
  <c r="E69" i="187"/>
  <c r="E215" i="187"/>
  <c r="I69" i="187"/>
  <c r="I215" i="187"/>
  <c r="H69" i="187"/>
  <c r="H215" i="187"/>
  <c r="J69" i="186"/>
  <c r="J215" i="186"/>
  <c r="D69" i="186"/>
  <c r="D215" i="186"/>
  <c r="I69" i="186"/>
  <c r="I215" i="186"/>
  <c r="E69" i="186"/>
  <c r="E215" i="186"/>
  <c r="J69" i="187"/>
  <c r="J215" i="187"/>
  <c r="D69" i="187"/>
  <c r="D215" i="187"/>
  <c r="M69" i="187"/>
  <c r="M215" i="187"/>
  <c r="H78" i="187"/>
  <c r="P119" i="187"/>
  <c r="O119" i="187"/>
  <c r="N119" i="187"/>
  <c r="M119" i="187"/>
  <c r="C119" i="187"/>
  <c r="O146" i="187"/>
  <c r="N146" i="187"/>
  <c r="K119" i="187"/>
  <c r="E119" i="187"/>
  <c r="J119" i="187"/>
  <c r="I119" i="187"/>
  <c r="H119" i="187"/>
  <c r="D119" i="187"/>
  <c r="F119" i="187"/>
  <c r="J146" i="187"/>
  <c r="E147" i="187"/>
  <c r="P146" i="187"/>
  <c r="K147" i="187"/>
  <c r="C136" i="187"/>
  <c r="D147" i="187"/>
  <c r="E146" i="187"/>
  <c r="N147" i="187"/>
  <c r="N136" i="187"/>
  <c r="K146" i="187"/>
  <c r="J147" i="187"/>
  <c r="O136" i="187"/>
  <c r="O147" i="187"/>
  <c r="F147" i="187"/>
  <c r="I147" i="187"/>
  <c r="M136" i="187"/>
  <c r="N135" i="187"/>
  <c r="H147" i="187"/>
  <c r="P136" i="187"/>
  <c r="H146" i="187"/>
  <c r="F135" i="187"/>
  <c r="D136" i="187"/>
  <c r="O135" i="187"/>
  <c r="M135" i="187"/>
  <c r="M146" i="187"/>
  <c r="P147" i="187"/>
  <c r="M147" i="187"/>
  <c r="E135" i="187"/>
  <c r="P135" i="187"/>
  <c r="E136" i="187"/>
  <c r="D146" i="187"/>
  <c r="C135" i="187"/>
  <c r="D135" i="187"/>
  <c r="F136" i="187"/>
  <c r="C146" i="187"/>
  <c r="C147" i="187"/>
  <c r="F146" i="187"/>
  <c r="I146" i="187"/>
  <c r="P119" i="186"/>
  <c r="H136" i="187"/>
  <c r="J136" i="187"/>
  <c r="K136" i="187"/>
  <c r="H135" i="187"/>
  <c r="D119" i="186"/>
  <c r="H119" i="186"/>
  <c r="K135" i="187"/>
  <c r="J135" i="187"/>
  <c r="I119" i="186"/>
  <c r="I136" i="187"/>
  <c r="I135" i="187"/>
  <c r="E119" i="186"/>
  <c r="M119" i="186"/>
  <c r="J119" i="186"/>
  <c r="F119" i="186"/>
  <c r="N119" i="186"/>
  <c r="K119" i="186"/>
  <c r="O119" i="186"/>
  <c r="M69" i="186"/>
  <c r="M215" i="186"/>
  <c r="C78" i="187"/>
  <c r="K69" i="187"/>
  <c r="K215" i="187"/>
  <c r="F69" i="187"/>
  <c r="F215" i="187"/>
  <c r="P69" i="187"/>
  <c r="P215" i="187"/>
  <c r="C119" i="186"/>
  <c r="C69" i="186"/>
  <c r="C215" i="186"/>
  <c r="C257" i="185"/>
  <c r="C196" i="185"/>
  <c r="C197" i="185" s="1"/>
  <c r="C198" i="185" s="1"/>
  <c r="C199" i="185" s="1"/>
  <c r="C200" i="185" s="1"/>
  <c r="C181" i="185"/>
  <c r="C182" i="185" s="1"/>
  <c r="C183" i="185" s="1"/>
  <c r="C184" i="185" s="1"/>
  <c r="C185" i="185" s="1"/>
  <c r="C146" i="185"/>
  <c r="C147" i="185"/>
  <c r="C136" i="185"/>
  <c r="C135" i="185"/>
  <c r="C119" i="185"/>
  <c r="N258" i="186" l="1"/>
  <c r="N259" i="186" s="1"/>
  <c r="N71" i="186" s="1"/>
  <c r="N262" i="186"/>
  <c r="N264" i="186" s="1"/>
  <c r="N265" i="186" s="1"/>
  <c r="M242" i="186"/>
  <c r="M243" i="186"/>
  <c r="M245" i="186" s="1"/>
  <c r="M246" i="186" s="1"/>
  <c r="M247" i="186" s="1"/>
  <c r="S242" i="187"/>
  <c r="S243" i="187" s="1"/>
  <c r="S245" i="187" s="1"/>
  <c r="S246" i="187" s="1"/>
  <c r="S247" i="187" s="1"/>
  <c r="C262" i="186"/>
  <c r="C264" i="186" s="1"/>
  <c r="C265" i="186" s="1"/>
  <c r="C72" i="186" s="1"/>
  <c r="C258" i="186"/>
  <c r="C259" i="186" s="1"/>
  <c r="J262" i="186"/>
  <c r="J264" i="186" s="1"/>
  <c r="J265" i="186" s="1"/>
  <c r="J72" i="186" s="1"/>
  <c r="J258" i="186"/>
  <c r="J259" i="186" s="1"/>
  <c r="R262" i="186"/>
  <c r="R264" i="186" s="1"/>
  <c r="R265" i="186" s="1"/>
  <c r="R258" i="186"/>
  <c r="R259" i="186" s="1"/>
  <c r="S258" i="187"/>
  <c r="S259" i="187" s="1"/>
  <c r="S262" i="187"/>
  <c r="S264" i="187" s="1"/>
  <c r="S265" i="187" s="1"/>
  <c r="O242" i="187"/>
  <c r="O243" i="187" s="1"/>
  <c r="O245" i="187" s="1"/>
  <c r="O246" i="187" s="1"/>
  <c r="O247" i="187" s="1"/>
  <c r="C262" i="187"/>
  <c r="C264" i="187" s="1"/>
  <c r="C265" i="187" s="1"/>
  <c r="C258" i="187"/>
  <c r="C259" i="187" s="1"/>
  <c r="O258" i="186"/>
  <c r="O259" i="186" s="1"/>
  <c r="O262" i="186"/>
  <c r="O264" i="186" s="1"/>
  <c r="O265" i="186" s="1"/>
  <c r="O72" i="186" s="1"/>
  <c r="U242" i="186"/>
  <c r="U243" i="186" s="1"/>
  <c r="I242" i="187"/>
  <c r="I243" i="187" s="1"/>
  <c r="I245" i="187" s="1"/>
  <c r="I246" i="187" s="1"/>
  <c r="I247" i="187" s="1"/>
  <c r="E242" i="187"/>
  <c r="E243" i="187" s="1"/>
  <c r="M262" i="187"/>
  <c r="M264" i="187" s="1"/>
  <c r="M265" i="187" s="1"/>
  <c r="M258" i="187"/>
  <c r="M259" i="187" s="1"/>
  <c r="T262" i="186"/>
  <c r="T264" i="186" s="1"/>
  <c r="T265" i="186" s="1"/>
  <c r="T72" i="186" s="1"/>
  <c r="T258" i="186"/>
  <c r="T259" i="186" s="1"/>
  <c r="T71" i="186" s="1"/>
  <c r="F243" i="186"/>
  <c r="F242" i="186"/>
  <c r="F262" i="186"/>
  <c r="F264" i="186" s="1"/>
  <c r="F265" i="186" s="1"/>
  <c r="F258" i="186"/>
  <c r="F259" i="186" s="1"/>
  <c r="N262" i="187"/>
  <c r="N264" i="187" s="1"/>
  <c r="N265" i="187" s="1"/>
  <c r="N258" i="187"/>
  <c r="N259" i="187" s="1"/>
  <c r="N71" i="187" s="1"/>
  <c r="H242" i="187"/>
  <c r="H243" i="187" s="1"/>
  <c r="H245" i="187" s="1"/>
  <c r="H246" i="187" s="1"/>
  <c r="H247" i="187" s="1"/>
  <c r="P242" i="187"/>
  <c r="P243" i="187" s="1"/>
  <c r="H262" i="186"/>
  <c r="H264" i="186" s="1"/>
  <c r="H265" i="186" s="1"/>
  <c r="H258" i="186"/>
  <c r="H259" i="186" s="1"/>
  <c r="J262" i="187"/>
  <c r="J264" i="187" s="1"/>
  <c r="J265" i="187" s="1"/>
  <c r="J258" i="187"/>
  <c r="J259" i="187" s="1"/>
  <c r="E262" i="187"/>
  <c r="E264" i="187" s="1"/>
  <c r="E265" i="187" s="1"/>
  <c r="E258" i="187"/>
  <c r="E259" i="187" s="1"/>
  <c r="S262" i="186"/>
  <c r="S264" i="186" s="1"/>
  <c r="S265" i="186" s="1"/>
  <c r="S258" i="186"/>
  <c r="S259" i="186" s="1"/>
  <c r="C242" i="186"/>
  <c r="C243" i="186" s="1"/>
  <c r="C245" i="186" s="1"/>
  <c r="C246" i="186" s="1"/>
  <c r="C247" i="186" s="1"/>
  <c r="T242" i="187"/>
  <c r="T243" i="187" s="1"/>
  <c r="T245" i="187" s="1"/>
  <c r="T246" i="187" s="1"/>
  <c r="T247" i="187" s="1"/>
  <c r="R242" i="186"/>
  <c r="R243" i="186" s="1"/>
  <c r="R245" i="186" s="1"/>
  <c r="R246" i="186" s="1"/>
  <c r="R247" i="186" s="1"/>
  <c r="N242" i="186"/>
  <c r="N243" i="186" s="1"/>
  <c r="N245" i="186" s="1"/>
  <c r="N246" i="186" s="1"/>
  <c r="N247" i="186" s="1"/>
  <c r="H262" i="187"/>
  <c r="H264" i="187" s="1"/>
  <c r="H265" i="187" s="1"/>
  <c r="H258" i="187"/>
  <c r="H259" i="187" s="1"/>
  <c r="U242" i="187"/>
  <c r="U243" i="187"/>
  <c r="I262" i="186"/>
  <c r="I264" i="186" s="1"/>
  <c r="I265" i="186" s="1"/>
  <c r="I72" i="186" s="1"/>
  <c r="I258" i="186"/>
  <c r="I259" i="186" s="1"/>
  <c r="I71" i="186" s="1"/>
  <c r="T242" i="186"/>
  <c r="T243" i="186"/>
  <c r="T245" i="186" s="1"/>
  <c r="T246" i="186" s="1"/>
  <c r="T247" i="186" s="1"/>
  <c r="K262" i="187"/>
  <c r="K264" i="187" s="1"/>
  <c r="K265" i="187" s="1"/>
  <c r="K258" i="187"/>
  <c r="K259" i="187" s="1"/>
  <c r="K71" i="187" s="1"/>
  <c r="P262" i="186"/>
  <c r="P264" i="186" s="1"/>
  <c r="P265" i="186" s="1"/>
  <c r="P258" i="186"/>
  <c r="P259" i="186" s="1"/>
  <c r="P71" i="186" s="1"/>
  <c r="M258" i="186"/>
  <c r="M259" i="186" s="1"/>
  <c r="M71" i="186" s="1"/>
  <c r="M262" i="186"/>
  <c r="M264" i="186" s="1"/>
  <c r="M265" i="186" s="1"/>
  <c r="M72" i="186" s="1"/>
  <c r="U262" i="186"/>
  <c r="U264" i="186" s="1"/>
  <c r="U265" i="186" s="1"/>
  <c r="U258" i="186"/>
  <c r="U259" i="186" s="1"/>
  <c r="T262" i="187"/>
  <c r="T264" i="187" s="1"/>
  <c r="T265" i="187" s="1"/>
  <c r="T258" i="187"/>
  <c r="T259" i="187" s="1"/>
  <c r="E258" i="186"/>
  <c r="E259" i="186" s="1"/>
  <c r="E262" i="186"/>
  <c r="E264" i="186" s="1"/>
  <c r="E265" i="186" s="1"/>
  <c r="D262" i="187"/>
  <c r="D264" i="187" s="1"/>
  <c r="D265" i="187" s="1"/>
  <c r="D72" i="187" s="1"/>
  <c r="D258" i="187"/>
  <c r="D259" i="187" s="1"/>
  <c r="D71" i="187" s="1"/>
  <c r="P262" i="187"/>
  <c r="P264" i="187" s="1"/>
  <c r="P265" i="187" s="1"/>
  <c r="P258" i="187"/>
  <c r="P259" i="187" s="1"/>
  <c r="E242" i="186"/>
  <c r="E243" i="186" s="1"/>
  <c r="E245" i="186" s="1"/>
  <c r="E246" i="186" s="1"/>
  <c r="E247" i="186" s="1"/>
  <c r="F242" i="187"/>
  <c r="F243" i="187" s="1"/>
  <c r="D258" i="186"/>
  <c r="D259" i="186" s="1"/>
  <c r="D262" i="186"/>
  <c r="D264" i="186" s="1"/>
  <c r="D265" i="186" s="1"/>
  <c r="F262" i="187"/>
  <c r="F264" i="187" s="1"/>
  <c r="F265" i="187" s="1"/>
  <c r="F258" i="187"/>
  <c r="F259" i="187" s="1"/>
  <c r="U262" i="187"/>
  <c r="U264" i="187" s="1"/>
  <c r="U265" i="187" s="1"/>
  <c r="U258" i="187"/>
  <c r="U259" i="187" s="1"/>
  <c r="U71" i="187" s="1"/>
  <c r="K262" i="186"/>
  <c r="K264" i="186" s="1"/>
  <c r="K265" i="186" s="1"/>
  <c r="K258" i="186"/>
  <c r="K259" i="186" s="1"/>
  <c r="I262" i="187"/>
  <c r="I264" i="187" s="1"/>
  <c r="I265" i="187" s="1"/>
  <c r="I72" i="187" s="1"/>
  <c r="I258" i="187"/>
  <c r="I259" i="187" s="1"/>
  <c r="I71" i="187" s="1"/>
  <c r="R258" i="187"/>
  <c r="R259" i="187" s="1"/>
  <c r="R71" i="187" s="1"/>
  <c r="R262" i="187"/>
  <c r="R264" i="187" s="1"/>
  <c r="R265" i="187" s="1"/>
  <c r="I245" i="186"/>
  <c r="I246" i="186"/>
  <c r="I247" i="186" s="1"/>
  <c r="S138" i="186"/>
  <c r="S61" i="186" s="1"/>
  <c r="M242" i="187"/>
  <c r="M243" i="187" s="1"/>
  <c r="M245" i="187" s="1"/>
  <c r="M246" i="187" s="1"/>
  <c r="M247" i="187" s="1"/>
  <c r="O262" i="187"/>
  <c r="O264" i="187" s="1"/>
  <c r="O265" i="187" s="1"/>
  <c r="O72" i="187" s="1"/>
  <c r="O258" i="187"/>
  <c r="O259" i="187" s="1"/>
  <c r="K242" i="187"/>
  <c r="K243" i="187" s="1"/>
  <c r="J242" i="186"/>
  <c r="J243" i="186" s="1"/>
  <c r="D242" i="186"/>
  <c r="D243" i="186" s="1"/>
  <c r="D245" i="186" s="1"/>
  <c r="D246" i="186" s="1"/>
  <c r="D247" i="186" s="1"/>
  <c r="S60" i="186"/>
  <c r="C69" i="185"/>
  <c r="C271" i="185"/>
  <c r="U138" i="186"/>
  <c r="U61" i="186" s="1"/>
  <c r="S70" i="187"/>
  <c r="S72" i="187"/>
  <c r="S71" i="187"/>
  <c r="U72" i="186"/>
  <c r="U70" i="186"/>
  <c r="U71" i="186"/>
  <c r="R66" i="186"/>
  <c r="R169" i="186"/>
  <c r="R64" i="186"/>
  <c r="R132" i="186"/>
  <c r="R59" i="186" s="1"/>
  <c r="R137" i="186"/>
  <c r="R138" i="186"/>
  <c r="R61" i="186" s="1"/>
  <c r="R143" i="186"/>
  <c r="R63" i="186" s="1"/>
  <c r="T169" i="187"/>
  <c r="T138" i="187"/>
  <c r="T61" i="187" s="1"/>
  <c r="T137" i="187"/>
  <c r="T143" i="187"/>
  <c r="T63" i="187" s="1"/>
  <c r="T64" i="187"/>
  <c r="T132" i="187"/>
  <c r="T59" i="187" s="1"/>
  <c r="T66" i="187"/>
  <c r="I138" i="186"/>
  <c r="I61" i="186" s="1"/>
  <c r="U132" i="187"/>
  <c r="U59" i="187" s="1"/>
  <c r="U137" i="187"/>
  <c r="U66" i="187"/>
  <c r="U143" i="187"/>
  <c r="U63" i="187" s="1"/>
  <c r="U64" i="187"/>
  <c r="U169" i="187"/>
  <c r="U138" i="187"/>
  <c r="U61" i="187" s="1"/>
  <c r="T138" i="186"/>
  <c r="T61" i="186" s="1"/>
  <c r="T169" i="186"/>
  <c r="T137" i="186"/>
  <c r="T66" i="186"/>
  <c r="T143" i="186"/>
  <c r="T63" i="186" s="1"/>
  <c r="T132" i="186"/>
  <c r="T59" i="186" s="1"/>
  <c r="T64" i="186"/>
  <c r="S169" i="186"/>
  <c r="S64" i="186"/>
  <c r="S227" i="186" s="1"/>
  <c r="S66" i="186"/>
  <c r="S132" i="186"/>
  <c r="S59" i="186" s="1"/>
  <c r="S143" i="186"/>
  <c r="S63" i="186" s="1"/>
  <c r="S132" i="187"/>
  <c r="S59" i="187" s="1"/>
  <c r="S169" i="187"/>
  <c r="S64" i="187"/>
  <c r="S66" i="187"/>
  <c r="S138" i="187"/>
  <c r="S61" i="187" s="1"/>
  <c r="S143" i="187"/>
  <c r="S63" i="187" s="1"/>
  <c r="S137" i="187"/>
  <c r="T70" i="186"/>
  <c r="U70" i="187"/>
  <c r="U72" i="187"/>
  <c r="R72" i="186"/>
  <c r="R70" i="186"/>
  <c r="R71" i="186"/>
  <c r="S71" i="186"/>
  <c r="S72" i="186"/>
  <c r="S70" i="186"/>
  <c r="R72" i="187"/>
  <c r="R70" i="187"/>
  <c r="T70" i="187"/>
  <c r="T71" i="187"/>
  <c r="T72" i="187"/>
  <c r="R138" i="187"/>
  <c r="R61" i="187" s="1"/>
  <c r="R64" i="187"/>
  <c r="R132" i="187"/>
  <c r="R59" i="187" s="1"/>
  <c r="R143" i="187"/>
  <c r="R63" i="187" s="1"/>
  <c r="R66" i="187"/>
  <c r="R169" i="187"/>
  <c r="R137" i="187"/>
  <c r="U137" i="186"/>
  <c r="U143" i="186"/>
  <c r="U63" i="186" s="1"/>
  <c r="U132" i="186"/>
  <c r="U59" i="186" s="1"/>
  <c r="U64" i="186"/>
  <c r="U169" i="186"/>
  <c r="U66" i="186"/>
  <c r="D71" i="186"/>
  <c r="D72" i="186"/>
  <c r="D70" i="186"/>
  <c r="E132" i="187"/>
  <c r="E59" i="187" s="1"/>
  <c r="E137" i="187"/>
  <c r="E64" i="187"/>
  <c r="E143" i="187"/>
  <c r="E63" i="187" s="1"/>
  <c r="E169" i="187"/>
  <c r="E138" i="187"/>
  <c r="E61" i="187" s="1"/>
  <c r="E66" i="187"/>
  <c r="P132" i="186"/>
  <c r="P59" i="186" s="1"/>
  <c r="P137" i="186"/>
  <c r="P138" i="186"/>
  <c r="P61" i="186" s="1"/>
  <c r="P64" i="186"/>
  <c r="P169" i="186"/>
  <c r="P143" i="186"/>
  <c r="P63" i="186" s="1"/>
  <c r="P66" i="186"/>
  <c r="K143" i="187"/>
  <c r="K63" i="187" s="1"/>
  <c r="K64" i="187"/>
  <c r="K132" i="187"/>
  <c r="K59" i="187" s="1"/>
  <c r="K169" i="187"/>
  <c r="K138" i="187"/>
  <c r="K61" i="187" s="1"/>
  <c r="K137" i="187"/>
  <c r="K66" i="187"/>
  <c r="O143" i="186"/>
  <c r="O63" i="186" s="1"/>
  <c r="O138" i="186"/>
  <c r="O61" i="186" s="1"/>
  <c r="O169" i="186"/>
  <c r="O132" i="186"/>
  <c r="O59" i="186" s="1"/>
  <c r="O66" i="186"/>
  <c r="O64" i="186"/>
  <c r="O137" i="186"/>
  <c r="K143" i="186"/>
  <c r="K63" i="186" s="1"/>
  <c r="K169" i="186"/>
  <c r="K66" i="186"/>
  <c r="K137" i="186"/>
  <c r="K138" i="186"/>
  <c r="K61" i="186" s="1"/>
  <c r="K64" i="186"/>
  <c r="K132" i="186"/>
  <c r="K59" i="186" s="1"/>
  <c r="E72" i="186"/>
  <c r="E71" i="186"/>
  <c r="E70" i="186"/>
  <c r="J72" i="187"/>
  <c r="J70" i="187"/>
  <c r="J71" i="187"/>
  <c r="N143" i="186"/>
  <c r="N63" i="186" s="1"/>
  <c r="N132" i="186"/>
  <c r="N59" i="186" s="1"/>
  <c r="N64" i="186"/>
  <c r="N66" i="186"/>
  <c r="N138" i="186"/>
  <c r="N61" i="186" s="1"/>
  <c r="N137" i="186"/>
  <c r="N169" i="186"/>
  <c r="I169" i="186"/>
  <c r="I143" i="186"/>
  <c r="I63" i="186" s="1"/>
  <c r="I64" i="186"/>
  <c r="I137" i="186"/>
  <c r="I66" i="186"/>
  <c r="I132" i="186"/>
  <c r="I59" i="186" s="1"/>
  <c r="J70" i="186"/>
  <c r="J71" i="186"/>
  <c r="F64" i="186"/>
  <c r="F137" i="186"/>
  <c r="F169" i="186"/>
  <c r="F132" i="186"/>
  <c r="F143" i="186"/>
  <c r="F63" i="186" s="1"/>
  <c r="F66" i="186"/>
  <c r="F138" i="186"/>
  <c r="F61" i="186" s="1"/>
  <c r="N70" i="186"/>
  <c r="N72" i="186"/>
  <c r="J138" i="186"/>
  <c r="J61" i="186" s="1"/>
  <c r="J143" i="186"/>
  <c r="J63" i="186" s="1"/>
  <c r="J64" i="186"/>
  <c r="J137" i="186"/>
  <c r="J66" i="186"/>
  <c r="J132" i="186"/>
  <c r="J59" i="186" s="1"/>
  <c r="J169" i="186"/>
  <c r="K72" i="187"/>
  <c r="K70" i="187"/>
  <c r="O70" i="186"/>
  <c r="O71" i="186"/>
  <c r="M70" i="186"/>
  <c r="C132" i="187"/>
  <c r="C59" i="187" s="1"/>
  <c r="C143" i="187"/>
  <c r="C63" i="187" s="1"/>
  <c r="C64" i="187"/>
  <c r="C169" i="187"/>
  <c r="C137" i="187"/>
  <c r="C138" i="187"/>
  <c r="C61" i="187" s="1"/>
  <c r="C66" i="187"/>
  <c r="F59" i="186"/>
  <c r="M66" i="186"/>
  <c r="M64" i="186"/>
  <c r="M138" i="186"/>
  <c r="M61" i="186" s="1"/>
  <c r="M132" i="186"/>
  <c r="M59" i="186" s="1"/>
  <c r="M143" i="186"/>
  <c r="M63" i="186" s="1"/>
  <c r="M169" i="186"/>
  <c r="M137" i="186"/>
  <c r="I70" i="186"/>
  <c r="M72" i="187"/>
  <c r="M70" i="187"/>
  <c r="M71" i="187"/>
  <c r="E64" i="186"/>
  <c r="E169" i="186"/>
  <c r="E138" i="186"/>
  <c r="E61" i="186" s="1"/>
  <c r="E132" i="186"/>
  <c r="E59" i="186" s="1"/>
  <c r="E143" i="186"/>
  <c r="E63" i="186" s="1"/>
  <c r="E137" i="186"/>
  <c r="E66" i="186"/>
  <c r="N72" i="187"/>
  <c r="N70" i="187"/>
  <c r="P70" i="186"/>
  <c r="P72" i="186"/>
  <c r="O70" i="187"/>
  <c r="O71" i="187"/>
  <c r="P72" i="187"/>
  <c r="P70" i="187"/>
  <c r="P71" i="187"/>
  <c r="H138" i="186"/>
  <c r="H61" i="186" s="1"/>
  <c r="H132" i="186"/>
  <c r="H59" i="186" s="1"/>
  <c r="H66" i="186"/>
  <c r="H64" i="186"/>
  <c r="H169" i="186"/>
  <c r="H90" i="186" s="1"/>
  <c r="H143" i="186"/>
  <c r="H63" i="186" s="1"/>
  <c r="H137" i="186"/>
  <c r="M143" i="187"/>
  <c r="M63" i="187" s="1"/>
  <c r="M132" i="187"/>
  <c r="M59" i="187" s="1"/>
  <c r="M64" i="187"/>
  <c r="M169" i="187"/>
  <c r="M137" i="187"/>
  <c r="M138" i="187"/>
  <c r="M61" i="187" s="1"/>
  <c r="M66" i="187"/>
  <c r="H72" i="186"/>
  <c r="H70" i="186"/>
  <c r="H71" i="186"/>
  <c r="D169" i="186"/>
  <c r="D66" i="186"/>
  <c r="D138" i="186"/>
  <c r="D61" i="186" s="1"/>
  <c r="D137" i="186"/>
  <c r="D143" i="186"/>
  <c r="D63" i="186" s="1"/>
  <c r="D64" i="186"/>
  <c r="D132" i="186"/>
  <c r="D59" i="186" s="1"/>
  <c r="C72" i="187"/>
  <c r="C70" i="187"/>
  <c r="C71" i="187"/>
  <c r="F132" i="187"/>
  <c r="F59" i="187" s="1"/>
  <c r="F143" i="187"/>
  <c r="F63" i="187" s="1"/>
  <c r="F137" i="187"/>
  <c r="F64" i="187"/>
  <c r="F169" i="187"/>
  <c r="F138" i="187"/>
  <c r="F61" i="187" s="1"/>
  <c r="F66" i="187"/>
  <c r="N143" i="187"/>
  <c r="N63" i="187" s="1"/>
  <c r="N132" i="187"/>
  <c r="N59" i="187" s="1"/>
  <c r="N64" i="187"/>
  <c r="N169" i="187"/>
  <c r="N138" i="187"/>
  <c r="N61" i="187" s="1"/>
  <c r="N137" i="187"/>
  <c r="N66" i="187"/>
  <c r="D132" i="187"/>
  <c r="D59" i="187" s="1"/>
  <c r="D143" i="187"/>
  <c r="D63" i="187" s="1"/>
  <c r="D64" i="187"/>
  <c r="D137" i="187"/>
  <c r="D169" i="187"/>
  <c r="D138" i="187"/>
  <c r="D61" i="187" s="1"/>
  <c r="D66" i="187"/>
  <c r="D70" i="187"/>
  <c r="H132" i="187"/>
  <c r="H59" i="187" s="1"/>
  <c r="H143" i="187"/>
  <c r="H63" i="187" s="1"/>
  <c r="H64" i="187"/>
  <c r="H169" i="187"/>
  <c r="H137" i="187"/>
  <c r="H138" i="187"/>
  <c r="H61" i="187" s="1"/>
  <c r="H66" i="187"/>
  <c r="O143" i="187"/>
  <c r="O63" i="187" s="1"/>
  <c r="O132" i="187"/>
  <c r="O59" i="187" s="1"/>
  <c r="O138" i="187"/>
  <c r="O61" i="187" s="1"/>
  <c r="O137" i="187"/>
  <c r="O169" i="187"/>
  <c r="O64" i="187"/>
  <c r="O66" i="187"/>
  <c r="F70" i="186"/>
  <c r="F72" i="186"/>
  <c r="F71" i="186"/>
  <c r="K72" i="186"/>
  <c r="K70" i="186"/>
  <c r="K71" i="186"/>
  <c r="I132" i="187"/>
  <c r="I59" i="187" s="1"/>
  <c r="I143" i="187"/>
  <c r="I63" i="187" s="1"/>
  <c r="I64" i="187"/>
  <c r="I138" i="187"/>
  <c r="I61" i="187" s="1"/>
  <c r="I137" i="187"/>
  <c r="I169" i="187"/>
  <c r="I66" i="187"/>
  <c r="E72" i="187"/>
  <c r="E70" i="187"/>
  <c r="E71" i="187"/>
  <c r="H72" i="187"/>
  <c r="H70" i="187"/>
  <c r="H71" i="187"/>
  <c r="P143" i="187"/>
  <c r="P63" i="187" s="1"/>
  <c r="P132" i="187"/>
  <c r="P59" i="187" s="1"/>
  <c r="P137" i="187"/>
  <c r="P138" i="187"/>
  <c r="P61" i="187" s="1"/>
  <c r="P64" i="187"/>
  <c r="P169" i="187"/>
  <c r="P66" i="187"/>
  <c r="J143" i="187"/>
  <c r="J63" i="187" s="1"/>
  <c r="J132" i="187"/>
  <c r="J59" i="187" s="1"/>
  <c r="J64" i="187"/>
  <c r="J169" i="187"/>
  <c r="J138" i="187"/>
  <c r="J61" i="187" s="1"/>
  <c r="J137" i="187"/>
  <c r="J66" i="187"/>
  <c r="F72" i="187"/>
  <c r="F70" i="187"/>
  <c r="F71" i="187"/>
  <c r="I70" i="187"/>
  <c r="C70" i="186"/>
  <c r="C71" i="186"/>
  <c r="C143" i="186"/>
  <c r="C63" i="186" s="1"/>
  <c r="C132" i="186"/>
  <c r="C59" i="186" s="1"/>
  <c r="C138" i="186"/>
  <c r="C61" i="186" s="1"/>
  <c r="C169" i="186"/>
  <c r="C64" i="186"/>
  <c r="C137" i="186"/>
  <c r="C66" i="186"/>
  <c r="C143" i="185"/>
  <c r="C63" i="185" s="1"/>
  <c r="C66" i="185"/>
  <c r="C132" i="185"/>
  <c r="C59" i="185" s="1"/>
  <c r="C138" i="185"/>
  <c r="C61" i="185" s="1"/>
  <c r="C137" i="185"/>
  <c r="C64" i="185"/>
  <c r="C169" i="185"/>
  <c r="C70" i="185"/>
  <c r="C262" i="185"/>
  <c r="C264" i="185" s="1"/>
  <c r="C265" i="185" s="1"/>
  <c r="C72" i="185" s="1"/>
  <c r="C258" i="185"/>
  <c r="C259" i="185" s="1"/>
  <c r="C71" i="185" s="1"/>
  <c r="C237" i="185"/>
  <c r="C240" i="185" s="1"/>
  <c r="C253" i="185"/>
  <c r="C236" i="185"/>
  <c r="C239" i="185" s="1"/>
  <c r="C215" i="185"/>
  <c r="C222" i="185"/>
  <c r="F246" i="187" l="1"/>
  <c r="F247" i="187" s="1"/>
  <c r="F245" i="187"/>
  <c r="J276" i="186"/>
  <c r="J227" i="186"/>
  <c r="T227" i="186"/>
  <c r="T276" i="186"/>
  <c r="D276" i="187"/>
  <c r="D227" i="187"/>
  <c r="D276" i="186"/>
  <c r="D227" i="186"/>
  <c r="J245" i="186"/>
  <c r="J246" i="186"/>
  <c r="J247" i="186" s="1"/>
  <c r="J252" i="186" s="1"/>
  <c r="J254" i="186" s="1"/>
  <c r="N227" i="186"/>
  <c r="N276" i="186"/>
  <c r="U276" i="187"/>
  <c r="U227" i="187"/>
  <c r="K245" i="187"/>
  <c r="K246" i="187" s="1"/>
  <c r="K247" i="187" s="1"/>
  <c r="K252" i="187" s="1"/>
  <c r="K254" i="187" s="1"/>
  <c r="E276" i="186"/>
  <c r="E227" i="186"/>
  <c r="T227" i="187"/>
  <c r="T276" i="187"/>
  <c r="T252" i="186"/>
  <c r="T254" i="186" s="1"/>
  <c r="U227" i="186"/>
  <c r="U276" i="186"/>
  <c r="C276" i="187"/>
  <c r="C227" i="187"/>
  <c r="F245" i="186"/>
  <c r="F246" i="186" s="1"/>
  <c r="F247" i="186" s="1"/>
  <c r="F252" i="186" s="1"/>
  <c r="F254" i="186" s="1"/>
  <c r="I276" i="187"/>
  <c r="I227" i="187"/>
  <c r="M276" i="187"/>
  <c r="M227" i="187"/>
  <c r="C227" i="186"/>
  <c r="C276" i="186"/>
  <c r="J276" i="187"/>
  <c r="J227" i="187"/>
  <c r="K227" i="187"/>
  <c r="K276" i="187"/>
  <c r="F276" i="186"/>
  <c r="F227" i="186"/>
  <c r="R276" i="186"/>
  <c r="R227" i="186"/>
  <c r="K276" i="186"/>
  <c r="K227" i="186"/>
  <c r="I276" i="186"/>
  <c r="I227" i="186"/>
  <c r="O276" i="186"/>
  <c r="O227" i="186"/>
  <c r="R252" i="186"/>
  <c r="C252" i="186"/>
  <c r="P245" i="187"/>
  <c r="P246" i="187" s="1"/>
  <c r="P247" i="187" s="1"/>
  <c r="P252" i="187" s="1"/>
  <c r="P254" i="187" s="1"/>
  <c r="H276" i="187"/>
  <c r="H227" i="187"/>
  <c r="N227" i="187"/>
  <c r="N276" i="187"/>
  <c r="H227" i="186"/>
  <c r="H276" i="186"/>
  <c r="E227" i="187"/>
  <c r="E276" i="187"/>
  <c r="S276" i="186"/>
  <c r="U245" i="187"/>
  <c r="U246" i="187" s="1"/>
  <c r="U247" i="187" s="1"/>
  <c r="U252" i="187" s="1"/>
  <c r="U254" i="187" s="1"/>
  <c r="E245" i="187"/>
  <c r="E246" i="187"/>
  <c r="E247" i="187" s="1"/>
  <c r="U245" i="186"/>
  <c r="U246" i="186"/>
  <c r="U247" i="186" s="1"/>
  <c r="P276" i="187"/>
  <c r="P227" i="187"/>
  <c r="M227" i="186"/>
  <c r="M276" i="186"/>
  <c r="O227" i="187"/>
  <c r="O276" i="187"/>
  <c r="F276" i="187"/>
  <c r="F227" i="187"/>
  <c r="P227" i="186"/>
  <c r="P276" i="186"/>
  <c r="R276" i="187"/>
  <c r="R227" i="187"/>
  <c r="S276" i="187"/>
  <c r="S227" i="187"/>
  <c r="C276" i="185"/>
  <c r="I73" i="186"/>
  <c r="S73" i="186"/>
  <c r="S68" i="186"/>
  <c r="S270" i="186" s="1"/>
  <c r="S275" i="186" s="1"/>
  <c r="R73" i="186"/>
  <c r="S216" i="186"/>
  <c r="S217" i="186" s="1"/>
  <c r="S163" i="187"/>
  <c r="S251" i="187" s="1"/>
  <c r="S252" i="187" s="1"/>
  <c r="S254" i="187" s="1"/>
  <c r="S157" i="187"/>
  <c r="S249" i="187" s="1"/>
  <c r="S163" i="186"/>
  <c r="S251" i="186" s="1"/>
  <c r="S157" i="186"/>
  <c r="T90" i="187"/>
  <c r="S73" i="187"/>
  <c r="J73" i="186"/>
  <c r="T73" i="187"/>
  <c r="U73" i="187"/>
  <c r="S90" i="187"/>
  <c r="S90" i="186"/>
  <c r="R60" i="186"/>
  <c r="R68" i="186" s="1"/>
  <c r="R270" i="186" s="1"/>
  <c r="R275" i="186" s="1"/>
  <c r="R216" i="186"/>
  <c r="R217" i="186" s="1"/>
  <c r="R73" i="187"/>
  <c r="R90" i="186"/>
  <c r="U163" i="186"/>
  <c r="U251" i="186" s="1"/>
  <c r="U157" i="186"/>
  <c r="U249" i="186" s="1"/>
  <c r="T157" i="186"/>
  <c r="T249" i="186" s="1"/>
  <c r="T163" i="186"/>
  <c r="T251" i="186" s="1"/>
  <c r="R163" i="186"/>
  <c r="R251" i="186" s="1"/>
  <c r="R157" i="186"/>
  <c r="R249" i="186" s="1"/>
  <c r="U90" i="186"/>
  <c r="T60" i="186"/>
  <c r="T68" i="186" s="1"/>
  <c r="T270" i="186" s="1"/>
  <c r="T275" i="186" s="1"/>
  <c r="T216" i="186"/>
  <c r="T217" i="186" s="1"/>
  <c r="N90" i="186"/>
  <c r="U216" i="186"/>
  <c r="U217" i="186" s="1"/>
  <c r="T90" i="186"/>
  <c r="U60" i="186"/>
  <c r="U68" i="186" s="1"/>
  <c r="U270" i="186" s="1"/>
  <c r="U275" i="186" s="1"/>
  <c r="U90" i="187"/>
  <c r="M90" i="186"/>
  <c r="U163" i="187"/>
  <c r="U251" i="187" s="1"/>
  <c r="U157" i="187"/>
  <c r="U249" i="187" s="1"/>
  <c r="T157" i="187"/>
  <c r="T249" i="187" s="1"/>
  <c r="T252" i="187" s="1"/>
  <c r="T254" i="187" s="1"/>
  <c r="T163" i="187"/>
  <c r="T251" i="187" s="1"/>
  <c r="T73" i="186"/>
  <c r="U60" i="187"/>
  <c r="U68" i="187" s="1"/>
  <c r="U216" i="187"/>
  <c r="U217" i="187" s="1"/>
  <c r="U218" i="187" s="1"/>
  <c r="U228" i="187" s="1"/>
  <c r="U73" i="186"/>
  <c r="R60" i="187"/>
  <c r="R68" i="187" s="1"/>
  <c r="R216" i="187"/>
  <c r="R217" i="187" s="1"/>
  <c r="R218" i="187" s="1"/>
  <c r="S60" i="187"/>
  <c r="S68" i="187" s="1"/>
  <c r="S216" i="187"/>
  <c r="S217" i="187" s="1"/>
  <c r="S218" i="187" s="1"/>
  <c r="R90" i="187"/>
  <c r="T60" i="187"/>
  <c r="T68" i="187" s="1"/>
  <c r="T216" i="187"/>
  <c r="T217" i="187" s="1"/>
  <c r="T218" i="187" s="1"/>
  <c r="R163" i="187"/>
  <c r="R251" i="187" s="1"/>
  <c r="R157" i="187"/>
  <c r="R249" i="187" s="1"/>
  <c r="R252" i="187" s="1"/>
  <c r="M90" i="187"/>
  <c r="O90" i="187"/>
  <c r="N90" i="187"/>
  <c r="P73" i="187"/>
  <c r="J90" i="187"/>
  <c r="H90" i="187"/>
  <c r="E90" i="187"/>
  <c r="D90" i="187"/>
  <c r="F73" i="186"/>
  <c r="D73" i="187"/>
  <c r="I163" i="187"/>
  <c r="I251" i="187" s="1"/>
  <c r="I157" i="187"/>
  <c r="I249" i="187" s="1"/>
  <c r="I252" i="187" s="1"/>
  <c r="I254" i="187" s="1"/>
  <c r="O60" i="187"/>
  <c r="O68" i="187" s="1"/>
  <c r="O216" i="187"/>
  <c r="O217" i="187" s="1"/>
  <c r="O218" i="187" s="1"/>
  <c r="M163" i="187"/>
  <c r="M251" i="187" s="1"/>
  <c r="M157" i="187"/>
  <c r="M249" i="187" s="1"/>
  <c r="M252" i="187" s="1"/>
  <c r="K73" i="186"/>
  <c r="P163" i="187"/>
  <c r="P251" i="187" s="1"/>
  <c r="P157" i="187"/>
  <c r="P249" i="187" s="1"/>
  <c r="P90" i="187"/>
  <c r="I90" i="187"/>
  <c r="E90" i="186"/>
  <c r="J157" i="186"/>
  <c r="J249" i="186" s="1"/>
  <c r="J163" i="186"/>
  <c r="J251" i="186" s="1"/>
  <c r="J73" i="187"/>
  <c r="D60" i="186"/>
  <c r="D68" i="186" s="1"/>
  <c r="D270" i="186" s="1"/>
  <c r="D275" i="186" s="1"/>
  <c r="D216" i="186"/>
  <c r="D217" i="186" s="1"/>
  <c r="I60" i="187"/>
  <c r="I68" i="187" s="1"/>
  <c r="I216" i="187"/>
  <c r="I217" i="187" s="1"/>
  <c r="I218" i="187" s="1"/>
  <c r="M60" i="187"/>
  <c r="M68" i="187" s="1"/>
  <c r="M216" i="187"/>
  <c r="M217" i="187" s="1"/>
  <c r="M218" i="187" s="1"/>
  <c r="J216" i="186"/>
  <c r="J217" i="186" s="1"/>
  <c r="J60" i="186"/>
  <c r="J68" i="186" s="1"/>
  <c r="J270" i="186" s="1"/>
  <c r="J275" i="186" s="1"/>
  <c r="H73" i="187"/>
  <c r="C163" i="187"/>
  <c r="C251" i="187" s="1"/>
  <c r="C157" i="187"/>
  <c r="C249" i="187" s="1"/>
  <c r="C252" i="187" s="1"/>
  <c r="E73" i="186"/>
  <c r="F73" i="187"/>
  <c r="P60" i="187"/>
  <c r="P68" i="187" s="1"/>
  <c r="P216" i="187"/>
  <c r="P217" i="187" s="1"/>
  <c r="P218" i="187" s="1"/>
  <c r="H163" i="187"/>
  <c r="H251" i="187" s="1"/>
  <c r="H157" i="187"/>
  <c r="H249" i="187" s="1"/>
  <c r="H252" i="187" s="1"/>
  <c r="C73" i="187"/>
  <c r="C60" i="187"/>
  <c r="C68" i="187" s="1"/>
  <c r="C216" i="187"/>
  <c r="C217" i="187" s="1"/>
  <c r="C218" i="187" s="1"/>
  <c r="E163" i="187"/>
  <c r="E251" i="187" s="1"/>
  <c r="E157" i="187"/>
  <c r="E249" i="187" s="1"/>
  <c r="J163" i="187"/>
  <c r="J251" i="187" s="1"/>
  <c r="J157" i="187"/>
  <c r="J249" i="187" s="1"/>
  <c r="J252" i="187" s="1"/>
  <c r="J254" i="187" s="1"/>
  <c r="H60" i="187"/>
  <c r="H68" i="187" s="1"/>
  <c r="H216" i="187"/>
  <c r="H217" i="187" s="1"/>
  <c r="H218" i="187" s="1"/>
  <c r="N163" i="187"/>
  <c r="N251" i="187" s="1"/>
  <c r="N157" i="187"/>
  <c r="N249" i="187" s="1"/>
  <c r="N252" i="187" s="1"/>
  <c r="N254" i="187" s="1"/>
  <c r="O73" i="187"/>
  <c r="C90" i="187"/>
  <c r="N60" i="187"/>
  <c r="N68" i="187" s="1"/>
  <c r="N216" i="187"/>
  <c r="N217" i="187" s="1"/>
  <c r="N218" i="187" s="1"/>
  <c r="H60" i="186"/>
  <c r="H68" i="186" s="1"/>
  <c r="H270" i="186" s="1"/>
  <c r="H275" i="186" s="1"/>
  <c r="H216" i="186"/>
  <c r="H217" i="186" s="1"/>
  <c r="M73" i="187"/>
  <c r="I157" i="186"/>
  <c r="I249" i="186" s="1"/>
  <c r="I252" i="186" s="1"/>
  <c r="I254" i="186" s="1"/>
  <c r="I163" i="186"/>
  <c r="I251" i="186" s="1"/>
  <c r="K163" i="187"/>
  <c r="K251" i="187" s="1"/>
  <c r="K157" i="187"/>
  <c r="K249" i="187" s="1"/>
  <c r="I60" i="186"/>
  <c r="I68" i="186" s="1"/>
  <c r="I270" i="186" s="1"/>
  <c r="I275" i="186" s="1"/>
  <c r="I216" i="186"/>
  <c r="I217" i="186" s="1"/>
  <c r="K60" i="187"/>
  <c r="K68" i="187" s="1"/>
  <c r="K216" i="187"/>
  <c r="K217" i="187" s="1"/>
  <c r="K218" i="187" s="1"/>
  <c r="K60" i="186"/>
  <c r="K68" i="186" s="1"/>
  <c r="K270" i="186" s="1"/>
  <c r="K275" i="186" s="1"/>
  <c r="K216" i="186"/>
  <c r="K217" i="186" s="1"/>
  <c r="P73" i="186"/>
  <c r="K157" i="186"/>
  <c r="K249" i="186" s="1"/>
  <c r="K163" i="186"/>
  <c r="K90" i="187"/>
  <c r="E60" i="187"/>
  <c r="E68" i="187" s="1"/>
  <c r="E216" i="187"/>
  <c r="E217" i="187" s="1"/>
  <c r="E218" i="187" s="1"/>
  <c r="E277" i="187" s="1"/>
  <c r="D163" i="186"/>
  <c r="D251" i="186" s="1"/>
  <c r="D157" i="186"/>
  <c r="D249" i="186" s="1"/>
  <c r="D252" i="186" s="1"/>
  <c r="D254" i="186" s="1"/>
  <c r="H157" i="186"/>
  <c r="H249" i="186" s="1"/>
  <c r="H163" i="186"/>
  <c r="H251" i="186" s="1"/>
  <c r="I90" i="186"/>
  <c r="K90" i="186"/>
  <c r="D90" i="186"/>
  <c r="M60" i="186"/>
  <c r="M68" i="186" s="1"/>
  <c r="M270" i="186" s="1"/>
  <c r="M275" i="186" s="1"/>
  <c r="M216" i="186"/>
  <c r="M217" i="186" s="1"/>
  <c r="M73" i="186"/>
  <c r="N73" i="186"/>
  <c r="D73" i="186"/>
  <c r="N60" i="186"/>
  <c r="N68" i="186" s="1"/>
  <c r="N270" i="186" s="1"/>
  <c r="N275" i="186" s="1"/>
  <c r="N216" i="186"/>
  <c r="N217" i="186" s="1"/>
  <c r="N73" i="187"/>
  <c r="F157" i="186"/>
  <c r="F249" i="186" s="1"/>
  <c r="F163" i="186"/>
  <c r="F251" i="186" s="1"/>
  <c r="P157" i="186"/>
  <c r="P249" i="186" s="1"/>
  <c r="P252" i="186" s="1"/>
  <c r="P254" i="186" s="1"/>
  <c r="P163" i="186"/>
  <c r="P251" i="186" s="1"/>
  <c r="I73" i="187"/>
  <c r="O73" i="186"/>
  <c r="N157" i="186"/>
  <c r="N249" i="186" s="1"/>
  <c r="N252" i="186" s="1"/>
  <c r="N254" i="186" s="1"/>
  <c r="N163" i="186"/>
  <c r="N251" i="186" s="1"/>
  <c r="O60" i="186"/>
  <c r="O68" i="186" s="1"/>
  <c r="O270" i="186" s="1"/>
  <c r="O275" i="186" s="1"/>
  <c r="O216" i="186"/>
  <c r="O217" i="186" s="1"/>
  <c r="F163" i="187"/>
  <c r="F251" i="187" s="1"/>
  <c r="F157" i="187"/>
  <c r="F249" i="187" s="1"/>
  <c r="H73" i="186"/>
  <c r="F90" i="187"/>
  <c r="D163" i="187"/>
  <c r="D251" i="187" s="1"/>
  <c r="D157" i="187"/>
  <c r="D249" i="187" s="1"/>
  <c r="E163" i="186"/>
  <c r="E251" i="186" s="1"/>
  <c r="E157" i="186"/>
  <c r="E249" i="186" s="1"/>
  <c r="E252" i="186" s="1"/>
  <c r="E254" i="186" s="1"/>
  <c r="P90" i="186"/>
  <c r="O163" i="187"/>
  <c r="O251" i="187" s="1"/>
  <c r="O157" i="187"/>
  <c r="O249" i="187" s="1"/>
  <c r="O252" i="187" s="1"/>
  <c r="O254" i="187" s="1"/>
  <c r="F60" i="187"/>
  <c r="F68" i="187" s="1"/>
  <c r="F216" i="187"/>
  <c r="F217" i="187" s="1"/>
  <c r="F218" i="187" s="1"/>
  <c r="E60" i="186"/>
  <c r="E68" i="186" s="1"/>
  <c r="E270" i="186" s="1"/>
  <c r="E275" i="186" s="1"/>
  <c r="E216" i="186"/>
  <c r="E217" i="186" s="1"/>
  <c r="K73" i="187"/>
  <c r="F90" i="186"/>
  <c r="O163" i="186"/>
  <c r="O251" i="186" s="1"/>
  <c r="O157" i="186"/>
  <c r="O249" i="186" s="1"/>
  <c r="O252" i="186" s="1"/>
  <c r="O254" i="186" s="1"/>
  <c r="E73" i="187"/>
  <c r="M157" i="186"/>
  <c r="M249" i="186" s="1"/>
  <c r="M252" i="186" s="1"/>
  <c r="M163" i="186"/>
  <c r="M251" i="186" s="1"/>
  <c r="F60" i="186"/>
  <c r="F68" i="186" s="1"/>
  <c r="F270" i="186" s="1"/>
  <c r="F275" i="186" s="1"/>
  <c r="F216" i="186"/>
  <c r="F217" i="186" s="1"/>
  <c r="J60" i="187"/>
  <c r="J68" i="187" s="1"/>
  <c r="J216" i="187"/>
  <c r="J217" i="187" s="1"/>
  <c r="J218" i="187" s="1"/>
  <c r="D60" i="187"/>
  <c r="D68" i="187" s="1"/>
  <c r="D216" i="187"/>
  <c r="D217" i="187" s="1"/>
  <c r="D218" i="187" s="1"/>
  <c r="D277" i="187" s="1"/>
  <c r="J90" i="186"/>
  <c r="O90" i="186"/>
  <c r="P60" i="186"/>
  <c r="P68" i="186" s="1"/>
  <c r="P270" i="186" s="1"/>
  <c r="P275" i="186" s="1"/>
  <c r="P216" i="186"/>
  <c r="P217" i="186" s="1"/>
  <c r="C90" i="186"/>
  <c r="C163" i="186"/>
  <c r="C251" i="186" s="1"/>
  <c r="C157" i="186"/>
  <c r="C249" i="186" s="1"/>
  <c r="C60" i="186"/>
  <c r="C68" i="186" s="1"/>
  <c r="C270" i="186" s="1"/>
  <c r="C275" i="186" s="1"/>
  <c r="C216" i="186"/>
  <c r="C217" i="186" s="1"/>
  <c r="C218" i="186" s="1"/>
  <c r="C277" i="186" s="1"/>
  <c r="C73" i="186"/>
  <c r="C242" i="185"/>
  <c r="C243" i="185" s="1"/>
  <c r="C245" i="185" s="1"/>
  <c r="C246" i="185" s="1"/>
  <c r="C247" i="185" s="1"/>
  <c r="C90" i="185"/>
  <c r="C73" i="185"/>
  <c r="C216" i="185"/>
  <c r="C217" i="185" s="1"/>
  <c r="C218" i="185" s="1"/>
  <c r="C60" i="185"/>
  <c r="C68" i="185" s="1"/>
  <c r="C270" i="185" s="1"/>
  <c r="C275" i="185" s="1"/>
  <c r="C227" i="185"/>
  <c r="C157" i="185"/>
  <c r="C249" i="185" s="1"/>
  <c r="C163" i="185"/>
  <c r="C251" i="185" s="1"/>
  <c r="U229" i="187" l="1"/>
  <c r="U278" i="187"/>
  <c r="O228" i="187"/>
  <c r="O277" i="187"/>
  <c r="I228" i="187"/>
  <c r="I277" i="187"/>
  <c r="S249" i="186"/>
  <c r="S252" i="186" s="1"/>
  <c r="S254" i="186" s="1"/>
  <c r="S78" i="186" s="1"/>
  <c r="K277" i="187"/>
  <c r="K228" i="187"/>
  <c r="D252" i="187"/>
  <c r="D254" i="187" s="1"/>
  <c r="H228" i="187"/>
  <c r="H277" i="187"/>
  <c r="C277" i="187"/>
  <c r="R277" i="187"/>
  <c r="R228" i="187"/>
  <c r="U252" i="186"/>
  <c r="U254" i="186" s="1"/>
  <c r="E228" i="187"/>
  <c r="C228" i="186"/>
  <c r="F252" i="187"/>
  <c r="F254" i="187" s="1"/>
  <c r="N228" i="187"/>
  <c r="N277" i="187"/>
  <c r="C228" i="187"/>
  <c r="S277" i="187"/>
  <c r="S228" i="187"/>
  <c r="K252" i="186"/>
  <c r="K254" i="186" s="1"/>
  <c r="K78" i="186" s="1"/>
  <c r="P277" i="187"/>
  <c r="P228" i="187"/>
  <c r="T277" i="187"/>
  <c r="T228" i="187"/>
  <c r="E252" i="187"/>
  <c r="E254" i="187" s="1"/>
  <c r="E228" i="186"/>
  <c r="D228" i="187"/>
  <c r="F228" i="187"/>
  <c r="F277" i="187"/>
  <c r="K251" i="186"/>
  <c r="J277" i="187"/>
  <c r="J228" i="187"/>
  <c r="H252" i="186"/>
  <c r="M228" i="187"/>
  <c r="M277" i="187"/>
  <c r="U277" i="187"/>
  <c r="U279" i="187"/>
  <c r="C277" i="185"/>
  <c r="S78" i="187"/>
  <c r="U78" i="186"/>
  <c r="P78" i="186"/>
  <c r="E78" i="186"/>
  <c r="F218" i="186"/>
  <c r="F277" i="186" s="1"/>
  <c r="H218" i="186"/>
  <c r="D218" i="186"/>
  <c r="T218" i="186"/>
  <c r="R218" i="186"/>
  <c r="K218" i="186"/>
  <c r="K277" i="186" s="1"/>
  <c r="S218" i="186"/>
  <c r="I218" i="186"/>
  <c r="M218" i="186"/>
  <c r="N218" i="186"/>
  <c r="O218" i="186"/>
  <c r="U218" i="186"/>
  <c r="E218" i="186"/>
  <c r="E277" i="186" s="1"/>
  <c r="P218" i="186"/>
  <c r="P228" i="186" s="1"/>
  <c r="J218" i="186"/>
  <c r="P78" i="187"/>
  <c r="T78" i="187"/>
  <c r="U78" i="187"/>
  <c r="F78" i="186"/>
  <c r="J78" i="186"/>
  <c r="J78" i="187"/>
  <c r="T78" i="186"/>
  <c r="K78" i="187"/>
  <c r="I78" i="187"/>
  <c r="O78" i="186"/>
  <c r="S75" i="187"/>
  <c r="U76" i="187"/>
  <c r="U75" i="187"/>
  <c r="R75" i="187"/>
  <c r="N78" i="186"/>
  <c r="T75" i="187"/>
  <c r="D78" i="186"/>
  <c r="I78" i="186"/>
  <c r="N78" i="187"/>
  <c r="O78" i="187"/>
  <c r="D78" i="187"/>
  <c r="E78" i="187"/>
  <c r="E75" i="187"/>
  <c r="F78" i="187"/>
  <c r="C75" i="187"/>
  <c r="F75" i="187"/>
  <c r="N75" i="187"/>
  <c r="M75" i="187"/>
  <c r="K75" i="187"/>
  <c r="P75" i="187"/>
  <c r="I75" i="187"/>
  <c r="O75" i="187"/>
  <c r="J75" i="187"/>
  <c r="D75" i="187"/>
  <c r="H75" i="187"/>
  <c r="C78" i="186"/>
  <c r="C228" i="185"/>
  <c r="C278" i="185" s="1"/>
  <c r="C252" i="185"/>
  <c r="C254" i="185" s="1"/>
  <c r="C75" i="185"/>
  <c r="I277" i="186" l="1"/>
  <c r="I228" i="186"/>
  <c r="S229" i="187"/>
  <c r="S76" i="187" s="1"/>
  <c r="S278" i="187"/>
  <c r="S279" i="187" s="1"/>
  <c r="C278" i="186"/>
  <c r="C279" i="186" s="1"/>
  <c r="C229" i="186"/>
  <c r="E229" i="186"/>
  <c r="E278" i="186"/>
  <c r="T229" i="187"/>
  <c r="T76" i="187" s="1"/>
  <c r="T278" i="187"/>
  <c r="T279" i="187" s="1"/>
  <c r="E278" i="187"/>
  <c r="E279" i="187" s="1"/>
  <c r="E229" i="187"/>
  <c r="E76" i="187" s="1"/>
  <c r="P278" i="186"/>
  <c r="P229" i="186"/>
  <c r="P76" i="186" s="1"/>
  <c r="C229" i="187"/>
  <c r="C278" i="187"/>
  <c r="C279" i="187" s="1"/>
  <c r="N229" i="187"/>
  <c r="N76" i="187" s="1"/>
  <c r="N278" i="187"/>
  <c r="N279" i="187" s="1"/>
  <c r="K228" i="186"/>
  <c r="J278" i="187"/>
  <c r="J279" i="187" s="1"/>
  <c r="J229" i="187"/>
  <c r="J76" i="187" s="1"/>
  <c r="J277" i="186"/>
  <c r="J228" i="186"/>
  <c r="C229" i="185"/>
  <c r="C76" i="185" s="1"/>
  <c r="U277" i="186"/>
  <c r="U228" i="186"/>
  <c r="T228" i="186"/>
  <c r="T277" i="186"/>
  <c r="P278" i="187"/>
  <c r="P279" i="187" s="1"/>
  <c r="P229" i="187"/>
  <c r="P76" i="187" s="1"/>
  <c r="O229" i="187"/>
  <c r="O76" i="187" s="1"/>
  <c r="O278" i="187"/>
  <c r="O279" i="187" s="1"/>
  <c r="M277" i="186"/>
  <c r="M228" i="186"/>
  <c r="S277" i="186"/>
  <c r="S228" i="186"/>
  <c r="O277" i="186"/>
  <c r="O228" i="186"/>
  <c r="D228" i="186"/>
  <c r="D277" i="186"/>
  <c r="F228" i="186"/>
  <c r="M278" i="187"/>
  <c r="M279" i="187" s="1"/>
  <c r="M229" i="187"/>
  <c r="M76" i="187" s="1"/>
  <c r="D278" i="187"/>
  <c r="D279" i="187" s="1"/>
  <c r="D229" i="187"/>
  <c r="D76" i="187" s="1"/>
  <c r="P277" i="186"/>
  <c r="K278" i="187"/>
  <c r="K279" i="187" s="1"/>
  <c r="K229" i="187"/>
  <c r="K76" i="187" s="1"/>
  <c r="H278" i="187"/>
  <c r="H279" i="187" s="1"/>
  <c r="H229" i="187"/>
  <c r="H76" i="187" s="1"/>
  <c r="R228" i="186"/>
  <c r="R277" i="186"/>
  <c r="N277" i="186"/>
  <c r="N228" i="186"/>
  <c r="H277" i="186"/>
  <c r="H228" i="186"/>
  <c r="F278" i="187"/>
  <c r="F279" i="187" s="1"/>
  <c r="F229" i="187"/>
  <c r="F76" i="187" s="1"/>
  <c r="R278" i="187"/>
  <c r="R279" i="187" s="1"/>
  <c r="R229" i="187"/>
  <c r="R76" i="187" s="1"/>
  <c r="I229" i="187"/>
  <c r="I76" i="187" s="1"/>
  <c r="I278" i="187"/>
  <c r="I279" i="187" s="1"/>
  <c r="S77" i="187"/>
  <c r="S79" i="187" s="1"/>
  <c r="E77" i="187"/>
  <c r="P279" i="186"/>
  <c r="E76" i="186"/>
  <c r="E279" i="186"/>
  <c r="C76" i="187"/>
  <c r="E79" i="187"/>
  <c r="J75" i="186"/>
  <c r="E75" i="186"/>
  <c r="U75" i="186"/>
  <c r="O75" i="186"/>
  <c r="N75" i="186"/>
  <c r="M75" i="186"/>
  <c r="I75" i="186"/>
  <c r="C76" i="186"/>
  <c r="C75" i="186"/>
  <c r="R75" i="186"/>
  <c r="T75" i="186"/>
  <c r="K75" i="186"/>
  <c r="D75" i="186"/>
  <c r="H75" i="186"/>
  <c r="P75" i="186"/>
  <c r="F75" i="186"/>
  <c r="S75" i="186"/>
  <c r="K77" i="187"/>
  <c r="K79" i="187" s="1"/>
  <c r="T77" i="187"/>
  <c r="T79" i="187" s="1"/>
  <c r="U77" i="187"/>
  <c r="U79" i="187" s="1"/>
  <c r="R77" i="187"/>
  <c r="R79" i="187" s="1"/>
  <c r="D77" i="187"/>
  <c r="D79" i="187" s="1"/>
  <c r="D85" i="187" s="1"/>
  <c r="S91" i="187"/>
  <c r="S92" i="187" s="1"/>
  <c r="N77" i="187"/>
  <c r="N79" i="187" s="1"/>
  <c r="P77" i="187"/>
  <c r="P79" i="187" s="1"/>
  <c r="M77" i="187"/>
  <c r="M79" i="187" s="1"/>
  <c r="O77" i="187"/>
  <c r="O79" i="187" s="1"/>
  <c r="H77" i="187"/>
  <c r="H79" i="187" s="1"/>
  <c r="J77" i="187"/>
  <c r="J79" i="187" s="1"/>
  <c r="C78" i="185"/>
  <c r="C77" i="185"/>
  <c r="D278" i="186" l="1"/>
  <c r="D279" i="186" s="1"/>
  <c r="D229" i="186"/>
  <c r="D76" i="186" s="1"/>
  <c r="M229" i="186"/>
  <c r="M76" i="186" s="1"/>
  <c r="M278" i="186"/>
  <c r="M279" i="186" s="1"/>
  <c r="I77" i="187"/>
  <c r="I79" i="187" s="1"/>
  <c r="I88" i="187" s="1"/>
  <c r="F77" i="187"/>
  <c r="F79" i="187" s="1"/>
  <c r="T278" i="186"/>
  <c r="T279" i="186" s="1"/>
  <c r="T229" i="186"/>
  <c r="T76" i="186" s="1"/>
  <c r="U229" i="186"/>
  <c r="U76" i="186" s="1"/>
  <c r="U278" i="186"/>
  <c r="U279" i="186" s="1"/>
  <c r="I229" i="186"/>
  <c r="I76" i="186" s="1"/>
  <c r="I278" i="186"/>
  <c r="I279" i="186" s="1"/>
  <c r="O278" i="186"/>
  <c r="O279" i="186" s="1"/>
  <c r="O229" i="186"/>
  <c r="O76" i="186" s="1"/>
  <c r="K278" i="186"/>
  <c r="K279" i="186" s="1"/>
  <c r="K229" i="186"/>
  <c r="K76" i="186" s="1"/>
  <c r="J278" i="186"/>
  <c r="J279" i="186" s="1"/>
  <c r="J229" i="186"/>
  <c r="J76" i="186" s="1"/>
  <c r="F229" i="186"/>
  <c r="F76" i="186" s="1"/>
  <c r="F278" i="186"/>
  <c r="F279" i="186" s="1"/>
  <c r="S278" i="186"/>
  <c r="S279" i="186" s="1"/>
  <c r="S229" i="186"/>
  <c r="S76" i="186" s="1"/>
  <c r="N229" i="186"/>
  <c r="N76" i="186" s="1"/>
  <c r="N278" i="186"/>
  <c r="N279" i="186" s="1"/>
  <c r="R278" i="186"/>
  <c r="R279" i="186" s="1"/>
  <c r="R229" i="186"/>
  <c r="R76" i="186" s="1"/>
  <c r="H278" i="186"/>
  <c r="H279" i="186" s="1"/>
  <c r="H229" i="186"/>
  <c r="H76" i="186" s="1"/>
  <c r="S85" i="187"/>
  <c r="S88" i="187"/>
  <c r="J77" i="186"/>
  <c r="J79" i="186" s="1"/>
  <c r="E85" i="187"/>
  <c r="H77" i="186"/>
  <c r="H79" i="186" s="1"/>
  <c r="H91" i="186" s="1"/>
  <c r="H92" i="186" s="1"/>
  <c r="C77" i="187"/>
  <c r="C79" i="187" s="1"/>
  <c r="D77" i="186"/>
  <c r="D79" i="186" s="1"/>
  <c r="U77" i="186"/>
  <c r="U79" i="186" s="1"/>
  <c r="E88" i="187"/>
  <c r="E91" i="187"/>
  <c r="E92" i="187" s="1"/>
  <c r="U85" i="187"/>
  <c r="U91" i="187"/>
  <c r="U92" i="187" s="1"/>
  <c r="P88" i="187"/>
  <c r="H91" i="187"/>
  <c r="H92" i="187" s="1"/>
  <c r="K85" i="187"/>
  <c r="M88" i="187"/>
  <c r="C85" i="187"/>
  <c r="T91" i="187"/>
  <c r="T92" i="187" s="1"/>
  <c r="U88" i="187"/>
  <c r="O85" i="187"/>
  <c r="D91" i="187"/>
  <c r="D92" i="187" s="1"/>
  <c r="T85" i="187"/>
  <c r="J88" i="187"/>
  <c r="J91" i="187"/>
  <c r="J92" i="187" s="1"/>
  <c r="R85" i="187"/>
  <c r="N88" i="187"/>
  <c r="J85" i="187"/>
  <c r="P77" i="186"/>
  <c r="P79" i="186" s="1"/>
  <c r="C77" i="186"/>
  <c r="C79" i="186" s="1"/>
  <c r="O77" i="186"/>
  <c r="O79" i="186" s="1"/>
  <c r="O88" i="186"/>
  <c r="R77" i="186"/>
  <c r="R79" i="186" s="1"/>
  <c r="S77" i="186"/>
  <c r="S79" i="186" s="1"/>
  <c r="C91" i="186"/>
  <c r="C92" i="186" s="1"/>
  <c r="N77" i="186"/>
  <c r="N79" i="186" s="1"/>
  <c r="J85" i="186"/>
  <c r="E77" i="186"/>
  <c r="E79" i="186" s="1"/>
  <c r="D88" i="187"/>
  <c r="O85" i="186"/>
  <c r="T88" i="187"/>
  <c r="C88" i="187"/>
  <c r="F91" i="187"/>
  <c r="F92" i="187" s="1"/>
  <c r="F88" i="187"/>
  <c r="F85" i="187"/>
  <c r="C85" i="186"/>
  <c r="C88" i="186"/>
  <c r="R88" i="187"/>
  <c r="R91" i="187"/>
  <c r="R92" i="187" s="1"/>
  <c r="K91" i="187"/>
  <c r="K92" i="187" s="1"/>
  <c r="K88" i="187"/>
  <c r="H88" i="187"/>
  <c r="H85" i="187"/>
  <c r="N85" i="187"/>
  <c r="P85" i="187"/>
  <c r="O91" i="187"/>
  <c r="O92" i="187" s="1"/>
  <c r="M91" i="187"/>
  <c r="M92" i="187" s="1"/>
  <c r="O88" i="187"/>
  <c r="P91" i="187"/>
  <c r="P92" i="187" s="1"/>
  <c r="N91" i="187"/>
  <c r="N92" i="187" s="1"/>
  <c r="M85" i="187"/>
  <c r="C79" i="185"/>
  <c r="C85" i="185" s="1"/>
  <c r="K77" i="186" l="1"/>
  <c r="K79" i="186" s="1"/>
  <c r="J91" i="186"/>
  <c r="J92" i="186" s="1"/>
  <c r="P91" i="186"/>
  <c r="P92" i="186" s="1"/>
  <c r="T77" i="186"/>
  <c r="T79" i="186" s="1"/>
  <c r="T91" i="186" s="1"/>
  <c r="T92" i="186" s="1"/>
  <c r="I91" i="187"/>
  <c r="I92" i="187" s="1"/>
  <c r="P85" i="186"/>
  <c r="F77" i="186"/>
  <c r="F79" i="186" s="1"/>
  <c r="J88" i="186"/>
  <c r="I85" i="187"/>
  <c r="M77" i="186"/>
  <c r="M79" i="186" s="1"/>
  <c r="P88" i="186"/>
  <c r="I77" i="186"/>
  <c r="I79" i="186" s="1"/>
  <c r="T85" i="186"/>
  <c r="U88" i="186"/>
  <c r="U91" i="186"/>
  <c r="U92" i="186" s="1"/>
  <c r="U85" i="186"/>
  <c r="H88" i="186"/>
  <c r="H85" i="186"/>
  <c r="C91" i="187"/>
  <c r="C92" i="187" s="1"/>
  <c r="D85" i="186"/>
  <c r="D88" i="186"/>
  <c r="O91" i="186"/>
  <c r="O92" i="186" s="1"/>
  <c r="M85" i="186"/>
  <c r="D91" i="186"/>
  <c r="D92" i="186" s="1"/>
  <c r="N88" i="186"/>
  <c r="N85" i="186"/>
  <c r="N91" i="186"/>
  <c r="N92" i="186" s="1"/>
  <c r="R91" i="186"/>
  <c r="R92" i="186" s="1"/>
  <c r="S91" i="186"/>
  <c r="S92" i="186" s="1"/>
  <c r="S88" i="186"/>
  <c r="S85" i="186"/>
  <c r="R85" i="186"/>
  <c r="F91" i="186"/>
  <c r="F92" i="186" s="1"/>
  <c r="E88" i="186"/>
  <c r="E91" i="186"/>
  <c r="E92" i="186" s="1"/>
  <c r="E85" i="186"/>
  <c r="R88" i="186"/>
  <c r="C88" i="185"/>
  <c r="C91" i="185"/>
  <c r="C92" i="185" s="1"/>
  <c r="I88" i="186" l="1"/>
  <c r="I91" i="186"/>
  <c r="I92" i="186" s="1"/>
  <c r="F85" i="186"/>
  <c r="K85" i="186"/>
  <c r="K91" i="186"/>
  <c r="K92" i="186" s="1"/>
  <c r="K88" i="186"/>
  <c r="M88" i="186"/>
  <c r="F88" i="186"/>
  <c r="T88" i="186"/>
  <c r="I85" i="186"/>
  <c r="M91" i="186"/>
  <c r="M92" i="186" s="1"/>
</calcChain>
</file>

<file path=xl/sharedStrings.xml><?xml version="1.0" encoding="utf-8"?>
<sst xmlns="http://schemas.openxmlformats.org/spreadsheetml/2006/main" count="1667" uniqueCount="565">
  <si>
    <t>RSA forfaitaire</t>
  </si>
  <si>
    <t>Allocations familiales</t>
  </si>
  <si>
    <t>Allocation de soutien familial</t>
  </si>
  <si>
    <t>Total Prestations</t>
  </si>
  <si>
    <t>Avant décote</t>
  </si>
  <si>
    <t>Impôt avant plafonnement de l'AVQF</t>
  </si>
  <si>
    <t>Impôt sans enfants à charge</t>
  </si>
  <si>
    <t>plafond QF</t>
  </si>
  <si>
    <t>Impôt après plafonnement de l'AVQF</t>
  </si>
  <si>
    <t>décote</t>
  </si>
  <si>
    <t>Nombre de parts fiscales</t>
  </si>
  <si>
    <t>isolé</t>
  </si>
  <si>
    <t>couple</t>
  </si>
  <si>
    <t>C</t>
  </si>
  <si>
    <t xml:space="preserve">pour une personne seule </t>
  </si>
  <si>
    <t>pour 2 personnes</t>
  </si>
  <si>
    <t xml:space="preserve">pour 3 personnes ou plus </t>
  </si>
  <si>
    <t> Nombre d'enfants</t>
  </si>
  <si>
    <t>Par enfant en plus</t>
  </si>
  <si>
    <t>Montant du loyer plafond pour les isolés sans pàc en zone 2</t>
  </si>
  <si>
    <t>Montant du loyer plafond pour les couples sans pàc en zone 2</t>
  </si>
  <si>
    <t>Montant du loyer plafond pour les familles une pàc en zone 2</t>
  </si>
  <si>
    <t>Montant du loyer plafond pour les familles supp pàc en zone 2</t>
  </si>
  <si>
    <t>Forfait de charges pour les familles sans personne à charge</t>
  </si>
  <si>
    <t>Forfait de charges pour les familles avec une personne à charge</t>
  </si>
  <si>
    <t>Forfait de charges pour les familles par personne à charge après une</t>
  </si>
  <si>
    <t>Montant de PL mensuel minimum pour donner lieu à versement</t>
  </si>
  <si>
    <t>Situation maritale</t>
  </si>
  <si>
    <t>montant</t>
  </si>
  <si>
    <t>majoré</t>
  </si>
  <si>
    <t>Seuil de la première tranche du barème</t>
  </si>
  <si>
    <t>Seuil de la deuxième tranche du barème</t>
  </si>
  <si>
    <t>Seuil de la troisième tranche du barème</t>
  </si>
  <si>
    <t>Seuil de la quatrième tranche du barème</t>
  </si>
  <si>
    <t>Taux de la première tranche du barème (en %)</t>
  </si>
  <si>
    <t>Taux de la deuxième tranche du barème (en %)</t>
  </si>
  <si>
    <t>Taux de la troisième tranche du barème (en %)</t>
  </si>
  <si>
    <t>Taux de la quatrième tranche du barème (en %)</t>
  </si>
  <si>
    <t>Maximum de la déduction au titre des frais professionnels</t>
  </si>
  <si>
    <t>Minimum de la déduction au titre des frais professionnels</t>
  </si>
  <si>
    <t>Plafond de l'avantage apporté par le quotient familial pour un parent isolé</t>
  </si>
  <si>
    <t>Plafond de la décote</t>
  </si>
  <si>
    <t>Déduction deuxième tranche</t>
  </si>
  <si>
    <t>Déduction troisième tranche</t>
  </si>
  <si>
    <t>Déduction quatrième tranche</t>
  </si>
  <si>
    <t>Déduction première tranche</t>
  </si>
  <si>
    <t>Barème aides au logement</t>
  </si>
  <si>
    <t>Supplément par enfant</t>
  </si>
  <si>
    <t>nombre d'enfants &lt; 3 ans</t>
  </si>
  <si>
    <t>AB de la PAJE</t>
  </si>
  <si>
    <t>plafond isolé ou couple biactif 3 enf</t>
  </si>
  <si>
    <t>plafond couple monoactif 3 enf</t>
  </si>
  <si>
    <t>plafond couple monoactif 2 enf</t>
  </si>
  <si>
    <t>plafond couple monoactif 
1 enf</t>
  </si>
  <si>
    <t>plafond isoléou couple biactif  1 enf</t>
  </si>
  <si>
    <t>plafond isolé ou couple biactif 2 enf</t>
  </si>
  <si>
    <t>seuil activité</t>
  </si>
  <si>
    <t>Coefficient calcul ressources n-2</t>
  </si>
  <si>
    <t>Nombre de parts fiscales sans enfant à charge</t>
  </si>
  <si>
    <t>(isolé / couple)</t>
  </si>
  <si>
    <t>Zone 2</t>
  </si>
  <si>
    <t>Zone 3</t>
  </si>
  <si>
    <t>Zone1</t>
  </si>
  <si>
    <t>(1 / 2 / 3)</t>
  </si>
  <si>
    <t xml:space="preserve">Zone pour les aides au logement </t>
  </si>
  <si>
    <t>ARS 11-14 ans</t>
  </si>
  <si>
    <t>plafond  
1 enf</t>
  </si>
  <si>
    <t>Plafond ARS</t>
  </si>
  <si>
    <t>(soit un nombre, soit sous la forme =x*smic)</t>
  </si>
  <si>
    <t>ARS/12</t>
  </si>
  <si>
    <t>Aides au logement</t>
  </si>
  <si>
    <t>droit ASF</t>
  </si>
  <si>
    <t>(0 ou 1)</t>
  </si>
  <si>
    <t>ARS 6-10 ans</t>
  </si>
  <si>
    <t>ARS 15-18 ans</t>
  </si>
  <si>
    <t>INSEE</t>
  </si>
  <si>
    <t>Taux appliqué à la somme loyer plus charge afin de calculer la participation personnelle</t>
  </si>
  <si>
    <t>Participation personnelle minimale forfaitaire notée p0</t>
  </si>
  <si>
    <t>Taux de la déduction au titre des frais professionnels</t>
  </si>
  <si>
    <t>Plafond de l'avantage apporté par le quotient familial pour un couple</t>
  </si>
  <si>
    <t>Coefficient de calcul de la décote</t>
  </si>
  <si>
    <t>ARS total</t>
  </si>
  <si>
    <t>ARS total max</t>
  </si>
  <si>
    <t>Forfait logement</t>
  </si>
  <si>
    <t>RSA</t>
  </si>
  <si>
    <t>CF</t>
  </si>
  <si>
    <t>ARS</t>
  </si>
  <si>
    <t>AB</t>
  </si>
  <si>
    <t>majoration RSA (y compris grossesse)</t>
  </si>
  <si>
    <t>coefficient drevenus d'activité pour le revenu garanti</t>
  </si>
  <si>
    <t>AF hors majo</t>
  </si>
  <si>
    <t>majoration AF</t>
  </si>
  <si>
    <t>revenu d'activité</t>
  </si>
  <si>
    <t>quotient familial</t>
  </si>
  <si>
    <t>quotient familial sans enfant à charge</t>
  </si>
  <si>
    <t>réduction d'impôt pour enfant à charge au collège</t>
  </si>
  <si>
    <t>réduction d'impôt pour enfant à charge au lycée</t>
  </si>
  <si>
    <t>réduction d'impôt pour enfant à charge étudiant du supérieur</t>
  </si>
  <si>
    <t>âge premier enfant</t>
  </si>
  <si>
    <t>âge deuxième enfant</t>
  </si>
  <si>
    <t>âge troisième enfant</t>
  </si>
  <si>
    <t>âge quatrième enfant</t>
  </si>
  <si>
    <t>âge cinquième enfant</t>
  </si>
  <si>
    <t>âge sixième enfant</t>
  </si>
  <si>
    <t xml:space="preserve">écrire -1 si n'existe pas dans la famille </t>
  </si>
  <si>
    <t>Avantage du QF plafonné</t>
  </si>
  <si>
    <t>Impôt avant réductions et crédits d'impôt</t>
  </si>
  <si>
    <t>Réduction pour enfants poursuivant des études secondaires ou supérieures</t>
  </si>
  <si>
    <t>nombre d'enfants à charge pour l'impôt (moins de 18 ans ou étudiant de moins de 25 ans)</t>
  </si>
  <si>
    <t>nombre d'enfants PF (moins de 20 ans)</t>
  </si>
  <si>
    <t>nombre d'enfants RSA (moins de 25 ans)</t>
  </si>
  <si>
    <t>nombre d'enfants 14-20 ans (pour majo AF)</t>
  </si>
  <si>
    <t>Impôt après réductions et crédits d'impôt</t>
  </si>
  <si>
    <t>BMAF (base menseulle de calcul des PF)</t>
  </si>
  <si>
    <t>majoration AF &gt;14 ans sauf aîné famille de 2)</t>
  </si>
  <si>
    <t>Montant</t>
  </si>
  <si>
    <t>Rsa socle avant seuil versement</t>
  </si>
  <si>
    <t xml:space="preserve">Montant </t>
  </si>
  <si>
    <t>majoration</t>
  </si>
  <si>
    <t>Montant réduit</t>
  </si>
  <si>
    <t>Plafond 1 CF</t>
  </si>
  <si>
    <t>Plafond 2 CF</t>
  </si>
  <si>
    <t>Plafond 2 AB</t>
  </si>
  <si>
    <t>Plafond 1 AB</t>
  </si>
  <si>
    <t>forfait AF</t>
  </si>
  <si>
    <t>Forfait AF</t>
  </si>
  <si>
    <t>plafond 1 AF pour 2 enfants</t>
  </si>
  <si>
    <t>supplément plafond AF par enfant</t>
  </si>
  <si>
    <t>AF avant modulation</t>
  </si>
  <si>
    <t xml:space="preserve">plafond1 </t>
  </si>
  <si>
    <t>plafond2</t>
  </si>
  <si>
    <t>nombre d'enfants CF et  PL (moins de 21 ans)</t>
  </si>
  <si>
    <t>Cf de base</t>
  </si>
  <si>
    <t>complément CF</t>
  </si>
  <si>
    <t>ASF à déduire du RSA</t>
  </si>
  <si>
    <t>Complément familial avant majoration</t>
  </si>
  <si>
    <t>Majoration du complément familial</t>
  </si>
  <si>
    <t>nombre d'enfant au collège</t>
  </si>
  <si>
    <t>nombre d'enfant au lycée</t>
  </si>
  <si>
    <t>plafond décote couple</t>
  </si>
  <si>
    <t>complément dégressif</t>
  </si>
  <si>
    <t>Total prestations familiales (hors CMG)</t>
  </si>
  <si>
    <t>Prime d'activité</t>
  </si>
  <si>
    <t>Prime d'activité avant seuil versement</t>
  </si>
  <si>
    <t>INSEE : Montant mensuel net du smic pour 35 heures de travail par semaine (151,67 h/mois) après déduction de la CSG et CRDS    -       http://www.insee.fr/fr/bases-de-donnees/bsweb/serie.asp?idbank=000879878</t>
  </si>
  <si>
    <t>INSEE : Indice des prix à la consommation - Secteurs conjoncturels (mensuel, ensemble des ménages, métropole + DOM, base 1998) - Ensemble hors tabac         -       http://www.bdm.insee.fr/bdm2/affichageSeries.action?idbank=000641194&amp;request_locale=fr</t>
  </si>
  <si>
    <t>Prestations légales Caf 2016 (circulaire DSS du 15 mars 2016)</t>
  </si>
  <si>
    <t>Prime d'activité - calcul du bonus</t>
  </si>
  <si>
    <t>seuil bonus max</t>
  </si>
  <si>
    <t>montant bonus max</t>
  </si>
  <si>
    <t>Allocations familiales après crds (hors forfait)</t>
  </si>
  <si>
    <t>Complément familial après crds</t>
  </si>
  <si>
    <t>ASF après CRDS</t>
  </si>
  <si>
    <t>Allocation de rentrée scolaire après crds</t>
  </si>
  <si>
    <t>AB de la PAJE après CRDS</t>
  </si>
  <si>
    <t>Montant maximum du RSA</t>
  </si>
  <si>
    <t>Décote et réduction sous condition de revenus</t>
  </si>
  <si>
    <t>Impôt après décote</t>
  </si>
  <si>
    <t>plafond 2 AF pour 2 enfants</t>
  </si>
  <si>
    <t>nombre d'enfants &gt;=14 ans (pour calcul niveau de vie)</t>
  </si>
  <si>
    <t>Montant du forfait pour la PA</t>
  </si>
  <si>
    <t>Forfait logement pour la PA</t>
  </si>
  <si>
    <t>FL pour la prime d'activité</t>
  </si>
  <si>
    <t>décret du 27mai 2014</t>
  </si>
  <si>
    <t>CF à déduire du rsa</t>
  </si>
  <si>
    <r>
      <rPr>
        <b/>
        <sz val="12"/>
        <rFont val="Arial"/>
        <family val="2"/>
      </rPr>
      <t xml:space="preserve">Impôt sur le revenu  </t>
    </r>
    <r>
      <rPr>
        <sz val="12"/>
        <rFont val="Arial"/>
        <family val="2"/>
      </rPr>
      <t>: sur www.impot.gouv.fr ; onglet documentation puis recherche de formulaire</t>
    </r>
  </si>
  <si>
    <t xml:space="preserve">Seuil 1 de la contribution exceptionnelle sur les hauts revenus </t>
  </si>
  <si>
    <t xml:space="preserve">Seuil 2 de la contribution exceptionnelle sur les hauts revenus </t>
  </si>
  <si>
    <t>Taux 1 de la contribution exceptionnelle sur les hauts revenus</t>
  </si>
  <si>
    <t>Taux 2 de la contribution exceptionnelle sur les hauts revenus</t>
  </si>
  <si>
    <t>contribution exceptionnelle sur les hauts revenus</t>
  </si>
  <si>
    <t xml:space="preserve"> en € mensuels</t>
  </si>
  <si>
    <t>Loyer plafonné L</t>
  </si>
  <si>
    <t>Loyer</t>
  </si>
  <si>
    <t>Loyer pour les aides au logement ("plaf" si = au loyer plafond)</t>
  </si>
  <si>
    <t>L+C</t>
  </si>
  <si>
    <t>R0 personne seule</t>
  </si>
  <si>
    <t>R0 Couple sans PAC</t>
  </si>
  <si>
    <t>R0 1 pac</t>
  </si>
  <si>
    <t>R0 2 Pac</t>
  </si>
  <si>
    <t>R0 3 pac</t>
  </si>
  <si>
    <t>R0 4 pac</t>
  </si>
  <si>
    <t>R0 5 Pac</t>
  </si>
  <si>
    <t>R0 6 pac</t>
  </si>
  <si>
    <t>R0 par pac sup</t>
  </si>
  <si>
    <t>Taux de participation Tf pour les isolés sans personne à charge</t>
  </si>
  <si>
    <t>Taux de participation Tf pour les couples sans personne à charge</t>
  </si>
  <si>
    <t>Taux de participation Tf pour les familles avec une personne à charge</t>
  </si>
  <si>
    <t>Taux de participation Tf pour les familles avec deux personnes à charge</t>
  </si>
  <si>
    <t>Taux de participation Tf pour les familles avec trois personnes à charge</t>
  </si>
  <si>
    <t>Taux de participation Tf pour les familles avec quatre personnes à charge</t>
  </si>
  <si>
    <t>Taux de participation Tf diminution du taux par personne à charge après quatre</t>
  </si>
  <si>
    <t>taux de participation famille TF</t>
  </si>
  <si>
    <t>taux de participation lié au loyer TL</t>
  </si>
  <si>
    <t>participation personnelle</t>
  </si>
  <si>
    <t>participation minimale</t>
  </si>
  <si>
    <t>Salaire Adulte 1</t>
  </si>
  <si>
    <t>Salaire Adulte 2</t>
  </si>
  <si>
    <t>taux csg imposable</t>
  </si>
  <si>
    <t>taux csg déductible</t>
  </si>
  <si>
    <t>ratio assiette csg et crds</t>
  </si>
  <si>
    <t>taux crds</t>
  </si>
  <si>
    <t>seuil de versement</t>
  </si>
  <si>
    <t>Taux complémentaire Tl au loyer plafond</t>
  </si>
  <si>
    <t>réduction forfaitaire al</t>
  </si>
  <si>
    <t>évolution (n-1)/n pour calcul impôt</t>
  </si>
  <si>
    <t>Quotité travail Adulte 1</t>
  </si>
  <si>
    <t>Quotité travail Adulte 2</t>
  </si>
  <si>
    <t>Montant de l'impôt sur le revenu</t>
  </si>
  <si>
    <t>Prestations familiales à déduire (avant CRDS)</t>
  </si>
  <si>
    <t>AL avant dégressivité liée au loyer (AL0)</t>
  </si>
  <si>
    <t>aide après degressivité (AL1)</t>
  </si>
  <si>
    <t>aide après réduction de 5€ (AL3)</t>
  </si>
  <si>
    <t>AL après troncature seuil de versement et CDRS (AL3)</t>
  </si>
  <si>
    <t>montant forfaitaire pour la prime d'activité</t>
  </si>
  <si>
    <t>Forfait logement du RSA</t>
  </si>
  <si>
    <t>Revenu garanti : forfait PA+0,61*revenu d'activité+bonus théorique</t>
  </si>
  <si>
    <t>seuil de revenu avant dégressivité liée au revenu (R0)</t>
  </si>
  <si>
    <t>PREPARE après CRDS</t>
  </si>
  <si>
    <t>PREPARE taux plein (sans emploi)</t>
  </si>
  <si>
    <t>PREPARE taux réduit 1 (emploi à moins de 50%)</t>
  </si>
  <si>
    <t>PREPARE taux réduit 2 (emploi à 50%-80%)</t>
  </si>
  <si>
    <t>CMG de la PAJE après CRDS</t>
  </si>
  <si>
    <t>seuil intermédiaire 1 enfant</t>
  </si>
  <si>
    <t>seuil intermédiaire 2 enfants</t>
  </si>
  <si>
    <t>seuil intermédiaire  supplément par enfant</t>
  </si>
  <si>
    <t>premier seuil /seuil intermédiaire</t>
  </si>
  <si>
    <t>majo_plafond_isolé</t>
  </si>
  <si>
    <t>tranche1</t>
  </si>
  <si>
    <t>tranche 2</t>
  </si>
  <si>
    <t>tranche 3</t>
  </si>
  <si>
    <t>prise en charge max du salaire net</t>
  </si>
  <si>
    <t>prise en charge max des cotisations (pour garde à domicile)</t>
  </si>
  <si>
    <t>durée garde par Assistante maternelle (en % d'un temps plein)</t>
  </si>
  <si>
    <t>150% si un enfant à plein temps et un à mi temps</t>
  </si>
  <si>
    <t>durée garde à domicile (en % d'un temps plein)</t>
  </si>
  <si>
    <t>durée garde à partagée (en % d'un temps plein)</t>
  </si>
  <si>
    <t>durée de la garde en crèche</t>
  </si>
  <si>
    <t>PREPARE</t>
  </si>
  <si>
    <t>CMG PCSN  (pas incluse dans le revenu disponible)</t>
  </si>
  <si>
    <t>CMG PCCS (pas incluse dans le revenu disponible)</t>
  </si>
  <si>
    <t>PREPARE Adulte 1</t>
  </si>
  <si>
    <t>PREPARE Adulte 2 (avant règle cumul)</t>
  </si>
  <si>
    <t>PREPARE foyer</t>
  </si>
  <si>
    <t>Garde par une assistante maternelle</t>
  </si>
  <si>
    <t>Coût net de la garde par une assistante maternelle</t>
  </si>
  <si>
    <t>cotisations prises en charge par la Caf</t>
  </si>
  <si>
    <t>coût net mensuel pour impôt</t>
  </si>
  <si>
    <t>Garde à domicile</t>
  </si>
  <si>
    <t>Coût brut de la garde à domicile</t>
  </si>
  <si>
    <t>Salaire net garde à domicile</t>
  </si>
  <si>
    <t>Infos complémentaires garde d'enfant</t>
  </si>
  <si>
    <t>Garde par une assistante maternelle (18j, 9h/j)</t>
  </si>
  <si>
    <t>salaire net horaire (yc 10% de congés payés)</t>
  </si>
  <si>
    <t>Part salariale</t>
  </si>
  <si>
    <t>Part patronale</t>
  </si>
  <si>
    <t>indemnité d'entretien/jour</t>
  </si>
  <si>
    <t>indemnité d'entretien/jour forfaitaire pour le crédit d'impôt</t>
  </si>
  <si>
    <t>Indemnité de repas</t>
  </si>
  <si>
    <t>nombre de jours par mois</t>
  </si>
  <si>
    <t>nombre d'heures par jour</t>
  </si>
  <si>
    <t>indeminté repas temps plein</t>
  </si>
  <si>
    <t>coût mensuel brut total pour une garde à temps plein</t>
  </si>
  <si>
    <t>coût net mensuel pris en compte pour le CMG (garde à temps plein)</t>
  </si>
  <si>
    <t>coût net mensuel pris en compte pour le crédit d'impôt (garde à temps plein)</t>
  </si>
  <si>
    <t>cotisation salariales (garde à temps plein)</t>
  </si>
  <si>
    <t>Garde à domicile (18j , 9h par jour dont 1h de présence payée 2/3)</t>
  </si>
  <si>
    <t>salaire net horaire</t>
  </si>
  <si>
    <t>nombre d'heures par jour de travail effectif</t>
  </si>
  <si>
    <t>nombre d'heures par jour de présence responsable</t>
  </si>
  <si>
    <t>coût mensuel net pour une garde à temps plein</t>
  </si>
  <si>
    <t>cotisations pour une garde à temps plein</t>
  </si>
  <si>
    <t>coût mensuel brut pour une garde à temps plein</t>
  </si>
  <si>
    <t>Crèche</t>
  </si>
  <si>
    <t>Coût de la crèche / nb eàc</t>
  </si>
  <si>
    <t>Coef horaire</t>
  </si>
  <si>
    <t>Coeff à multier au revenu imposable n-1 (mensuel !) pour calculer le coût annuel de la crèche pour un temps plein 
(Nb d'heure hebdo x 45 semaines x Tarif Horaire)</t>
  </si>
  <si>
    <t>4 à 6 enfants</t>
  </si>
  <si>
    <t>Nombre d'heures par jour de garde pour un temps plein</t>
  </si>
  <si>
    <t>Nombre de jours de garde par semaine pour un temps plein</t>
  </si>
  <si>
    <t>Nombre de semaines de garde pour un temps plein</t>
  </si>
  <si>
    <t>plancher de ressources</t>
  </si>
  <si>
    <t>plafond de ressources</t>
  </si>
  <si>
    <t>Calcul du tarif mensuel payé par la famille ou participation familiale pour l'accueil régulier :</t>
  </si>
  <si>
    <t>Le calcul résulte du contrat d'accueil qui prévoit les jours, les horaires d'accueil de l'enfant sur une base annuelle.</t>
  </si>
  <si>
    <t>Le prix mensuel est forfaitisé sur 11 mois. Il donne lieu à une facturation mensuelle reçue par la famille à son domicile.</t>
  </si>
  <si>
    <t>Forfait mensuel =  Nb d'heure hebdo x 45 semaines x Tarif Horaire / 11 mois</t>
  </si>
  <si>
    <t>Les 45 semaines représentent 52 semaines par an déduction faites des 6 semaines de congés payés et d'1 semaine de jours fériés.</t>
  </si>
  <si>
    <t>salaire total en part du smic (calcul automatique)</t>
  </si>
  <si>
    <t>plafond intermédiaire</t>
  </si>
  <si>
    <t>Coût mensuel de la garde (étalé sur 12 mois)</t>
  </si>
  <si>
    <t>Plafond CMG</t>
  </si>
  <si>
    <t>Crédit d'impôt garde par crèche ou assmat</t>
  </si>
  <si>
    <t>plafond frais de garde à domicile</t>
  </si>
  <si>
    <t>Crédit d'impôt pour frais de garde</t>
  </si>
  <si>
    <t>part des frais de garde par une assistante maternelle prise en compte pour le crédit d'impôt</t>
  </si>
  <si>
    <t>maximum des  frais de garde par une assistante maternelle pris en comptes pour le crédit d'impôt</t>
  </si>
  <si>
    <t>part des frais de garde par une garde à domicile prise en compte pour le crédit d'impôt</t>
  </si>
  <si>
    <t>seuil 1 pour calcul plafond de dépenses</t>
  </si>
  <si>
    <t>supplément par enfant du plafond de dépense</t>
  </si>
  <si>
    <t>maximum des  frais de garde par une garde à domicile pris en comptes pour loe crédit d'impôt</t>
  </si>
  <si>
    <t>montant (avant revalo covid)</t>
  </si>
  <si>
    <t>Si vous avez recours à un assistant maternel, il doit être agréé par les services de la protection maternelle et infantile. Son</t>
  </si>
  <si>
    <t>Vous ne pourrez pas bénéficier de la Prime d’activité si vous êtes :</t>
  </si>
  <si>
    <t>travailleur détaché exerçant temporairement votre activité en France ;</t>
  </si>
  <si>
    <t>en congé parental d’éducation, sabbatique, sans solde ou en disponibilité, sauf si vous percevez des revenus d’activité ;</t>
  </si>
  <si>
    <t>étudiant ou apprenti et que vous percevez par mois un revenu égal ou inférieur à 78% du Smic net.</t>
  </si>
  <si>
    <t>Maximum de la déduction foyer sur les pensions &amp; retraites</t>
  </si>
  <si>
    <t>Minimum de la déduction foyer sur les pensions &amp; retraites</t>
  </si>
  <si>
    <t>quotité travail pour la PREPARE Adulte 1 ( 0%-50%-80%)</t>
  </si>
  <si>
    <t xml:space="preserve">quotité travail pour la PREPARE Adulte 2 </t>
  </si>
  <si>
    <t>seuil 1 du ratio loyer/loyer plafond</t>
  </si>
  <si>
    <t>seuil 2 du ratio loyer/loyer plafond</t>
  </si>
  <si>
    <t>locataire</t>
  </si>
  <si>
    <t>locataire ou propriétaire</t>
  </si>
  <si>
    <t>Revenus annuels</t>
  </si>
  <si>
    <t>1 enfant</t>
  </si>
  <si>
    <t>par enfant suppl.</t>
  </si>
  <si>
    <t>Bourse de collège</t>
  </si>
  <si>
    <t>Bourse de lycée</t>
  </si>
  <si>
    <t>Montant annuel</t>
  </si>
  <si>
    <t>Echelon</t>
  </si>
  <si>
    <t>Nombre d’enfants à charge</t>
  </si>
  <si>
    <t>Echelon 1</t>
  </si>
  <si>
    <t>Echelon 2</t>
  </si>
  <si>
    <t>Echelon 3</t>
  </si>
  <si>
    <t>Echelon 4</t>
  </si>
  <si>
    <t>Echelon 5</t>
  </si>
  <si>
    <t>Echelon 6</t>
  </si>
  <si>
    <t>8 ou plus</t>
  </si>
  <si>
    <t>pas utilisé, cas types jusqu'à 6 enfants</t>
  </si>
  <si>
    <t>Base ressource</t>
  </si>
  <si>
    <t>Bourse de lycée (par lycéen)</t>
  </si>
  <si>
    <t>Statut adulte 2</t>
  </si>
  <si>
    <t>salarié</t>
  </si>
  <si>
    <t>AAH</t>
  </si>
  <si>
    <t>POUR LE CALCUL ARE adulte 1</t>
  </si>
  <si>
    <t>Coef temps partiel pour ARE</t>
  </si>
  <si>
    <t>Salaire annuel de référence</t>
  </si>
  <si>
    <t>Salaire journalier de référence</t>
  </si>
  <si>
    <t>POUR LE CALCUL ARE adulte 2</t>
  </si>
  <si>
    <t>ARE adulte 1 (mois de 30 jours)</t>
  </si>
  <si>
    <t>ARE adulte 2 (mois de 30 jours)</t>
  </si>
  <si>
    <t>Statut adulte 1 (salarié/chômeur)</t>
  </si>
  <si>
    <t>Droit AAH adulte 2</t>
  </si>
  <si>
    <t>(0/1)</t>
  </si>
  <si>
    <t>Revenus primaires mensuels</t>
  </si>
  <si>
    <t>Coeff pour les AL et l'AAH</t>
  </si>
  <si>
    <t>taux abattement 2 revenus d'activité</t>
  </si>
  <si>
    <t>Base ressource adulte 1</t>
  </si>
  <si>
    <t>AAH adulte 1</t>
  </si>
  <si>
    <t>Base ressource adulte 2</t>
  </si>
  <si>
    <t>AAH adulte 2</t>
  </si>
  <si>
    <t>Plafond mensuel</t>
  </si>
  <si>
    <t>Total revenu disponible (hors CMG)</t>
  </si>
  <si>
    <t>hyp : emploi depuis plus de 6 mois</t>
  </si>
  <si>
    <t>Bourse du supérieur</t>
  </si>
  <si>
    <t>BOURSES DU SUPERIEUR</t>
  </si>
  <si>
    <t xml:space="preserve">PLAFONDS  (en Euros) Points </t>
  </si>
  <si>
    <t xml:space="preserve">ECHELON </t>
  </si>
  <si>
    <t>Points de charge</t>
  </si>
  <si>
    <t xml:space="preserve">RBG inf à </t>
  </si>
  <si>
    <t>Type de bourses</t>
  </si>
  <si>
    <t>Taux annuel sur dix mois(en euros)</t>
  </si>
  <si>
    <t>Taux pour les étudiants  bénéficiant du maintien de la bourse pendant  les grandes vacances universitaires (en euros)</t>
  </si>
  <si>
    <r>
      <t xml:space="preserve">Echelon 0 </t>
    </r>
    <r>
      <rPr>
        <i/>
        <sz val="12"/>
        <rFont val="Arial"/>
        <family val="2"/>
      </rPr>
      <t>bis</t>
    </r>
  </si>
  <si>
    <t>Echelon 7</t>
  </si>
  <si>
    <t>nombre de points de charge (fratrie uniquement, sinon entrer à la main)</t>
  </si>
  <si>
    <t>Points de charge à prendre en considération pour l'attribution d'une bourse sur critères sociaux</t>
  </si>
  <si>
    <t>2.1 Les charges de l'étudiant</t>
  </si>
  <si>
    <t>Candidat boursier dont le domicile (commune de résidence) familial est éloigné de l'établissement d'inscription à la rentrée universitaire :</t>
  </si>
  <si>
    <t>- de 30 à 249 kilomètres : 1 point ;</t>
  </si>
  <si>
    <t>- de 250 kilomètres et plus : 2 points.</t>
  </si>
  <si>
    <t>2.2 Les charges de la famille</t>
  </si>
  <si>
    <t>- Pour chaque autre enfant à charge, à l'exclusion du candidat boursier : 2 points ;</t>
  </si>
  <si>
    <t>- Pour chaque enfant à charge, étudiant dans l'enseignement supérieur, à l'exclusion du candidat boursier : 4 points.</t>
  </si>
  <si>
    <t>2.3 Détail des points de charge de l'étudiant relatifs à l'éloignement du domicile par rapport à l'établissement d'inscription à la rentrée</t>
  </si>
  <si>
    <t>L'appréciation de l'éloignement relève de la compétence du recteur d'académie qui fonde ses décisions sur les données extraites du répertoire des communes de l'Institut géographique national (IGN) et du fichier de la Poste. Toutefois, conformément à l'article 8 de la loi  n° 85-30 du 9 janvier 1985 relative au développement et à la protection de la montagne qui prévoit que les dispositions de portée générale sont adaptées en tant que de besoin à la spécificité des zones de montagne, cette méthode d'appréciation de l'éloignement peut être ajustée. À cet égard, lorsque le domicile familial est situé dans une commune répertoriée par le Commissariat général à l'égalité des territoires comme étant en zone de montagne, l'étudiant bénéficie d'une majoration du nombre de ses points de charge, dans la limite du nombre prévu au point 2.1 ci-dessus.</t>
  </si>
  <si>
    <t>Le domicile (commune de résidence) de l'étudiant est celui de sa famille. Lorsque la bourse est attribuée en fonction des ressources du candidat ou de son conjoint, c'est  la commune de résidence du couple qui sert de référence. Lorsque l'étudiant vient d'un département d'outre-mer, d'une collectivité d'outre-mer ou de Nouvelle-Calédonie afin de poursuivre ses études en métropole, c'est le lieu de résidence des parents ou de l'étudiant et de son conjoint qui est pris en compte si ceux-ci résident en outre-mer. En cas de délocalisation du lieu d'enseignement, c'est celui-ci qui sert de référence. L'étudiant inscrit dans un établissement situé dans un pays membre du Conseil de l'Europe bénéficie à ce titre du nombre de points de charge relatifs à l'éloignement conformément aux dispositions du point 2.1 ci-dessus, même s'il est parallèlement inscrit en France dans un établissement d'enseignement supérieur. L'étudiant inscrit à une préparation à distance ne peut bénéficier des points de charge liés à l'éloignement.</t>
  </si>
  <si>
    <t>2.4 Détail des points de charge de la famille</t>
  </si>
  <si>
    <t>Attribution de point de charge pour chaque autre enfant à charge de la famille, à l'exclusion du candidat boursier.</t>
  </si>
  <si>
    <t>Est considéré à charge de la famille, l'enfant rattaché fiscalement aux parents, au tuteur légal ou au délégataire de l'autorité parentale y compris celui issu de précédent(s) mariage(s). Le rattachement fiscal est celui de l'année de référence n - 2 prise en compte pour l'examen du droit à bourse ou les années suivantes en cas de naissance ou de mariage.</t>
  </si>
  <si>
    <t>Le versement d'une pension alimentaire à un enfant majeur ne constitue pas une prise en charge fiscale.</t>
  </si>
  <si>
    <t>Attribution de point de charge pour chaque enfant à charge étudiant dans l'enseignement supérieur, à l'exclusion du candidat boursier</t>
  </si>
  <si>
    <t>L'étudiant considéré doit être inscrit dans l'enseignement supérieur au cours de l'année durant laquelle une bourse est sollicitée. La notion d'enseignement supérieur recouvre l'ensemble des formations supérieures dispensées à plein temps ou à distance par le Centre national d'enseignement à distance ou par télé-enseignement organisé par les universités (même si la possession du baccalauréat n'est pas exigée pour l'admission) et ouvrant droit au régime de la sécurité sociale étudiante. Les points de charge sont également attribués au titre de chaque enfant à charge, à l'exclusion du candidat boursier, inscrit dans une formation d'enseignement supérieur en alternance (sous contrat d'apprentissage ou de professionnalisation) ou dans l'enseignement supérieur à l'étranger.</t>
  </si>
  <si>
    <t>Total Bourses</t>
  </si>
  <si>
    <t>Niveau de vie net du coût de la garde</t>
  </si>
  <si>
    <t>CASES BLEUES : A RENSEIGNER
(texte rouge calculé automatiquement)</t>
  </si>
  <si>
    <t>nombre d'enfants âgés de 18 ans ou plus étudiants du supérieur (pour impôt et bourses, calcul automatique sauf souhait contraire)</t>
  </si>
  <si>
    <t>Calcul automatique sauf souhait contraire</t>
  </si>
  <si>
    <t>RESULTATS PRINCIPAUX</t>
  </si>
  <si>
    <t>RESULTATS COMPLEMENTAIRES</t>
  </si>
  <si>
    <t>Calculs intermédiaires (peuvent être démasqués)</t>
  </si>
  <si>
    <t>Revenu disponible net du coût de la garde</t>
  </si>
  <si>
    <t>y compris cas d'un revenu nul</t>
  </si>
  <si>
    <t>Nombre d'enfants par âge</t>
  </si>
  <si>
    <t>Revenus salariaux</t>
  </si>
  <si>
    <t>Allocations chômage</t>
  </si>
  <si>
    <t>Barèmes pensions alimentaires</t>
  </si>
  <si>
    <t>TABLE DE REFERENCE 2013 POUR FIXER LES PENSIONS ALIMENTAIRES</t>
  </si>
  <si>
    <t>Abattement</t>
  </si>
  <si>
    <t>taux</t>
  </si>
  <si>
    <t>Enf</t>
  </si>
  <si>
    <t>classique</t>
  </si>
  <si>
    <t>réduit</t>
  </si>
  <si>
    <t>alterné</t>
  </si>
  <si>
    <t>TABLE DE REFERENCE 2018 POUR FIXER LES PENSIONS ALIMENTAIRES</t>
  </si>
  <si>
    <t>reste à vivre minimum</t>
  </si>
  <si>
    <t>nombre d'unités de consommation (echelle standard)</t>
  </si>
  <si>
    <t>Nombre d'UC parents isolés/non gardien</t>
  </si>
  <si>
    <t>uc_enf_pg</t>
  </si>
  <si>
    <t>uc_enf_png</t>
  </si>
  <si>
    <t>uc_ado_pg</t>
  </si>
  <si>
    <t>uc_ado_png</t>
  </si>
  <si>
    <t>indiquer l'âge même pour le parent non gardien</t>
  </si>
  <si>
    <t>Base ressources pour les PF : revenu net imposable n-2</t>
  </si>
  <si>
    <t>Impôt sur le revenu/12  (sur revenus n-1 déflatés de la hausse du smic)</t>
  </si>
  <si>
    <t>évolution (n-2)/(n-1) pour calcul PF sous conditions de ressources et bourses</t>
  </si>
  <si>
    <t>évolution (n-2)/n</t>
  </si>
  <si>
    <t>Allocation de retour à l'emploi : hypothèse emploi stable avant le chômage : si souhait inverse, entrer manuellement le SAR</t>
  </si>
  <si>
    <t>IMPOT SUR LE REVENU calculé pour simplifier sur revenus n-1</t>
  </si>
  <si>
    <t>type de parent isolé</t>
  </si>
  <si>
    <t>Pensions alimentaires versées (calcul automatique si png)</t>
  </si>
  <si>
    <t>Lorsque c'est le parent non gardien, les enfants ne sont pas pris en compte dans les barèmes socio-fiscaux mais permettent de calculer le montant de la CEEE et comptent pour le niveau de vie corrigé</t>
  </si>
  <si>
    <t>(pg/png/solo)</t>
  </si>
  <si>
    <t>Barème de calcul de la CEEE (si pg ou png)</t>
  </si>
  <si>
    <t>revenu primaire du parent qui a la arde secondaire (si pg : pour calcul cEEE)</t>
  </si>
  <si>
    <t>Pensions alimentaires reçue (calcul automatique si pg)</t>
  </si>
  <si>
    <t>(2010 / 2018)</t>
  </si>
  <si>
    <t>Taux de l'abattement sur les pensions &amp; retraites</t>
  </si>
  <si>
    <t>revenu net imposable n-1</t>
  </si>
  <si>
    <t>Base ressources (RIC n-1)</t>
  </si>
  <si>
    <t>On peut calculer automatiquement l'ARE à partir du salaire antérieur sous l'hyp d'un emploi stable depuis suffisamment longtemps.</t>
  </si>
  <si>
    <t>(calcul/saisie)</t>
  </si>
  <si>
    <t>calcul</t>
  </si>
  <si>
    <t>Montant d'allocation chômage adulte 1 si "saisie"</t>
  </si>
  <si>
    <t>Salaire antérieur pour calcul ARE adulte 1 si "calcul"</t>
  </si>
  <si>
    <t>Salaire antérieur pour calcul ARE adulte 2  si "calcul"</t>
  </si>
  <si>
    <t>Montant d'allocation chômage adulte 2 si "saisie"</t>
  </si>
  <si>
    <t>plaf</t>
  </si>
  <si>
    <t>coeff a</t>
  </si>
  <si>
    <t>Barème intermédiaire</t>
  </si>
  <si>
    <t>entre seuil 1 et seuil 2, f(R)=aR+b avec b=(1-a)S2</t>
  </si>
  <si>
    <t>seuil 1</t>
  </si>
  <si>
    <t>a=(S2-(S1-RSA_I0))/(S2-S1)</t>
  </si>
  <si>
    <t>seuil 2</t>
  </si>
  <si>
    <t>smic 2012</t>
  </si>
  <si>
    <t>smic horaire brut</t>
  </si>
  <si>
    <t>Coût net de la garde avant crédit d'impôt</t>
  </si>
  <si>
    <t>smic horaire net (pour PA)</t>
  </si>
  <si>
    <t>salaire brut ne doit pas dépasser 55,35 € au 1er janvier 2022 par jour et par enfant gardé.</t>
  </si>
  <si>
    <t>CMG par enfant pour une AM et par famile pour une GD</t>
  </si>
  <si>
    <t>majo 30% si AAH ou AEEH</t>
  </si>
  <si>
    <t>majo isolement</t>
  </si>
  <si>
    <t>Montant individuel</t>
  </si>
  <si>
    <t>plafond resource n-2 si isolé</t>
  </si>
  <si>
    <t>supplément plafond/enfant (en%)</t>
  </si>
  <si>
    <t>cumul AAH-salaire pendant 6 mois</t>
  </si>
  <si>
    <t>seuil abattement 1 revenus activité</t>
  </si>
  <si>
    <t>BOURSES DE COLLEGE 2022-2023</t>
  </si>
  <si>
    <t>BOURSES DE LYCEE 2022-2023</t>
  </si>
  <si>
    <t xml:space="preserve">BOURSES D’ENSEIGNEMENT SUPERIEUR– ANNEE 2022/2023 </t>
  </si>
  <si>
    <t>Salaire min pour prise en compte de l'AAH comme revenu professionnel</t>
  </si>
  <si>
    <t>13,6% du plafond SS n-2</t>
  </si>
  <si>
    <t>Transferts sociaux et ficsaux</t>
  </si>
  <si>
    <t>Données de contexte</t>
  </si>
  <si>
    <t>Plafond SS n</t>
  </si>
  <si>
    <t>Plafond SS n-1</t>
  </si>
  <si>
    <t>Plafond SS n-2</t>
  </si>
  <si>
    <t>smic net 1 er janvier n</t>
  </si>
  <si>
    <t>Evolution du smic entre n-1 et n</t>
  </si>
  <si>
    <t>smic net 1 er janvier n-1</t>
  </si>
  <si>
    <t>smic net 1 er janvier n-2</t>
  </si>
  <si>
    <t>évol 2012-n</t>
  </si>
  <si>
    <t>Evolution jan (n-1) - janv n</t>
  </si>
  <si>
    <t>Evolution jan (n-2) - janv (n-1)</t>
  </si>
  <si>
    <t>taux cotis sal total rémunération</t>
  </si>
  <si>
    <t>taux cotis sal sous plafond</t>
  </si>
  <si>
    <t>revalo de 50% en novembre 2022</t>
  </si>
  <si>
    <t>(mai 2023)</t>
  </si>
  <si>
    <t>(avril 2023)</t>
  </si>
  <si>
    <t>seuil déclenchement bonus (nb de smic)</t>
  </si>
  <si>
    <t>part de smic de janvier</t>
  </si>
  <si>
    <t>Nombre d'enfants pour l'impôt</t>
  </si>
  <si>
    <t>Nombre d'enfants à charge (0 si png)</t>
  </si>
  <si>
    <t>pour les PF et les bourses</t>
  </si>
  <si>
    <t>nombre d'unités de consommation (echelle modifiée + 1/3 du CE)</t>
  </si>
  <si>
    <t>Echelle standard</t>
  </si>
  <si>
    <t>coût solo  +1/3</t>
  </si>
  <si>
    <t>coût solo  + 50%</t>
  </si>
  <si>
    <t>à partager</t>
  </si>
  <si>
    <t>uc_enf</t>
  </si>
  <si>
    <t>uc_ado</t>
  </si>
  <si>
    <t>uc_enf_ga</t>
  </si>
  <si>
    <t>uc_ado_ga</t>
  </si>
  <si>
    <t>Pour les PF (0 si png / pf autres que les AF annulée plus haut pour ga_p)</t>
  </si>
  <si>
    <t>AIDES AU LOGEMENT sans enfant à charge</t>
  </si>
  <si>
    <t>pour le CF (0 si png / annulé plus haut pour ga_p)</t>
  </si>
  <si>
    <t>AIDES AU LOGEMENT avec enfants à charge</t>
  </si>
  <si>
    <t>CEEE pas des les BR (ni déduc, ni ajout) quand garde alternée</t>
  </si>
  <si>
    <t>Nombre d'eàc pour RSA et PA</t>
  </si>
  <si>
    <t>0 si png ou ga_p</t>
  </si>
  <si>
    <t>Si vous vivez seul(e) avec uniquement à votre charge un ou des enfants en résidence alternée, la majoration du nombre de parts liée à la case T est de: – 0,25 part pour un seul enfant; – 0,5 part pour au moins deux enfants. Dans ce cas, l’avantage en impôt procuré par la demi-part attri_x0002_buée pour chacun des 2 premiers enfants (0,25 part pour l’enfant et 0,25 part pour la case T) excédant une part est limité à 3959€/2</t>
  </si>
  <si>
    <r>
      <t>Comment fonctionne cet avantage fiscal ? Le crédit d'impôt est égal à 50% des dépenses payées pour l'accueil de votre enfant de moins de 6 ans dans la limite de 3500 € par an et par enfant accueilli (</t>
    </r>
    <r>
      <rPr>
        <b/>
        <sz val="10"/>
        <rFont val="Arial"/>
        <family val="2"/>
      </rPr>
      <t>1750 € si l'enfant est en résidence alternée ou à charge partagée)</t>
    </r>
    <r>
      <rPr>
        <sz val="10"/>
        <rFont val="Arial"/>
      </rPr>
      <t>.</t>
    </r>
  </si>
  <si>
    <t>Pour les parents isolés : on précise si c'est le parent non gardien (png), ou le parent gardien (pg) pour un DVH classique ou si c'est un parent seul sans ex-conjoint (solo) 
et pour la résidence alternée ga_m (allocataire principal) et ga_p</t>
  </si>
  <si>
    <t>Coefficient revenu imposable</t>
  </si>
  <si>
    <t>Barème IRPP 2024</t>
  </si>
  <si>
    <t>Seuil de pauvreté 2021</t>
  </si>
  <si>
    <t>Estimation seuil depauvreté 2024</t>
  </si>
  <si>
    <t>IPC_05_2024/IPC_moy_2021</t>
  </si>
  <si>
    <t>revenu primaire du parent créancier si résidence alternée (si ga_m : pour savoir si CEEE)</t>
  </si>
  <si>
    <t>Loyer plafond L</t>
  </si>
  <si>
    <t>Si orphelin des 2 parents</t>
  </si>
  <si>
    <t>Niveau de vie echelle OCDE modifiée</t>
  </si>
  <si>
    <t>Niveau de vie echelle OCDE modifiée +1/3 du coût des enfants pour les parents séparés</t>
  </si>
  <si>
    <r>
      <rPr>
        <b/>
        <sz val="10"/>
        <rFont val="Arial"/>
        <family val="2"/>
      </rPr>
      <t>ARE adulte 1</t>
    </r>
    <r>
      <rPr>
        <sz val="10"/>
        <rFont val="Arial"/>
        <family val="2"/>
      </rPr>
      <t xml:space="preserve"> - préciser si calcul ARE ou saisie de valeur</t>
    </r>
  </si>
  <si>
    <r>
      <rPr>
        <b/>
        <sz val="10"/>
        <rFont val="Arial"/>
        <family val="2"/>
      </rPr>
      <t>ARE adulte 2</t>
    </r>
    <r>
      <rPr>
        <sz val="10"/>
        <rFont val="Arial"/>
        <family val="2"/>
      </rPr>
      <t xml:space="preserve"> - préciser si calcul ARE ou saisie de valeur</t>
    </r>
  </si>
  <si>
    <t>idem plafond divisé par 2 si résidence alternée</t>
  </si>
  <si>
    <t>Bourse du supérieur (par étudiant)</t>
  </si>
  <si>
    <t>mai 2024</t>
  </si>
  <si>
    <t>base ressource=revenu net imposable n-2</t>
  </si>
  <si>
    <t>taux abattement 1 revenus d'activité (si &lt;30% smic brut)</t>
  </si>
  <si>
    <t>AAH déconjugalisée - travail en milieu ordinaire</t>
  </si>
  <si>
    <t>Droit AAH adulte 1 (si travail : par hyp depuis plus d'un an en milieu ordinaire)</t>
  </si>
  <si>
    <t>Caf.fr + Legifrance - article L842-8 du code de la sécu =29*smic horaire brut</t>
  </si>
  <si>
    <t>solo</t>
  </si>
  <si>
    <t>Bonus indiv théorique adulte 1</t>
  </si>
  <si>
    <t>Bonus indiv théorique adulte 2</t>
  </si>
  <si>
    <t>https://yoopies.fr/c/tarif-nounou-domicile-2024</t>
  </si>
  <si>
    <t>hyp Cnaf</t>
  </si>
  <si>
    <t>abattement de cotisations patronales</t>
  </si>
  <si>
    <t>Isolé sans enfant</t>
  </si>
  <si>
    <t>Isolé 1 enfant</t>
  </si>
  <si>
    <t>Isolé 2 enfants</t>
  </si>
  <si>
    <t>Couple sans enfant</t>
  </si>
  <si>
    <t>Couple 1 enfant</t>
  </si>
  <si>
    <t>Couple 2 enfants</t>
  </si>
  <si>
    <t>Isolé 3 enfants</t>
  </si>
  <si>
    <t>Couple 3 enfants</t>
  </si>
  <si>
    <t>nbenf</t>
  </si>
  <si>
    <t>actconj</t>
  </si>
  <si>
    <t>isocou</t>
  </si>
  <si>
    <t>activite</t>
  </si>
  <si>
    <t>Salaire</t>
  </si>
  <si>
    <t>Ract_conj</t>
  </si>
  <si>
    <t>PF</t>
  </si>
  <si>
    <t>PL</t>
  </si>
  <si>
    <t>PA</t>
  </si>
  <si>
    <t>RDISP</t>
  </si>
  <si>
    <t>NVIE</t>
  </si>
  <si>
    <t>IR</t>
  </si>
  <si>
    <t>act_conj</t>
  </si>
  <si>
    <t>Inactif</t>
  </si>
  <si>
    <t>Chômeur</t>
  </si>
  <si>
    <t>1 smic</t>
  </si>
  <si>
    <t>1,5 smic</t>
  </si>
  <si>
    <t>Sans objet</t>
  </si>
  <si>
    <t>Prime d'activité sans bonus activité</t>
  </si>
  <si>
    <t>PA_SANS_BONUS</t>
  </si>
  <si>
    <t>PA_SUPPL_BONUS</t>
  </si>
  <si>
    <t>nvie/seuil</t>
  </si>
  <si>
    <t>seuil pauvreté</t>
  </si>
  <si>
    <t>intensité</t>
  </si>
  <si>
    <t>np</t>
  </si>
  <si>
    <t>nviesspa/seuil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</si>
</sst>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6" formatCode="#,##0\ &quot;€&quot;;[Red]\-#,##0\ &quot;€&quot;"/>
    <numFmt numFmtId="8" formatCode="#,##0.00\ &quot;€&quot;;[Red]\-#,##0.00\ &quot;€&quot;"/>
    <numFmt numFmtId="44" formatCode="_-* #,##0.00\ &quot;€&quot;_-;\-* #,##0.00\ &quot;€&quot;_-;_-* &quot;-&quot;??\ &quot;€&quot;_-;_-@_-"/>
    <numFmt numFmtId="43" formatCode="_-* #,##0.00\ _€_-;\-* #,##0.00\ _€_-;_-* &quot;-&quot;??\ _€_-;_-@_-"/>
    <numFmt numFmtId="164" formatCode="_-* #,##0.00_-;\-* #,##0.00_-;_-* &quot;-&quot;??_-;_-@_-"/>
    <numFmt numFmtId="165" formatCode="#,##0\ &quot;€&quot;"/>
    <numFmt numFmtId="166" formatCode="0.000"/>
    <numFmt numFmtId="167" formatCode="#,##0.00\ &quot;€&quot;"/>
    <numFmt numFmtId="168" formatCode="0.0%"/>
    <numFmt numFmtId="169" formatCode="#,##0.0"/>
    <numFmt numFmtId="170" formatCode="0.0000"/>
    <numFmt numFmtId="171" formatCode="#,##0.000"/>
    <numFmt numFmtId="172" formatCode="#,##0.0000\ &quot;€&quot;"/>
    <numFmt numFmtId="173" formatCode="_-* #,##0\ _€_-;\-* #,##0\ _€_-;_-* &quot;-&quot;??\ _€_-;_-@_-"/>
    <numFmt numFmtId="174" formatCode="_-* #,##0\ _€_-;\-* #,##0\ _€_-;_-* &quot;-&quot;??\ _€_-;_-@"/>
    <numFmt numFmtId="175" formatCode="0.000%"/>
    <numFmt numFmtId="176" formatCode="_-* #,##0.000\ _€_-;\-* #,##0.000\ _€_-;_-* &quot;-&quot;??\ _€_-;_-@_-"/>
    <numFmt numFmtId="177" formatCode="0.00000%"/>
  </numFmts>
  <fonts count="54"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name val="MS Sans Serif"/>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font>
    <font>
      <sz val="12"/>
      <name val="Century Gothic"/>
      <family val="2"/>
    </font>
    <font>
      <sz val="12"/>
      <name val="Arial"/>
      <family val="2"/>
    </font>
    <font>
      <b/>
      <sz val="12"/>
      <name val="Arial"/>
      <family val="2"/>
    </font>
    <font>
      <sz val="12"/>
      <color rgb="FFFF0000"/>
      <name val="Arial"/>
      <family val="2"/>
    </font>
    <font>
      <b/>
      <sz val="11"/>
      <color theme="1"/>
      <name val="Calibri"/>
      <family val="2"/>
      <scheme val="minor"/>
    </font>
    <font>
      <sz val="10"/>
      <color rgb="FF000000"/>
      <name val="Arial"/>
      <family val="2"/>
    </font>
    <font>
      <sz val="11"/>
      <name val="Arial"/>
      <family val="2"/>
    </font>
    <font>
      <u/>
      <sz val="9"/>
      <color theme="10"/>
      <name val="Arial"/>
      <family val="2"/>
    </font>
    <font>
      <b/>
      <sz val="10"/>
      <color theme="0"/>
      <name val="Arial"/>
      <family val="2"/>
    </font>
    <font>
      <sz val="10"/>
      <color rgb="FFFF0000"/>
      <name val="Arial"/>
      <family val="2"/>
    </font>
    <font>
      <u/>
      <sz val="10"/>
      <name val="Arial"/>
      <family val="2"/>
    </font>
    <font>
      <sz val="12"/>
      <color rgb="FFFF0000"/>
      <name val="Century Gothic"/>
      <family val="2"/>
    </font>
    <font>
      <sz val="12"/>
      <color rgb="FF000000"/>
      <name val="Arial"/>
      <family val="2"/>
    </font>
    <font>
      <i/>
      <sz val="12"/>
      <name val="Arial"/>
      <family val="2"/>
    </font>
    <font>
      <b/>
      <sz val="10"/>
      <color rgb="FFC00000"/>
      <name val="Arial"/>
      <family val="2"/>
    </font>
    <font>
      <b/>
      <sz val="10"/>
      <color rgb="FF0000FF"/>
      <name val="Arial"/>
      <family val="2"/>
    </font>
    <font>
      <sz val="10"/>
      <color rgb="FFC00000"/>
      <name val="Arial"/>
      <family val="2"/>
    </font>
    <font>
      <b/>
      <sz val="12"/>
      <name val="Century Gothic"/>
      <family val="2"/>
    </font>
    <font>
      <sz val="8"/>
      <name val="Century Gothic"/>
      <family val="2"/>
    </font>
    <font>
      <sz val="6"/>
      <name val="Arial"/>
      <family val="2"/>
    </font>
    <font>
      <sz val="8"/>
      <name val="Arial"/>
      <family val="2"/>
    </font>
    <font>
      <b/>
      <sz val="10"/>
      <color rgb="FFFF0000"/>
      <name val="Arial"/>
      <family val="2"/>
    </font>
    <font>
      <b/>
      <sz val="10"/>
      <color rgb="FFFFD347"/>
      <name val="Arial"/>
      <family val="2"/>
    </font>
    <font>
      <sz val="11"/>
      <color rgb="FFFF0000"/>
      <name val="Arial"/>
      <family val="2"/>
    </font>
    <font>
      <sz val="12"/>
      <color theme="0"/>
      <name val="Arial"/>
      <family val="2"/>
    </font>
    <font>
      <sz val="10"/>
      <name val="Arial"/>
    </font>
    <font>
      <sz val="10"/>
      <color rgb="FF0070C0"/>
      <name val="Arial"/>
      <family val="2"/>
    </font>
    <font>
      <b/>
      <sz val="10"/>
      <color rgb="FF00B050"/>
      <name val="Arial"/>
      <family val="2"/>
    </font>
    <font>
      <sz val="10"/>
      <color rgb="FF0000FF"/>
      <name val="Arial"/>
      <family val="2"/>
    </font>
  </fonts>
  <fills count="4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5" tint="0.39997558519241921"/>
        <bgColor indexed="64"/>
      </patternFill>
    </fill>
    <fill>
      <patternFill patternType="solid">
        <fgColor theme="0"/>
        <bgColor indexed="64"/>
      </patternFill>
    </fill>
    <fill>
      <patternFill patternType="solid">
        <fgColor rgb="FF66FFFF"/>
        <bgColor indexed="64"/>
      </patternFill>
    </fill>
    <fill>
      <patternFill patternType="solid">
        <fgColor theme="8" tint="0.39994506668294322"/>
        <bgColor indexed="64"/>
      </patternFill>
    </fill>
    <fill>
      <patternFill patternType="solid">
        <fgColor rgb="FF66FFFF"/>
        <bgColor rgb="FF66FFFF"/>
      </patternFill>
    </fill>
    <fill>
      <patternFill patternType="solid">
        <fgColor rgb="FF66FFFF"/>
        <bgColor rgb="FFD8D8D8"/>
      </patternFill>
    </fill>
    <fill>
      <patternFill patternType="solid">
        <fgColor rgb="FF0000FF"/>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rgb="FFCCFFFF"/>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bgColor indexed="64"/>
      </patternFill>
    </fill>
    <fill>
      <patternFill patternType="solid">
        <fgColor theme="8" tint="0.79998168889431442"/>
        <bgColor indexed="64"/>
      </patternFill>
    </fill>
    <fill>
      <patternFill patternType="solid">
        <fgColor rgb="FFFFFF66"/>
        <bgColor indexed="64"/>
      </patternFill>
    </fill>
    <fill>
      <patternFill patternType="solid">
        <fgColor rgb="FFFFFFCC"/>
        <bgColor indexed="64"/>
      </patternFill>
    </fill>
    <fill>
      <patternFill patternType="solid">
        <fgColor theme="2"/>
        <bgColor indexed="64"/>
      </patternFill>
    </fill>
  </fills>
  <borders count="64">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000000"/>
      </left>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65">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0" borderId="0" applyNumberFormat="0" applyFill="0" applyBorder="0" applyAlignment="0" applyProtection="0"/>
    <xf numFmtId="0" fontId="10" fillId="20" borderId="1" applyNumberFormat="0" applyAlignment="0" applyProtection="0"/>
    <xf numFmtId="0" fontId="11" fillId="0" borderId="2" applyNumberFormat="0" applyFill="0" applyAlignment="0" applyProtection="0"/>
    <xf numFmtId="0" fontId="3" fillId="21" borderId="3" applyNumberFormat="0" applyFont="0" applyAlignment="0" applyProtection="0"/>
    <xf numFmtId="0" fontId="12" fillId="7" borderId="1" applyNumberFormat="0" applyAlignment="0" applyProtection="0"/>
    <xf numFmtId="44" fontId="3" fillId="0" borderId="0" applyFont="0" applyFill="0" applyBorder="0" applyAlignment="0" applyProtection="0"/>
    <xf numFmtId="0" fontId="13" fillId="3" borderId="0" applyNumberFormat="0" applyBorder="0" applyAlignment="0" applyProtection="0"/>
    <xf numFmtId="43" fontId="3" fillId="0" borderId="0" applyFont="0" applyFill="0" applyBorder="0" applyAlignment="0" applyProtection="0"/>
    <xf numFmtId="43" fontId="24" fillId="0" borderId="0" applyFont="0" applyFill="0" applyBorder="0" applyAlignment="0" applyProtection="0"/>
    <xf numFmtId="0" fontId="14" fillId="22" borderId="0" applyNumberFormat="0" applyBorder="0" applyAlignment="0" applyProtection="0"/>
    <xf numFmtId="0" fontId="6" fillId="0" borderId="0"/>
    <xf numFmtId="0" fontId="6" fillId="0" borderId="0"/>
    <xf numFmtId="9" fontId="3" fillId="0" borderId="0" applyFont="0" applyFill="0" applyBorder="0" applyAlignment="0" applyProtection="0"/>
    <xf numFmtId="0" fontId="15" fillId="4" borderId="0" applyNumberFormat="0" applyBorder="0" applyAlignment="0" applyProtection="0"/>
    <xf numFmtId="0" fontId="16" fillId="20" borderId="4"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0" fontId="22" fillId="0" borderId="8" applyNumberFormat="0" applyFill="0" applyAlignment="0" applyProtection="0"/>
    <xf numFmtId="0" fontId="23" fillId="23" borderId="9" applyNumberFormat="0" applyAlignment="0" applyProtection="0"/>
    <xf numFmtId="0" fontId="3"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9" fillId="28" borderId="0">
      <alignment horizontal="center" vertical="center" wrapText="1"/>
    </xf>
    <xf numFmtId="0" fontId="30" fillId="0" borderId="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2" fillId="0" borderId="0" applyNumberFormat="0" applyFill="0" applyBorder="0" applyAlignment="0" applyProtection="0">
      <alignment vertical="top"/>
      <protection locked="0"/>
    </xf>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44" fontId="50" fillId="0" borderId="0" applyFont="0" applyFill="0" applyBorder="0" applyAlignment="0" applyProtection="0"/>
  </cellStyleXfs>
  <cellXfs count="517">
    <xf numFmtId="0" fontId="0" fillId="0" borderId="0" xfId="0"/>
    <xf numFmtId="0" fontId="5" fillId="24" borderId="11" xfId="0" applyFont="1" applyFill="1" applyBorder="1"/>
    <xf numFmtId="0" fontId="5" fillId="24" borderId="12" xfId="0" applyFont="1" applyFill="1" applyBorder="1"/>
    <xf numFmtId="0" fontId="5" fillId="24" borderId="16" xfId="0" applyFont="1" applyFill="1" applyBorder="1"/>
    <xf numFmtId="0" fontId="5" fillId="0" borderId="0" xfId="0" applyFont="1"/>
    <xf numFmtId="1" fontId="5" fillId="0" borderId="0" xfId="0" applyNumberFormat="1" applyFont="1"/>
    <xf numFmtId="0" fontId="5" fillId="24" borderId="10" xfId="0" applyFont="1" applyFill="1" applyBorder="1"/>
    <xf numFmtId="0" fontId="25" fillId="0" borderId="0" xfId="0" applyFont="1" applyAlignment="1">
      <alignment horizontal="center" vertical="center"/>
    </xf>
    <xf numFmtId="0" fontId="25" fillId="0" borderId="0" xfId="0" applyFont="1" applyAlignment="1">
      <alignment horizontal="left" vertical="center"/>
    </xf>
    <xf numFmtId="0" fontId="26" fillId="25" borderId="0" xfId="0" applyFont="1" applyFill="1" applyAlignment="1">
      <alignment wrapText="1"/>
    </xf>
    <xf numFmtId="0" fontId="3" fillId="0" borderId="0" xfId="0" applyFont="1"/>
    <xf numFmtId="0" fontId="26" fillId="0" borderId="0" xfId="0" applyFont="1"/>
    <xf numFmtId="0" fontId="26" fillId="0" borderId="0" xfId="0" applyFont="1" applyAlignment="1">
      <alignment horizontal="center" vertical="center"/>
    </xf>
    <xf numFmtId="0" fontId="26" fillId="0" borderId="0" xfId="0" applyFont="1" applyAlignment="1">
      <alignment horizontal="left" vertical="center"/>
    </xf>
    <xf numFmtId="0" fontId="26" fillId="25" borderId="0" xfId="0" applyFont="1" applyFill="1" applyAlignment="1">
      <alignment horizontal="left" vertical="center"/>
    </xf>
    <xf numFmtId="0" fontId="26" fillId="25" borderId="0" xfId="0" applyFont="1" applyFill="1" applyAlignment="1">
      <alignment horizontal="center" vertical="center"/>
    </xf>
    <xf numFmtId="0" fontId="26" fillId="0" borderId="14" xfId="0" applyFont="1" applyBorder="1" applyAlignment="1">
      <alignment horizontal="left" vertical="center"/>
    </xf>
    <xf numFmtId="0" fontId="26" fillId="0" borderId="13" xfId="0" applyFont="1" applyBorder="1" applyAlignment="1">
      <alignment horizontal="left" vertical="center"/>
    </xf>
    <xf numFmtId="10" fontId="28" fillId="0" borderId="0" xfId="37" applyNumberFormat="1" applyFont="1" applyFill="1" applyAlignment="1">
      <alignment horizontal="left" vertical="center"/>
    </xf>
    <xf numFmtId="0" fontId="26" fillId="0" borderId="17" xfId="0" applyFont="1" applyBorder="1" applyAlignment="1">
      <alignment horizontal="left" vertical="center"/>
    </xf>
    <xf numFmtId="0" fontId="26" fillId="0" borderId="33" xfId="0" applyFont="1" applyBorder="1" applyAlignment="1">
      <alignment horizontal="left" vertical="center"/>
    </xf>
    <xf numFmtId="4" fontId="26" fillId="0" borderId="0" xfId="0" applyNumberFormat="1" applyFont="1" applyAlignment="1">
      <alignment horizontal="center" vertical="center"/>
    </xf>
    <xf numFmtId="0" fontId="26" fillId="0" borderId="0" xfId="0" applyFont="1" applyAlignment="1">
      <alignment horizontal="left" vertical="center" wrapText="1"/>
    </xf>
    <xf numFmtId="0" fontId="26" fillId="25" borderId="0" xfId="0" applyFont="1" applyFill="1" applyAlignment="1">
      <alignment horizontal="left" vertical="center" wrapText="1"/>
    </xf>
    <xf numFmtId="4" fontId="26" fillId="25" borderId="0" xfId="0" applyNumberFormat="1" applyFont="1" applyFill="1" applyAlignment="1">
      <alignment horizontal="center" vertical="center"/>
    </xf>
    <xf numFmtId="0" fontId="28" fillId="0" borderId="0" xfId="0" applyFont="1" applyAlignment="1">
      <alignment horizontal="center" vertical="center"/>
    </xf>
    <xf numFmtId="166" fontId="26" fillId="0" borderId="0" xfId="0" applyNumberFormat="1" applyFont="1" applyAlignment="1">
      <alignment horizontal="center"/>
    </xf>
    <xf numFmtId="0" fontId="27" fillId="0" borderId="0" xfId="0" applyFont="1" applyAlignment="1">
      <alignment vertical="center"/>
    </xf>
    <xf numFmtId="0" fontId="26" fillId="0" borderId="0" xfId="0" applyFont="1" applyAlignment="1">
      <alignment horizontal="center" vertical="center" wrapText="1"/>
    </xf>
    <xf numFmtId="0" fontId="26" fillId="0" borderId="11" xfId="0" applyFont="1" applyBorder="1" applyAlignment="1">
      <alignment horizontal="left" vertical="center"/>
    </xf>
    <xf numFmtId="166" fontId="26" fillId="0" borderId="0" xfId="0" applyNumberFormat="1" applyFont="1" applyAlignment="1">
      <alignment horizontal="center" vertical="center"/>
    </xf>
    <xf numFmtId="0" fontId="26" fillId="0" borderId="45" xfId="0" applyFont="1" applyBorder="1" applyAlignment="1">
      <alignment horizontal="left" vertical="center"/>
    </xf>
    <xf numFmtId="165" fontId="26" fillId="0" borderId="0" xfId="0" applyNumberFormat="1" applyFont="1" applyAlignment="1">
      <alignment horizontal="center" vertical="center"/>
    </xf>
    <xf numFmtId="167" fontId="26" fillId="0" borderId="0" xfId="0" applyNumberFormat="1" applyFont="1" applyAlignment="1">
      <alignment horizontal="center" vertical="center"/>
    </xf>
    <xf numFmtId="0" fontId="26" fillId="0" borderId="0" xfId="35" applyFont="1" applyAlignment="1">
      <alignment horizontal="left" vertical="center"/>
    </xf>
    <xf numFmtId="0" fontId="26" fillId="0" borderId="17" xfId="0" applyFont="1" applyBorder="1" applyAlignment="1">
      <alignment horizontal="left" vertical="center" wrapText="1"/>
    </xf>
    <xf numFmtId="9" fontId="26" fillId="0" borderId="0" xfId="37" applyFont="1" applyFill="1" applyBorder="1" applyAlignment="1">
      <alignment horizontal="center" vertical="center"/>
    </xf>
    <xf numFmtId="0" fontId="27" fillId="0" borderId="0" xfId="35" applyFont="1" applyAlignment="1">
      <alignment horizontal="left" vertical="center"/>
    </xf>
    <xf numFmtId="0" fontId="27" fillId="0" borderId="0" xfId="0" applyFont="1" applyAlignment="1">
      <alignment horizontal="left" vertical="center" wrapText="1"/>
    </xf>
    <xf numFmtId="167" fontId="26" fillId="0" borderId="0" xfId="0" applyNumberFormat="1" applyFont="1" applyAlignment="1">
      <alignment horizontal="center"/>
    </xf>
    <xf numFmtId="165" fontId="26" fillId="0" borderId="0" xfId="0" applyNumberFormat="1" applyFont="1" applyAlignment="1">
      <alignment horizontal="center"/>
    </xf>
    <xf numFmtId="0" fontId="26" fillId="0" borderId="12" xfId="0" applyFont="1" applyBorder="1" applyAlignment="1">
      <alignment horizontal="left" vertical="center"/>
    </xf>
    <xf numFmtId="0" fontId="27" fillId="0" borderId="0" xfId="0" applyFont="1" applyAlignment="1">
      <alignment horizontal="left" vertical="center"/>
    </xf>
    <xf numFmtId="0" fontId="26" fillId="0" borderId="21" xfId="0" applyFont="1" applyBorder="1" applyAlignment="1">
      <alignment horizontal="left" vertical="center" wrapText="1"/>
    </xf>
    <xf numFmtId="168" fontId="26" fillId="0" borderId="0" xfId="37" applyNumberFormat="1" applyFont="1" applyFill="1" applyAlignment="1">
      <alignment horizontal="center" vertical="center"/>
    </xf>
    <xf numFmtId="0" fontId="26" fillId="0" borderId="22" xfId="0" applyFont="1" applyBorder="1" applyAlignment="1">
      <alignment horizontal="left" vertical="center" wrapText="1"/>
    </xf>
    <xf numFmtId="0" fontId="26" fillId="0" borderId="23" xfId="0" applyFont="1" applyBorder="1" applyAlignment="1">
      <alignment horizontal="left" vertical="center" wrapText="1"/>
    </xf>
    <xf numFmtId="0" fontId="26" fillId="0" borderId="24" xfId="0" applyFont="1" applyBorder="1" applyAlignment="1">
      <alignment horizontal="left" vertical="center" wrapText="1"/>
    </xf>
    <xf numFmtId="167" fontId="26" fillId="0" borderId="24" xfId="0" applyNumberFormat="1" applyFont="1" applyBorder="1" applyAlignment="1">
      <alignment horizontal="center" vertical="center" wrapText="1"/>
    </xf>
    <xf numFmtId="9" fontId="26" fillId="0" borderId="0" xfId="37" applyFont="1" applyFill="1" applyAlignment="1">
      <alignment horizontal="center" vertical="center"/>
    </xf>
    <xf numFmtId="0" fontId="26" fillId="0" borderId="34" xfId="0" applyFont="1" applyBorder="1" applyAlignment="1">
      <alignment horizontal="center" vertical="center" wrapText="1"/>
    </xf>
    <xf numFmtId="0" fontId="26" fillId="0" borderId="35" xfId="0" applyFont="1" applyBorder="1" applyAlignment="1">
      <alignment horizontal="center" vertical="center" wrapText="1"/>
    </xf>
    <xf numFmtId="0" fontId="26" fillId="0" borderId="36" xfId="0" applyFont="1" applyBorder="1" applyAlignment="1">
      <alignment horizontal="center" vertical="center" wrapText="1"/>
    </xf>
    <xf numFmtId="8" fontId="26" fillId="0" borderId="0" xfId="0" applyNumberFormat="1" applyFont="1" applyAlignment="1">
      <alignment horizontal="center" vertical="center" wrapText="1"/>
    </xf>
    <xf numFmtId="0" fontId="26" fillId="0" borderId="10" xfId="0" applyFont="1" applyBorder="1" applyAlignment="1">
      <alignment horizontal="left" vertical="center" wrapText="1"/>
    </xf>
    <xf numFmtId="167" fontId="26" fillId="0" borderId="0" xfId="0" applyNumberFormat="1" applyFont="1" applyAlignment="1">
      <alignment horizontal="center" vertical="center" wrapText="1"/>
    </xf>
    <xf numFmtId="0" fontId="26" fillId="0" borderId="19" xfId="0" applyFont="1" applyBorder="1" applyAlignment="1">
      <alignment horizontal="left" vertical="center" wrapText="1"/>
    </xf>
    <xf numFmtId="0" fontId="26" fillId="0" borderId="20" xfId="0" applyFont="1" applyBorder="1" applyAlignment="1">
      <alignment horizontal="left" vertical="center" wrapText="1"/>
    </xf>
    <xf numFmtId="0" fontId="26" fillId="0" borderId="37" xfId="0" applyFont="1" applyBorder="1" applyAlignment="1">
      <alignment horizontal="left" vertical="center" wrapText="1"/>
    </xf>
    <xf numFmtId="0" fontId="27" fillId="25" borderId="0" xfId="0" applyFont="1" applyFill="1" applyAlignment="1">
      <alignment horizontal="left" vertical="center"/>
    </xf>
    <xf numFmtId="0" fontId="26" fillId="27" borderId="0" xfId="0" applyFont="1" applyFill="1" applyAlignment="1">
      <alignment horizontal="center" vertical="center"/>
    </xf>
    <xf numFmtId="0" fontId="26" fillId="0" borderId="11" xfId="35" applyFont="1" applyBorder="1" applyAlignment="1">
      <alignment horizontal="left" vertical="center"/>
    </xf>
    <xf numFmtId="3" fontId="26" fillId="0" borderId="26" xfId="0" applyNumberFormat="1" applyFont="1" applyBorder="1" applyAlignment="1">
      <alignment horizontal="left"/>
    </xf>
    <xf numFmtId="0" fontId="26" fillId="0" borderId="26" xfId="0" applyFont="1" applyBorder="1" applyAlignment="1">
      <alignment horizontal="left"/>
    </xf>
    <xf numFmtId="0" fontId="26" fillId="0" borderId="27" xfId="0" applyFont="1" applyBorder="1" applyAlignment="1">
      <alignment horizontal="left"/>
    </xf>
    <xf numFmtId="0" fontId="26" fillId="0" borderId="12" xfId="35" applyFont="1" applyBorder="1" applyAlignment="1">
      <alignment horizontal="left" vertical="center"/>
    </xf>
    <xf numFmtId="3" fontId="26" fillId="0" borderId="0" xfId="0" applyNumberFormat="1" applyFont="1" applyAlignment="1">
      <alignment horizontal="left"/>
    </xf>
    <xf numFmtId="0" fontId="26" fillId="0" borderId="0" xfId="0" applyFont="1" applyAlignment="1">
      <alignment horizontal="left"/>
    </xf>
    <xf numFmtId="0" fontId="26" fillId="0" borderId="28" xfId="0" applyFont="1" applyBorder="1" applyAlignment="1">
      <alignment horizontal="left"/>
    </xf>
    <xf numFmtId="0" fontId="26" fillId="0" borderId="16" xfId="35" applyFont="1" applyBorder="1" applyAlignment="1">
      <alignment horizontal="left" vertical="center"/>
    </xf>
    <xf numFmtId="3" fontId="26" fillId="0" borderId="29" xfId="0" applyNumberFormat="1" applyFont="1" applyBorder="1" applyAlignment="1">
      <alignment horizontal="left"/>
    </xf>
    <xf numFmtId="0" fontId="26" fillId="0" borderId="29" xfId="0" applyFont="1" applyBorder="1" applyAlignment="1">
      <alignment horizontal="left"/>
    </xf>
    <xf numFmtId="0" fontId="26" fillId="0" borderId="30" xfId="0" applyFont="1" applyBorder="1" applyAlignment="1">
      <alignment horizontal="left"/>
    </xf>
    <xf numFmtId="0" fontId="26" fillId="0" borderId="21" xfId="35" applyFont="1" applyBorder="1" applyAlignment="1">
      <alignment horizontal="left" vertical="center"/>
    </xf>
    <xf numFmtId="3" fontId="26" fillId="0" borderId="31" xfId="0" applyNumberFormat="1" applyFont="1" applyBorder="1" applyAlignment="1">
      <alignment horizontal="left"/>
    </xf>
    <xf numFmtId="0" fontId="26" fillId="0" borderId="31" xfId="0" applyFont="1" applyBorder="1" applyAlignment="1">
      <alignment horizontal="left"/>
    </xf>
    <xf numFmtId="0" fontId="26" fillId="0" borderId="32" xfId="0" applyFont="1" applyBorder="1" applyAlignment="1">
      <alignment horizontal="left"/>
    </xf>
    <xf numFmtId="0" fontId="26" fillId="0" borderId="11" xfId="0" applyFont="1" applyBorder="1" applyAlignment="1">
      <alignment horizontal="left"/>
    </xf>
    <xf numFmtId="0" fontId="26" fillId="0" borderId="26" xfId="0" applyFont="1" applyBorder="1" applyAlignment="1">
      <alignment horizontal="center" vertical="center"/>
    </xf>
    <xf numFmtId="173" fontId="26" fillId="0" borderId="0" xfId="32" applyNumberFormat="1" applyFont="1" applyFill="1" applyAlignment="1">
      <alignment horizontal="center" vertical="center"/>
    </xf>
    <xf numFmtId="0" fontId="26" fillId="0" borderId="12" xfId="0" applyFont="1" applyBorder="1" applyAlignment="1">
      <alignment horizontal="left"/>
    </xf>
    <xf numFmtId="173" fontId="26" fillId="0" borderId="0" xfId="0" applyNumberFormat="1" applyFont="1" applyAlignment="1">
      <alignment horizontal="center" vertical="center"/>
    </xf>
    <xf numFmtId="6" fontId="26" fillId="0" borderId="0" xfId="0" applyNumberFormat="1" applyFont="1" applyAlignment="1">
      <alignment horizontal="center" vertical="center"/>
    </xf>
    <xf numFmtId="0" fontId="5" fillId="0" borderId="15" xfId="0" applyFont="1" applyBorder="1" applyAlignment="1">
      <alignment horizontal="center"/>
    </xf>
    <xf numFmtId="0" fontId="5" fillId="0" borderId="13" xfId="0" applyFont="1" applyBorder="1" applyAlignment="1">
      <alignment horizontal="center"/>
    </xf>
    <xf numFmtId="169" fontId="5" fillId="0" borderId="15" xfId="0" applyNumberFormat="1" applyFont="1" applyBorder="1" applyAlignment="1">
      <alignment horizontal="center"/>
    </xf>
    <xf numFmtId="0" fontId="3"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indent="1"/>
    </xf>
    <xf numFmtId="0" fontId="4" fillId="0" borderId="0" xfId="0" applyFont="1"/>
    <xf numFmtId="172" fontId="26" fillId="0" borderId="0" xfId="0" applyNumberFormat="1" applyFont="1" applyAlignment="1">
      <alignment horizontal="center" vertical="center"/>
    </xf>
    <xf numFmtId="2" fontId="31" fillId="27" borderId="11" xfId="0" applyNumberFormat="1" applyFont="1" applyFill="1" applyBorder="1" applyAlignment="1">
      <alignment horizontal="center" vertical="center"/>
    </xf>
    <xf numFmtId="2" fontId="31" fillId="27" borderId="27" xfId="0" applyNumberFormat="1" applyFont="1" applyFill="1" applyBorder="1" applyAlignment="1">
      <alignment horizontal="center" vertical="center"/>
    </xf>
    <xf numFmtId="2" fontId="31" fillId="27" borderId="12" xfId="0" applyNumberFormat="1" applyFont="1" applyFill="1" applyBorder="1" applyAlignment="1">
      <alignment horizontal="center" vertical="center"/>
    </xf>
    <xf numFmtId="2" fontId="31" fillId="27" borderId="28" xfId="0" applyNumberFormat="1" applyFont="1" applyFill="1" applyBorder="1" applyAlignment="1">
      <alignment horizontal="center" vertical="center"/>
    </xf>
    <xf numFmtId="2" fontId="31" fillId="27" borderId="16" xfId="0" applyNumberFormat="1" applyFont="1" applyFill="1" applyBorder="1" applyAlignment="1">
      <alignment horizontal="center" vertical="center"/>
    </xf>
    <xf numFmtId="2" fontId="31" fillId="27" borderId="30" xfId="0" applyNumberFormat="1" applyFont="1" applyFill="1" applyBorder="1" applyAlignment="1">
      <alignment horizontal="center" vertical="center"/>
    </xf>
    <xf numFmtId="167" fontId="28" fillId="27" borderId="14" xfId="36" applyNumberFormat="1" applyFont="1" applyFill="1" applyBorder="1" applyAlignment="1">
      <alignment horizontal="center" vertical="center"/>
    </xf>
    <xf numFmtId="170" fontId="28" fillId="27" borderId="14" xfId="0" applyNumberFormat="1" applyFont="1" applyFill="1" applyBorder="1" applyAlignment="1">
      <alignment horizontal="center" vertical="center"/>
    </xf>
    <xf numFmtId="166" fontId="28" fillId="27" borderId="34" xfId="0" applyNumberFormat="1" applyFont="1" applyFill="1" applyBorder="1" applyAlignment="1">
      <alignment horizontal="center"/>
    </xf>
    <xf numFmtId="2" fontId="26" fillId="0" borderId="34" xfId="0" applyNumberFormat="1" applyFont="1" applyBorder="1" applyAlignment="1">
      <alignment horizontal="center"/>
    </xf>
    <xf numFmtId="0" fontId="28" fillId="27" borderId="33" xfId="0" applyFont="1" applyFill="1" applyBorder="1" applyAlignment="1">
      <alignment horizontal="center" vertical="center"/>
    </xf>
    <xf numFmtId="0" fontId="28" fillId="27" borderId="17" xfId="0" applyFont="1" applyFill="1" applyBorder="1" applyAlignment="1">
      <alignment horizontal="center" vertical="center"/>
    </xf>
    <xf numFmtId="2" fontId="28" fillId="27" borderId="34" xfId="0" applyNumberFormat="1" applyFont="1" applyFill="1" applyBorder="1" applyAlignment="1">
      <alignment horizontal="center"/>
    </xf>
    <xf numFmtId="167" fontId="28" fillId="27" borderId="17" xfId="0" applyNumberFormat="1" applyFont="1" applyFill="1" applyBorder="1" applyAlignment="1">
      <alignment horizontal="center" vertical="center"/>
    </xf>
    <xf numFmtId="165" fontId="28" fillId="27" borderId="17" xfId="0" applyNumberFormat="1" applyFont="1" applyFill="1" applyBorder="1" applyAlignment="1">
      <alignment horizontal="center" vertical="center"/>
    </xf>
    <xf numFmtId="174" fontId="28" fillId="29" borderId="49" xfId="53" applyNumberFormat="1" applyFont="1" applyFill="1" applyBorder="1"/>
    <xf numFmtId="174" fontId="28" fillId="29" borderId="50" xfId="53" applyNumberFormat="1" applyFont="1" applyFill="1" applyBorder="1"/>
    <xf numFmtId="9" fontId="28" fillId="29" borderId="50" xfId="53" applyNumberFormat="1" applyFont="1" applyFill="1" applyBorder="1"/>
    <xf numFmtId="43" fontId="28" fillId="27" borderId="15" xfId="32" applyFont="1" applyFill="1" applyBorder="1" applyAlignment="1">
      <alignment horizontal="center"/>
    </xf>
    <xf numFmtId="0" fontId="28" fillId="29" borderId="50" xfId="53" applyFont="1" applyFill="1" applyBorder="1"/>
    <xf numFmtId="0" fontId="28" fillId="30" borderId="50" xfId="53" applyFont="1" applyFill="1" applyBorder="1"/>
    <xf numFmtId="10" fontId="28" fillId="30" borderId="50" xfId="53" applyNumberFormat="1" applyFont="1" applyFill="1" applyBorder="1"/>
    <xf numFmtId="0" fontId="28" fillId="29" borderId="15" xfId="53" applyFont="1" applyFill="1" applyBorder="1"/>
    <xf numFmtId="9" fontId="28" fillId="29" borderId="15" xfId="53" applyNumberFormat="1" applyFont="1" applyFill="1" applyBorder="1"/>
    <xf numFmtId="9" fontId="28" fillId="29" borderId="13" xfId="53" applyNumberFormat="1" applyFont="1" applyFill="1" applyBorder="1"/>
    <xf numFmtId="0" fontId="5" fillId="0" borderId="12" xfId="0" applyFont="1" applyBorder="1"/>
    <xf numFmtId="0" fontId="5" fillId="0" borderId="11" xfId="0" applyFont="1" applyBorder="1"/>
    <xf numFmtId="0" fontId="5" fillId="0" borderId="26" xfId="0" applyFont="1" applyBorder="1"/>
    <xf numFmtId="0" fontId="5" fillId="0" borderId="16" xfId="0" applyFont="1" applyBorder="1"/>
    <xf numFmtId="0" fontId="5" fillId="0" borderId="29" xfId="0" applyFont="1" applyBorder="1"/>
    <xf numFmtId="1" fontId="5" fillId="0" borderId="26" xfId="0" applyNumberFormat="1" applyFont="1" applyBorder="1"/>
    <xf numFmtId="1" fontId="5" fillId="0" borderId="29" xfId="0" applyNumberFormat="1" applyFont="1" applyBorder="1"/>
    <xf numFmtId="169" fontId="5" fillId="0" borderId="14" xfId="0" applyNumberFormat="1" applyFont="1" applyBorder="1" applyAlignment="1">
      <alignment horizontal="center"/>
    </xf>
    <xf numFmtId="169" fontId="5" fillId="0" borderId="13" xfId="0" applyNumberFormat="1" applyFont="1" applyBorder="1" applyAlignment="1">
      <alignment horizontal="center"/>
    </xf>
    <xf numFmtId="1" fontId="5" fillId="25" borderId="29" xfId="0" applyNumberFormat="1" applyFont="1" applyFill="1" applyBorder="1"/>
    <xf numFmtId="169" fontId="5" fillId="25" borderId="13" xfId="0" applyNumberFormat="1" applyFont="1" applyFill="1" applyBorder="1" applyAlignment="1">
      <alignment horizontal="center"/>
    </xf>
    <xf numFmtId="0" fontId="5" fillId="25" borderId="16" xfId="0" applyFont="1" applyFill="1" applyBorder="1"/>
    <xf numFmtId="173" fontId="26" fillId="0" borderId="0" xfId="32" applyNumberFormat="1" applyFont="1" applyFill="1" applyAlignment="1">
      <alignment horizontal="left" vertical="center"/>
    </xf>
    <xf numFmtId="0" fontId="27" fillId="0" borderId="46" xfId="0" applyFont="1" applyBorder="1" applyAlignment="1">
      <alignment horizontal="left" vertical="center"/>
    </xf>
    <xf numFmtId="0" fontId="26" fillId="0" borderId="18" xfId="0" applyFont="1" applyBorder="1" applyAlignment="1">
      <alignment horizontal="center" vertical="center" wrapText="1"/>
    </xf>
    <xf numFmtId="0" fontId="26" fillId="0" borderId="19" xfId="0" applyFont="1" applyBorder="1" applyAlignment="1">
      <alignment horizontal="left" vertical="center"/>
    </xf>
    <xf numFmtId="10" fontId="26" fillId="0" borderId="0" xfId="37" applyNumberFormat="1" applyFont="1" applyFill="1" applyAlignment="1">
      <alignment horizontal="center" vertical="center"/>
    </xf>
    <xf numFmtId="0" fontId="26" fillId="0" borderId="20" xfId="0" applyFont="1" applyBorder="1" applyAlignment="1">
      <alignment horizontal="left" vertical="center"/>
    </xf>
    <xf numFmtId="0" fontId="26" fillId="0" borderId="18" xfId="0" applyFont="1" applyBorder="1" applyAlignment="1">
      <alignment horizontal="left" vertical="center"/>
    </xf>
    <xf numFmtId="167" fontId="28" fillId="27" borderId="18" xfId="0" applyNumberFormat="1" applyFont="1" applyFill="1" applyBorder="1" applyAlignment="1">
      <alignment horizontal="center" vertical="center"/>
    </xf>
    <xf numFmtId="43" fontId="26" fillId="0" borderId="0" xfId="32" applyFont="1" applyFill="1" applyBorder="1" applyAlignment="1">
      <alignment horizontal="center" vertical="center"/>
    </xf>
    <xf numFmtId="10" fontId="26" fillId="0" borderId="0" xfId="37" applyNumberFormat="1" applyFont="1" applyFill="1" applyBorder="1" applyAlignment="1">
      <alignment horizontal="center" vertical="center"/>
    </xf>
    <xf numFmtId="3" fontId="26" fillId="0" borderId="0" xfId="0" applyNumberFormat="1" applyFont="1" applyAlignment="1">
      <alignment horizontal="center" vertical="center"/>
    </xf>
    <xf numFmtId="0" fontId="5" fillId="0" borderId="0" xfId="0" applyFont="1" applyAlignment="1">
      <alignment horizontal="center"/>
    </xf>
    <xf numFmtId="3" fontId="26" fillId="25" borderId="0" xfId="0" applyNumberFormat="1" applyFont="1" applyFill="1" applyAlignment="1">
      <alignment horizontal="center" vertical="center"/>
    </xf>
    <xf numFmtId="165" fontId="26" fillId="25" borderId="0" xfId="0" applyNumberFormat="1" applyFont="1" applyFill="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26" fillId="0" borderId="14" xfId="0" applyFont="1" applyBorder="1" applyAlignment="1">
      <alignment horizontal="left" vertical="center" wrapText="1"/>
    </xf>
    <xf numFmtId="0" fontId="26" fillId="0" borderId="0" xfId="0" applyFont="1" applyAlignment="1">
      <alignment vertical="center"/>
    </xf>
    <xf numFmtId="0" fontId="27" fillId="0" borderId="0" xfId="0" applyFont="1"/>
    <xf numFmtId="0" fontId="26" fillId="0" borderId="18" xfId="0" applyFont="1" applyBorder="1" applyAlignment="1">
      <alignment horizontal="left" vertical="center" wrapText="1"/>
    </xf>
    <xf numFmtId="167" fontId="27" fillId="0" borderId="0" xfId="0" applyNumberFormat="1" applyFont="1" applyAlignment="1">
      <alignment horizontal="center" vertical="center"/>
    </xf>
    <xf numFmtId="9" fontId="28" fillId="29" borderId="50" xfId="37" applyFont="1" applyFill="1" applyBorder="1"/>
    <xf numFmtId="165" fontId="26" fillId="0" borderId="0" xfId="0" applyNumberFormat="1" applyFont="1" applyAlignment="1">
      <alignment horizontal="left" vertical="center"/>
    </xf>
    <xf numFmtId="0" fontId="26" fillId="0" borderId="10" xfId="0" applyFont="1" applyBorder="1" applyAlignment="1">
      <alignment horizontal="left" vertical="center"/>
    </xf>
    <xf numFmtId="2" fontId="28" fillId="27" borderId="48" xfId="0" applyNumberFormat="1" applyFont="1" applyFill="1" applyBorder="1" applyAlignment="1">
      <alignment horizontal="center"/>
    </xf>
    <xf numFmtId="43" fontId="26" fillId="27" borderId="10" xfId="32" applyFont="1" applyFill="1" applyBorder="1" applyAlignment="1">
      <alignment horizontal="center"/>
    </xf>
    <xf numFmtId="43" fontId="26" fillId="27" borderId="47" xfId="32" applyFont="1" applyFill="1" applyBorder="1" applyAlignment="1">
      <alignment horizontal="center"/>
    </xf>
    <xf numFmtId="0" fontId="26" fillId="0" borderId="12" xfId="53" applyFont="1" applyBorder="1" applyAlignment="1">
      <alignment horizontal="left"/>
    </xf>
    <xf numFmtId="0" fontId="26" fillId="0" borderId="0" xfId="53" applyFont="1" applyAlignment="1">
      <alignment horizontal="center" vertical="center"/>
    </xf>
    <xf numFmtId="0" fontId="26" fillId="0" borderId="28" xfId="53" applyFont="1" applyBorder="1" applyAlignment="1">
      <alignment horizontal="center" vertical="center"/>
    </xf>
    <xf numFmtId="0" fontId="26" fillId="0" borderId="16" xfId="53" applyFont="1" applyBorder="1" applyAlignment="1">
      <alignment horizontal="left"/>
    </xf>
    <xf numFmtId="0" fontId="26" fillId="0" borderId="29" xfId="53" applyFont="1" applyBorder="1" applyAlignment="1">
      <alignment horizontal="center" vertical="center"/>
    </xf>
    <xf numFmtId="0" fontId="26" fillId="0" borderId="30" xfId="53" applyFont="1" applyBorder="1" applyAlignment="1">
      <alignment horizontal="center" vertical="center"/>
    </xf>
    <xf numFmtId="8" fontId="26" fillId="0" borderId="0" xfId="0" applyNumberFormat="1" applyFont="1" applyAlignment="1">
      <alignment horizontal="center" vertical="center"/>
    </xf>
    <xf numFmtId="10" fontId="26" fillId="27" borderId="53" xfId="37" applyNumberFormat="1" applyFont="1" applyFill="1" applyBorder="1" applyAlignment="1">
      <alignment horizontal="center" vertical="center"/>
    </xf>
    <xf numFmtId="10" fontId="26" fillId="27" borderId="54" xfId="37" applyNumberFormat="1" applyFont="1" applyFill="1" applyBorder="1" applyAlignment="1">
      <alignment horizontal="center" vertical="center"/>
    </xf>
    <xf numFmtId="0" fontId="3" fillId="0" borderId="0" xfId="0" applyFont="1" applyAlignment="1">
      <alignment horizontal="left" vertical="center" indent="1"/>
    </xf>
    <xf numFmtId="0" fontId="3" fillId="0" borderId="0" xfId="0" applyFont="1" applyAlignment="1">
      <alignment vertical="center"/>
    </xf>
    <xf numFmtId="0" fontId="3" fillId="0" borderId="0" xfId="0" applyFont="1" applyAlignment="1">
      <alignment horizontal="left" vertical="center"/>
    </xf>
    <xf numFmtId="0" fontId="26" fillId="0" borderId="47" xfId="0" applyFont="1" applyBorder="1" applyAlignment="1">
      <alignment horizontal="left"/>
    </xf>
    <xf numFmtId="10" fontId="3" fillId="32" borderId="0" xfId="37" applyNumberFormat="1" applyFont="1" applyFill="1" applyAlignment="1">
      <alignment horizontal="center" vertical="center"/>
    </xf>
    <xf numFmtId="10" fontId="28" fillId="27" borderId="55" xfId="37" applyNumberFormat="1" applyFont="1" applyFill="1" applyBorder="1" applyAlignment="1">
      <alignment horizontal="center" vertical="center"/>
    </xf>
    <xf numFmtId="3" fontId="28" fillId="27" borderId="18" xfId="0" applyNumberFormat="1" applyFont="1" applyFill="1" applyBorder="1" applyAlignment="1">
      <alignment horizontal="center" vertical="center"/>
    </xf>
    <xf numFmtId="173" fontId="27" fillId="0" borderId="56" xfId="32" applyNumberFormat="1" applyFont="1" applyFill="1" applyBorder="1" applyAlignment="1">
      <alignment vertical="center"/>
    </xf>
    <xf numFmtId="173" fontId="27" fillId="0" borderId="0" xfId="32" applyNumberFormat="1" applyFont="1" applyFill="1" applyAlignment="1">
      <alignment vertical="center"/>
    </xf>
    <xf numFmtId="2" fontId="26" fillId="0" borderId="0" xfId="0" applyNumberFormat="1" applyFont="1" applyAlignment="1">
      <alignment horizontal="center" vertical="center"/>
    </xf>
    <xf numFmtId="0" fontId="27" fillId="27" borderId="0" xfId="0" applyFont="1" applyFill="1" applyAlignment="1">
      <alignment horizontal="left" vertical="center"/>
    </xf>
    <xf numFmtId="0" fontId="26" fillId="0" borderId="0" xfId="0" applyFont="1" applyAlignment="1">
      <alignment horizontal="center"/>
    </xf>
    <xf numFmtId="0" fontId="27" fillId="0" borderId="0" xfId="0" applyFont="1" applyAlignment="1">
      <alignment horizontal="center" vertical="center" wrapText="1"/>
    </xf>
    <xf numFmtId="3" fontId="26" fillId="0" borderId="0" xfId="0" applyNumberFormat="1" applyFont="1" applyAlignment="1">
      <alignment wrapText="1"/>
    </xf>
    <xf numFmtId="0" fontId="26" fillId="0" borderId="12" xfId="0" applyFont="1" applyBorder="1" applyAlignment="1">
      <alignment horizontal="center"/>
    </xf>
    <xf numFmtId="0" fontId="26" fillId="27" borderId="17" xfId="0" applyFont="1" applyFill="1" applyBorder="1" applyAlignment="1">
      <alignment horizontal="center" vertical="center"/>
    </xf>
    <xf numFmtId="0" fontId="25" fillId="0" borderId="18" xfId="0" applyFont="1" applyBorder="1" applyAlignment="1">
      <alignment horizontal="center" vertical="center"/>
    </xf>
    <xf numFmtId="0" fontId="25" fillId="27" borderId="18" xfId="0" applyFont="1" applyFill="1" applyBorder="1" applyAlignment="1">
      <alignment horizontal="center" vertical="center"/>
    </xf>
    <xf numFmtId="0" fontId="25" fillId="27" borderId="18" xfId="0" applyFont="1" applyFill="1" applyBorder="1" applyAlignment="1">
      <alignment horizontal="left" vertical="center"/>
    </xf>
    <xf numFmtId="3" fontId="25" fillId="0" borderId="0" xfId="0" applyNumberFormat="1" applyFont="1" applyAlignment="1">
      <alignment horizontal="center" vertical="center"/>
    </xf>
    <xf numFmtId="169" fontId="0" fillId="0" borderId="0" xfId="32" applyNumberFormat="1" applyFont="1" applyFill="1" applyBorder="1" applyAlignment="1">
      <alignment horizontal="center"/>
    </xf>
    <xf numFmtId="169" fontId="0" fillId="0" borderId="0" xfId="0" applyNumberFormat="1"/>
    <xf numFmtId="0" fontId="0" fillId="0" borderId="26" xfId="0" applyBorder="1"/>
    <xf numFmtId="9" fontId="3" fillId="0" borderId="29" xfId="37" applyFont="1" applyFill="1" applyBorder="1" applyAlignment="1">
      <alignment horizontal="center"/>
    </xf>
    <xf numFmtId="0" fontId="35" fillId="0" borderId="0" xfId="0" applyFont="1"/>
    <xf numFmtId="169" fontId="5" fillId="0" borderId="0" xfId="0" applyNumberFormat="1" applyFont="1" applyAlignment="1">
      <alignment horizontal="center"/>
    </xf>
    <xf numFmtId="0" fontId="0" fillId="0" borderId="11" xfId="0" applyBorder="1"/>
    <xf numFmtId="0" fontId="3" fillId="33" borderId="12" xfId="0" applyFont="1" applyFill="1" applyBorder="1"/>
    <xf numFmtId="0" fontId="3" fillId="33" borderId="0" xfId="0" applyFont="1" applyFill="1"/>
    <xf numFmtId="0" fontId="3" fillId="33" borderId="16" xfId="0" applyFont="1" applyFill="1" applyBorder="1"/>
    <xf numFmtId="0" fontId="3" fillId="33" borderId="29" xfId="0" applyFont="1" applyFill="1" applyBorder="1"/>
    <xf numFmtId="0" fontId="33" fillId="31" borderId="0" xfId="0" applyFont="1" applyFill="1" applyAlignment="1">
      <alignment horizontal="center"/>
    </xf>
    <xf numFmtId="3" fontId="3" fillId="0" borderId="15" xfId="0" applyNumberFormat="1" applyFont="1" applyBorder="1" applyAlignment="1">
      <alignment horizontal="center"/>
    </xf>
    <xf numFmtId="2" fontId="3" fillId="0" borderId="15" xfId="0" applyNumberFormat="1" applyFont="1" applyBorder="1" applyAlignment="1">
      <alignment horizontal="center"/>
    </xf>
    <xf numFmtId="0" fontId="3" fillId="33" borderId="15" xfId="0" applyFont="1" applyFill="1" applyBorder="1" applyAlignment="1">
      <alignment horizontal="center"/>
    </xf>
    <xf numFmtId="0" fontId="0" fillId="0" borderId="15" xfId="0" applyBorder="1" applyAlignment="1">
      <alignment horizontal="center"/>
    </xf>
    <xf numFmtId="0" fontId="3" fillId="33" borderId="13" xfId="0" applyFont="1" applyFill="1" applyBorder="1" applyAlignment="1">
      <alignment horizontal="center"/>
    </xf>
    <xf numFmtId="169" fontId="0" fillId="0" borderId="0" xfId="0" applyNumberFormat="1" applyAlignment="1">
      <alignment horizontal="center"/>
    </xf>
    <xf numFmtId="0" fontId="0" fillId="0" borderId="0" xfId="0" applyAlignment="1">
      <alignment horizontal="center"/>
    </xf>
    <xf numFmtId="3" fontId="36" fillId="27" borderId="18" xfId="0" applyNumberFormat="1" applyFont="1" applyFill="1" applyBorder="1" applyAlignment="1">
      <alignment horizontal="center" vertical="center"/>
    </xf>
    <xf numFmtId="0" fontId="27" fillId="27" borderId="0" xfId="0" applyFont="1" applyFill="1"/>
    <xf numFmtId="0" fontId="26" fillId="0" borderId="18" xfId="0" applyFont="1" applyBorder="1" applyAlignment="1">
      <alignment horizontal="center" wrapText="1"/>
    </xf>
    <xf numFmtId="0" fontId="26" fillId="27" borderId="18" xfId="0" applyFont="1" applyFill="1" applyBorder="1" applyAlignment="1">
      <alignment horizontal="center" vertical="center"/>
    </xf>
    <xf numFmtId="173" fontId="28" fillId="27" borderId="18" xfId="32" applyNumberFormat="1" applyFont="1" applyFill="1" applyBorder="1" applyAlignment="1">
      <alignment horizontal="center" wrapText="1"/>
    </xf>
    <xf numFmtId="0" fontId="37" fillId="0" borderId="18" xfId="0" applyFont="1" applyBorder="1" applyAlignment="1">
      <alignment vertical="top" wrapText="1"/>
    </xf>
    <xf numFmtId="3" fontId="28" fillId="27" borderId="18" xfId="32" applyNumberFormat="1" applyFont="1" applyFill="1" applyBorder="1" applyAlignment="1">
      <alignment vertical="top" wrapText="1"/>
    </xf>
    <xf numFmtId="0" fontId="33" fillId="0" borderId="0" xfId="0" applyFont="1"/>
    <xf numFmtId="1" fontId="5" fillId="35" borderId="46" xfId="0" applyNumberFormat="1" applyFont="1" applyFill="1" applyBorder="1" applyAlignment="1">
      <alignment horizontal="center"/>
    </xf>
    <xf numFmtId="1" fontId="5" fillId="35" borderId="51" xfId="0" applyNumberFormat="1" applyFont="1" applyFill="1" applyBorder="1" applyAlignment="1">
      <alignment horizontal="center"/>
    </xf>
    <xf numFmtId="1" fontId="3" fillId="35" borderId="51" xfId="0" applyNumberFormat="1" applyFont="1" applyFill="1" applyBorder="1" applyAlignment="1">
      <alignment horizontal="center"/>
    </xf>
    <xf numFmtId="1" fontId="39" fillId="35" borderId="18" xfId="0" applyNumberFormat="1" applyFont="1" applyFill="1" applyBorder="1" applyAlignment="1">
      <alignment horizontal="center"/>
    </xf>
    <xf numFmtId="1" fontId="40" fillId="35" borderId="52" xfId="0" applyNumberFormat="1" applyFont="1" applyFill="1" applyBorder="1" applyAlignment="1">
      <alignment horizontal="center"/>
    </xf>
    <xf numFmtId="1" fontId="40" fillId="35" borderId="46" xfId="0" applyNumberFormat="1" applyFont="1" applyFill="1" applyBorder="1" applyAlignment="1">
      <alignment horizontal="center"/>
    </xf>
    <xf numFmtId="1" fontId="40" fillId="35" borderId="51" xfId="0" applyNumberFormat="1" applyFont="1" applyFill="1" applyBorder="1" applyAlignment="1">
      <alignment horizontal="center"/>
    </xf>
    <xf numFmtId="1" fontId="3" fillId="35" borderId="46" xfId="0" applyNumberFormat="1" applyFont="1" applyFill="1" applyBorder="1" applyAlignment="1">
      <alignment horizontal="center"/>
    </xf>
    <xf numFmtId="0" fontId="39" fillId="0" borderId="0" xfId="0" applyFont="1"/>
    <xf numFmtId="0" fontId="3" fillId="35" borderId="58" xfId="0" applyFont="1" applyFill="1" applyBorder="1"/>
    <xf numFmtId="0" fontId="40" fillId="35" borderId="60" xfId="0" applyFont="1" applyFill="1" applyBorder="1"/>
    <xf numFmtId="0" fontId="39" fillId="35" borderId="55" xfId="0" applyFont="1" applyFill="1" applyBorder="1"/>
    <xf numFmtId="0" fontId="5" fillId="35" borderId="58" xfId="0" applyFont="1" applyFill="1" applyBorder="1"/>
    <xf numFmtId="0" fontId="5" fillId="35" borderId="57" xfId="0" applyFont="1" applyFill="1" applyBorder="1"/>
    <xf numFmtId="0" fontId="3" fillId="35" borderId="57" xfId="0" applyFont="1" applyFill="1" applyBorder="1"/>
    <xf numFmtId="0" fontId="40" fillId="35" borderId="58" xfId="0" applyFont="1" applyFill="1" applyBorder="1"/>
    <xf numFmtId="0" fontId="40" fillId="35" borderId="57" xfId="0" applyFont="1" applyFill="1" applyBorder="1"/>
    <xf numFmtId="1" fontId="39" fillId="35" borderId="54" xfId="0" applyNumberFormat="1" applyFont="1" applyFill="1" applyBorder="1"/>
    <xf numFmtId="1" fontId="5" fillId="35" borderId="59" xfId="0" applyNumberFormat="1" applyFont="1" applyFill="1" applyBorder="1"/>
    <xf numFmtId="1" fontId="5" fillId="35" borderId="63" xfId="0" applyNumberFormat="1" applyFont="1" applyFill="1" applyBorder="1"/>
    <xf numFmtId="1" fontId="40" fillId="35" borderId="62" xfId="0" applyNumberFormat="1" applyFont="1" applyFill="1" applyBorder="1"/>
    <xf numFmtId="1" fontId="40" fillId="35" borderId="59" xfId="0" applyNumberFormat="1" applyFont="1" applyFill="1" applyBorder="1"/>
    <xf numFmtId="1" fontId="3" fillId="35" borderId="59" xfId="0" applyNumberFormat="1" applyFont="1" applyFill="1" applyBorder="1"/>
    <xf numFmtId="1" fontId="3" fillId="35" borderId="63" xfId="0" applyNumberFormat="1" applyFont="1" applyFill="1" applyBorder="1"/>
    <xf numFmtId="1" fontId="40" fillId="35" borderId="63" xfId="0" applyNumberFormat="1" applyFont="1" applyFill="1" applyBorder="1"/>
    <xf numFmtId="1" fontId="41" fillId="35" borderId="54" xfId="0" applyNumberFormat="1" applyFont="1" applyFill="1" applyBorder="1"/>
    <xf numFmtId="1" fontId="39" fillId="35" borderId="61" xfId="0" applyNumberFormat="1" applyFont="1" applyFill="1" applyBorder="1"/>
    <xf numFmtId="0" fontId="5" fillId="36" borderId="14" xfId="0" applyFont="1" applyFill="1" applyBorder="1" applyAlignment="1">
      <alignment horizontal="center"/>
    </xf>
    <xf numFmtId="0" fontId="5" fillId="36" borderId="15" xfId="0" applyFont="1" applyFill="1" applyBorder="1" applyAlignment="1">
      <alignment horizontal="center"/>
    </xf>
    <xf numFmtId="0" fontId="5" fillId="36" borderId="17" xfId="0" applyFont="1" applyFill="1" applyBorder="1" applyAlignment="1">
      <alignment horizontal="center"/>
    </xf>
    <xf numFmtId="9" fontId="3" fillId="36" borderId="14" xfId="37" applyFont="1" applyFill="1" applyBorder="1" applyAlignment="1">
      <alignment horizontal="center"/>
    </xf>
    <xf numFmtId="9" fontId="3" fillId="36" borderId="15" xfId="37" applyFont="1" applyFill="1" applyBorder="1" applyAlignment="1">
      <alignment horizontal="center"/>
    </xf>
    <xf numFmtId="9" fontId="3" fillId="36" borderId="13" xfId="37" applyFont="1" applyFill="1" applyBorder="1" applyAlignment="1">
      <alignment horizontal="center"/>
    </xf>
    <xf numFmtId="9" fontId="3" fillId="36" borderId="15" xfId="0" applyNumberFormat="1" applyFont="1" applyFill="1" applyBorder="1" applyAlignment="1">
      <alignment horizontal="center"/>
    </xf>
    <xf numFmtId="9" fontId="3" fillId="36" borderId="13" xfId="0" applyNumberFormat="1" applyFont="1" applyFill="1" applyBorder="1" applyAlignment="1">
      <alignment horizontal="center"/>
    </xf>
    <xf numFmtId="0" fontId="3" fillId="36" borderId="14" xfId="0" applyFont="1" applyFill="1" applyBorder="1" applyAlignment="1">
      <alignment horizontal="center"/>
    </xf>
    <xf numFmtId="0" fontId="3" fillId="36" borderId="13" xfId="0" applyFont="1" applyFill="1" applyBorder="1" applyAlignment="1">
      <alignment horizontal="center"/>
    </xf>
    <xf numFmtId="1" fontId="3" fillId="36" borderId="14" xfId="0" applyNumberFormat="1" applyFont="1" applyFill="1" applyBorder="1" applyAlignment="1">
      <alignment horizontal="center"/>
    </xf>
    <xf numFmtId="0" fontId="3" fillId="27" borderId="46" xfId="48" applyFill="1" applyBorder="1"/>
    <xf numFmtId="0" fontId="34" fillId="0" borderId="29" xfId="0" applyFont="1" applyBorder="1"/>
    <xf numFmtId="0" fontId="43" fillId="27" borderId="46" xfId="48" applyFont="1" applyFill="1" applyBorder="1" applyAlignment="1">
      <alignment horizontal="center" vertical="center"/>
    </xf>
    <xf numFmtId="0" fontId="25" fillId="27" borderId="18" xfId="48" applyFont="1" applyFill="1" applyBorder="1" applyAlignment="1">
      <alignment horizontal="center" vertical="center"/>
    </xf>
    <xf numFmtId="0" fontId="25" fillId="27" borderId="52" xfId="48" applyFont="1" applyFill="1" applyBorder="1" applyAlignment="1">
      <alignment horizontal="center" vertical="center"/>
    </xf>
    <xf numFmtId="0" fontId="25" fillId="27" borderId="46" xfId="48" applyFont="1" applyFill="1" applyBorder="1" applyAlignment="1">
      <alignment horizontal="center" vertical="center"/>
    </xf>
    <xf numFmtId="3" fontId="0" fillId="0" borderId="0" xfId="0" applyNumberFormat="1"/>
    <xf numFmtId="0" fontId="3" fillId="24" borderId="11" xfId="0" applyFont="1" applyFill="1" applyBorder="1"/>
    <xf numFmtId="0" fontId="3" fillId="24" borderId="12" xfId="0" applyFont="1" applyFill="1" applyBorder="1"/>
    <xf numFmtId="0" fontId="3" fillId="24" borderId="16" xfId="0" applyFont="1" applyFill="1" applyBorder="1"/>
    <xf numFmtId="171" fontId="0" fillId="0" borderId="0" xfId="0" applyNumberFormat="1"/>
    <xf numFmtId="3" fontId="0" fillId="0" borderId="0" xfId="32" applyNumberFormat="1" applyFont="1" applyBorder="1" applyAlignment="1"/>
    <xf numFmtId="1" fontId="3" fillId="0" borderId="0" xfId="0" applyNumberFormat="1" applyFont="1"/>
    <xf numFmtId="169" fontId="0" fillId="0" borderId="15" xfId="0" applyNumberFormat="1" applyBorder="1" applyAlignment="1">
      <alignment horizontal="center"/>
    </xf>
    <xf numFmtId="169" fontId="3" fillId="0" borderId="15" xfId="0" applyNumberFormat="1" applyFont="1" applyBorder="1" applyAlignment="1">
      <alignment horizontal="center"/>
    </xf>
    <xf numFmtId="169" fontId="4" fillId="0" borderId="15" xfId="0" applyNumberFormat="1" applyFont="1" applyBorder="1" applyAlignment="1">
      <alignment horizontal="center"/>
    </xf>
    <xf numFmtId="169" fontId="0" fillId="0" borderId="15" xfId="32" applyNumberFormat="1" applyFont="1" applyFill="1" applyBorder="1" applyAlignment="1">
      <alignment horizontal="center"/>
    </xf>
    <xf numFmtId="169" fontId="0" fillId="0" borderId="13" xfId="0" applyNumberFormat="1" applyBorder="1" applyAlignment="1">
      <alignment horizontal="center"/>
    </xf>
    <xf numFmtId="0" fontId="0" fillId="0" borderId="14" xfId="0" applyBorder="1" applyAlignment="1">
      <alignment horizontal="center"/>
    </xf>
    <xf numFmtId="1" fontId="4" fillId="0" borderId="0" xfId="0" applyNumberFormat="1" applyFont="1"/>
    <xf numFmtId="4" fontId="0" fillId="0" borderId="15" xfId="0" applyNumberFormat="1" applyBorder="1" applyAlignment="1">
      <alignment horizontal="center"/>
    </xf>
    <xf numFmtId="10" fontId="0" fillId="0" borderId="15" xfId="37" applyNumberFormat="1" applyFont="1" applyFill="1" applyBorder="1" applyAlignment="1">
      <alignment horizontal="center"/>
    </xf>
    <xf numFmtId="2" fontId="0" fillId="0" borderId="15" xfId="37" applyNumberFormat="1" applyFont="1" applyFill="1" applyBorder="1" applyAlignment="1">
      <alignment horizontal="center"/>
    </xf>
    <xf numFmtId="0" fontId="0" fillId="26" borderId="0" xfId="0" applyFill="1"/>
    <xf numFmtId="169" fontId="0" fillId="0" borderId="14" xfId="0" applyNumberFormat="1" applyBorder="1" applyAlignment="1">
      <alignment horizontal="center"/>
    </xf>
    <xf numFmtId="0" fontId="0" fillId="0" borderId="12" xfId="0" applyBorder="1"/>
    <xf numFmtId="0" fontId="3" fillId="0" borderId="12" xfId="0" applyFont="1" applyBorder="1"/>
    <xf numFmtId="0" fontId="4" fillId="0" borderId="12" xfId="0" applyFont="1" applyBorder="1"/>
    <xf numFmtId="3" fontId="0" fillId="0" borderId="29" xfId="0" applyNumberFormat="1" applyBorder="1"/>
    <xf numFmtId="175" fontId="0" fillId="0" borderId="15" xfId="37" applyNumberFormat="1" applyFont="1" applyFill="1" applyBorder="1" applyAlignment="1">
      <alignment horizontal="center"/>
    </xf>
    <xf numFmtId="0" fontId="3" fillId="0" borderId="16" xfId="0" applyFont="1" applyBorder="1"/>
    <xf numFmtId="1" fontId="4" fillId="0" borderId="0" xfId="0" applyNumberFormat="1" applyFont="1" applyAlignment="1">
      <alignment horizontal="center"/>
    </xf>
    <xf numFmtId="0" fontId="33" fillId="31" borderId="0" xfId="0" applyFont="1" applyFill="1"/>
    <xf numFmtId="0" fontId="3" fillId="0" borderId="11" xfId="0" applyFont="1" applyBorder="1"/>
    <xf numFmtId="0" fontId="3" fillId="0" borderId="29" xfId="0" applyFont="1" applyBorder="1"/>
    <xf numFmtId="169" fontId="3" fillId="0" borderId="14" xfId="0" applyNumberFormat="1" applyFont="1" applyBorder="1" applyAlignment="1">
      <alignment horizontal="center"/>
    </xf>
    <xf numFmtId="169" fontId="3" fillId="0" borderId="13" xfId="0" applyNumberFormat="1" applyFont="1" applyBorder="1" applyAlignment="1">
      <alignment horizontal="center"/>
    </xf>
    <xf numFmtId="0" fontId="4" fillId="0" borderId="11" xfId="0" applyFont="1" applyBorder="1"/>
    <xf numFmtId="171" fontId="0" fillId="0" borderId="26" xfId="0" applyNumberFormat="1" applyBorder="1"/>
    <xf numFmtId="0" fontId="3" fillId="25" borderId="16" xfId="0" applyFont="1" applyFill="1" applyBorder="1"/>
    <xf numFmtId="169" fontId="4" fillId="0" borderId="0" xfId="0" applyNumberFormat="1" applyFont="1" applyAlignment="1">
      <alignment horizontal="center"/>
    </xf>
    <xf numFmtId="0" fontId="3" fillId="25" borderId="29" xfId="0" applyFont="1" applyFill="1" applyBorder="1"/>
    <xf numFmtId="169" fontId="4" fillId="25" borderId="13" xfId="0" applyNumberFormat="1" applyFont="1" applyFill="1" applyBorder="1" applyAlignment="1">
      <alignment horizontal="center"/>
    </xf>
    <xf numFmtId="3" fontId="0" fillId="25" borderId="29" xfId="0" applyNumberFormat="1" applyFill="1" applyBorder="1"/>
    <xf numFmtId="169" fontId="0" fillId="25" borderId="13" xfId="0" applyNumberFormat="1" applyFill="1" applyBorder="1" applyAlignment="1">
      <alignment horizontal="center"/>
    </xf>
    <xf numFmtId="169" fontId="0" fillId="0" borderId="26" xfId="0" applyNumberFormat="1" applyBorder="1"/>
    <xf numFmtId="0" fontId="4" fillId="25" borderId="0" xfId="0" applyFont="1" applyFill="1"/>
    <xf numFmtId="0" fontId="3" fillId="0" borderId="0" xfId="0" applyFont="1" applyAlignment="1">
      <alignment horizontal="center"/>
    </xf>
    <xf numFmtId="9" fontId="3" fillId="24" borderId="12" xfId="37" applyFont="1" applyFill="1" applyBorder="1"/>
    <xf numFmtId="2" fontId="3" fillId="0" borderId="0" xfId="0" applyNumberFormat="1" applyFont="1"/>
    <xf numFmtId="9" fontId="3" fillId="0" borderId="15" xfId="0" applyNumberFormat="1" applyFont="1" applyBorder="1" applyAlignment="1">
      <alignment horizontal="center"/>
    </xf>
    <xf numFmtId="9" fontId="3" fillId="24" borderId="11" xfId="37" applyFont="1" applyFill="1" applyBorder="1"/>
    <xf numFmtId="9" fontId="3" fillId="24" borderId="16" xfId="37" applyFont="1" applyFill="1" applyBorder="1"/>
    <xf numFmtId="0" fontId="34" fillId="0" borderId="0" xfId="0" applyFont="1"/>
    <xf numFmtId="169" fontId="3" fillId="0" borderId="0" xfId="0" applyNumberFormat="1" applyFont="1" applyAlignment="1">
      <alignment horizontal="center"/>
    </xf>
    <xf numFmtId="1" fontId="3" fillId="0" borderId="26" xfId="0" applyNumberFormat="1" applyFont="1" applyBorder="1"/>
    <xf numFmtId="1" fontId="3" fillId="0" borderId="29" xfId="0" applyNumberFormat="1" applyFont="1" applyBorder="1"/>
    <xf numFmtId="2" fontId="3" fillId="0" borderId="26" xfId="0" applyNumberFormat="1" applyFont="1" applyBorder="1"/>
    <xf numFmtId="2" fontId="3" fillId="0" borderId="29" xfId="0" applyNumberFormat="1" applyFont="1" applyBorder="1"/>
    <xf numFmtId="3" fontId="0" fillId="0" borderId="26" xfId="0" applyNumberFormat="1" applyBorder="1"/>
    <xf numFmtId="1" fontId="4" fillId="0" borderId="29" xfId="0" applyNumberFormat="1" applyFont="1" applyBorder="1"/>
    <xf numFmtId="169" fontId="4" fillId="0" borderId="13" xfId="0" applyNumberFormat="1" applyFont="1" applyBorder="1" applyAlignment="1">
      <alignment horizontal="center"/>
    </xf>
    <xf numFmtId="0" fontId="3" fillId="0" borderId="10" xfId="0" applyFont="1" applyBorder="1"/>
    <xf numFmtId="1" fontId="3" fillId="0" borderId="25" xfId="0" applyNumberFormat="1" applyFont="1" applyBorder="1"/>
    <xf numFmtId="169" fontId="3" fillId="0" borderId="17" xfId="0" applyNumberFormat="1" applyFont="1" applyBorder="1" applyAlignment="1">
      <alignment horizontal="center"/>
    </xf>
    <xf numFmtId="1" fontId="4" fillId="0" borderId="25" xfId="0" applyNumberFormat="1" applyFont="1" applyBorder="1"/>
    <xf numFmtId="169" fontId="4" fillId="0" borderId="17" xfId="0" applyNumberFormat="1" applyFont="1" applyBorder="1" applyAlignment="1">
      <alignment horizontal="center"/>
    </xf>
    <xf numFmtId="0" fontId="42" fillId="0" borderId="0" xfId="0" applyFont="1" applyAlignment="1">
      <alignment horizontal="left" vertical="center"/>
    </xf>
    <xf numFmtId="0" fontId="4" fillId="0" borderId="0" xfId="48" applyFont="1"/>
    <xf numFmtId="0" fontId="43" fillId="0" borderId="0" xfId="48" applyFont="1" applyAlignment="1">
      <alignment horizontal="left" vertical="center"/>
    </xf>
    <xf numFmtId="0" fontId="43" fillId="0" borderId="0" xfId="48" applyFont="1" applyAlignment="1">
      <alignment horizontal="center" vertical="center"/>
    </xf>
    <xf numFmtId="0" fontId="3" fillId="0" borderId="0" xfId="48"/>
    <xf numFmtId="0" fontId="25" fillId="0" borderId="0" xfId="48" applyFont="1" applyAlignment="1">
      <alignment horizontal="center" vertical="center"/>
    </xf>
    <xf numFmtId="0" fontId="44" fillId="0" borderId="0" xfId="48" applyFont="1"/>
    <xf numFmtId="0" fontId="45" fillId="0" borderId="0" xfId="48" applyFont="1"/>
    <xf numFmtId="0" fontId="25" fillId="0" borderId="0" xfId="48" applyFont="1" applyAlignment="1">
      <alignment horizontal="left" vertical="center" wrapText="1"/>
    </xf>
    <xf numFmtId="0" fontId="43" fillId="0" borderId="0" xfId="48" applyFont="1" applyAlignment="1">
      <alignment horizontal="left" vertical="center" wrapText="1"/>
    </xf>
    <xf numFmtId="0" fontId="25" fillId="0" borderId="0" xfId="0" applyFont="1" applyAlignment="1">
      <alignment horizontal="center" vertical="center" wrapText="1"/>
    </xf>
    <xf numFmtId="0" fontId="34" fillId="0" borderId="0" xfId="0" applyFont="1" applyAlignment="1">
      <alignment horizontal="center"/>
    </xf>
    <xf numFmtId="9" fontId="46" fillId="0" borderId="0" xfId="37" applyFont="1" applyFill="1" applyAlignment="1"/>
    <xf numFmtId="1" fontId="5" fillId="0" borderId="53" xfId="0" applyNumberFormat="1" applyFont="1" applyBorder="1"/>
    <xf numFmtId="0" fontId="3" fillId="0" borderId="55" xfId="0" applyFont="1" applyBorder="1"/>
    <xf numFmtId="0" fontId="0" fillId="25" borderId="0" xfId="0" applyFill="1"/>
    <xf numFmtId="0" fontId="3" fillId="36" borderId="15" xfId="0" applyFont="1" applyFill="1" applyBorder="1" applyAlignment="1">
      <alignment horizontal="center"/>
    </xf>
    <xf numFmtId="2" fontId="3" fillId="35" borderId="46" xfId="0" applyNumberFormat="1" applyFont="1" applyFill="1" applyBorder="1" applyAlignment="1">
      <alignment horizontal="center" vertical="center"/>
    </xf>
    <xf numFmtId="0" fontId="34" fillId="0" borderId="0" xfId="0" applyFont="1" applyAlignment="1">
      <alignment vertical="center" wrapText="1"/>
    </xf>
    <xf numFmtId="0" fontId="3" fillId="24" borderId="14" xfId="0" applyFont="1" applyFill="1" applyBorder="1"/>
    <xf numFmtId="1" fontId="3" fillId="36" borderId="15" xfId="0" applyNumberFormat="1" applyFont="1" applyFill="1" applyBorder="1" applyAlignment="1">
      <alignment horizontal="center"/>
    </xf>
    <xf numFmtId="0" fontId="3" fillId="24" borderId="13" xfId="0" applyFont="1" applyFill="1" applyBorder="1"/>
    <xf numFmtId="0" fontId="34" fillId="37" borderId="10" xfId="0" applyFont="1" applyFill="1" applyBorder="1" applyAlignment="1">
      <alignment wrapText="1"/>
    </xf>
    <xf numFmtId="0" fontId="34" fillId="37" borderId="10" xfId="0" applyFont="1" applyFill="1" applyBorder="1"/>
    <xf numFmtId="1" fontId="34" fillId="37" borderId="17" xfId="0" applyNumberFormat="1" applyFont="1" applyFill="1" applyBorder="1" applyAlignment="1">
      <alignment horizontal="center"/>
    </xf>
    <xf numFmtId="0" fontId="34" fillId="37" borderId="11" xfId="0" applyFont="1" applyFill="1" applyBorder="1"/>
    <xf numFmtId="9" fontId="34" fillId="37" borderId="14" xfId="37" applyFont="1" applyFill="1" applyBorder="1" applyAlignment="1">
      <alignment horizontal="center"/>
    </xf>
    <xf numFmtId="0" fontId="34" fillId="37" borderId="16" xfId="0" applyFont="1" applyFill="1" applyBorder="1"/>
    <xf numFmtId="9" fontId="34" fillId="37" borderId="13" xfId="37" applyFont="1" applyFill="1" applyBorder="1" applyAlignment="1">
      <alignment horizontal="center"/>
    </xf>
    <xf numFmtId="0" fontId="34" fillId="37" borderId="10" xfId="0" applyFont="1" applyFill="1" applyBorder="1" applyAlignment="1">
      <alignment vertical="center" wrapText="1"/>
    </xf>
    <xf numFmtId="0" fontId="34" fillId="37" borderId="17" xfId="0" applyFont="1" applyFill="1" applyBorder="1" applyAlignment="1">
      <alignment horizontal="center"/>
    </xf>
    <xf numFmtId="169" fontId="0" fillId="0" borderId="17" xfId="32" applyNumberFormat="1" applyFont="1" applyFill="1" applyBorder="1" applyAlignment="1">
      <alignment horizontal="center"/>
    </xf>
    <xf numFmtId="0" fontId="3" fillId="24" borderId="11" xfId="0" applyFont="1" applyFill="1" applyBorder="1" applyAlignment="1">
      <alignment vertical="center" wrapText="1"/>
    </xf>
    <xf numFmtId="0" fontId="3" fillId="24" borderId="12" xfId="0" applyFont="1" applyFill="1" applyBorder="1" applyAlignment="1">
      <alignment vertical="center" wrapText="1"/>
    </xf>
    <xf numFmtId="1" fontId="5" fillId="36" borderId="15" xfId="0" applyNumberFormat="1" applyFont="1" applyFill="1" applyBorder="1" applyAlignment="1">
      <alignment horizontal="center"/>
    </xf>
    <xf numFmtId="0" fontId="3" fillId="24" borderId="16" xfId="0" applyFont="1" applyFill="1" applyBorder="1" applyAlignment="1">
      <alignment vertical="center" wrapText="1"/>
    </xf>
    <xf numFmtId="1" fontId="5" fillId="36" borderId="13" xfId="0" applyNumberFormat="1" applyFont="1" applyFill="1" applyBorder="1" applyAlignment="1">
      <alignment horizontal="center"/>
    </xf>
    <xf numFmtId="43" fontId="26" fillId="0" borderId="0" xfId="32" applyFont="1" applyFill="1" applyAlignment="1">
      <alignment horizontal="center" vertical="center"/>
    </xf>
    <xf numFmtId="0" fontId="29" fillId="0" borderId="0" xfId="0" applyFont="1"/>
    <xf numFmtId="0" fontId="33" fillId="34" borderId="29" xfId="0" applyFont="1" applyFill="1" applyBorder="1" applyAlignment="1">
      <alignment wrapText="1"/>
    </xf>
    <xf numFmtId="0" fontId="47" fillId="34" borderId="29" xfId="0" applyFont="1" applyFill="1" applyBorder="1" applyAlignment="1">
      <alignment horizontal="center" vertical="center" wrapText="1"/>
    </xf>
    <xf numFmtId="9" fontId="33" fillId="34" borderId="0" xfId="0" applyNumberFormat="1" applyFont="1" applyFill="1" applyAlignment="1">
      <alignment horizontal="center" wrapText="1"/>
    </xf>
    <xf numFmtId="1" fontId="34" fillId="0" borderId="0" xfId="37" applyNumberFormat="1" applyFont="1" applyFill="1" applyBorder="1" applyAlignment="1">
      <alignment horizontal="center"/>
    </xf>
    <xf numFmtId="165" fontId="26" fillId="27" borderId="17" xfId="0" applyNumberFormat="1" applyFont="1" applyFill="1" applyBorder="1" applyAlignment="1">
      <alignment horizontal="center" vertical="center"/>
    </xf>
    <xf numFmtId="9" fontId="26" fillId="27" borderId="17" xfId="37" applyFont="1" applyFill="1" applyBorder="1" applyAlignment="1">
      <alignment horizontal="center" vertical="center"/>
    </xf>
    <xf numFmtId="167" fontId="26" fillId="27" borderId="37" xfId="0" applyNumberFormat="1" applyFont="1" applyFill="1" applyBorder="1" applyAlignment="1">
      <alignment horizontal="center" vertical="center" wrapText="1"/>
    </xf>
    <xf numFmtId="4" fontId="28" fillId="27" borderId="14" xfId="0" applyNumberFormat="1" applyFont="1" applyFill="1" applyBorder="1" applyAlignment="1">
      <alignment horizontal="center"/>
    </xf>
    <xf numFmtId="4" fontId="28" fillId="27" borderId="15" xfId="0" applyNumberFormat="1" applyFont="1" applyFill="1" applyBorder="1" applyAlignment="1">
      <alignment horizontal="center"/>
    </xf>
    <xf numFmtId="4" fontId="28" fillId="27" borderId="13" xfId="0" applyNumberFormat="1" applyFont="1" applyFill="1" applyBorder="1" applyAlignment="1">
      <alignment horizontal="center"/>
    </xf>
    <xf numFmtId="43" fontId="28" fillId="27" borderId="16" xfId="32" applyFont="1" applyFill="1" applyBorder="1" applyAlignment="1">
      <alignment horizontal="center"/>
    </xf>
    <xf numFmtId="43" fontId="28" fillId="27" borderId="29" xfId="32" applyFont="1" applyFill="1" applyBorder="1" applyAlignment="1">
      <alignment horizontal="center"/>
    </xf>
    <xf numFmtId="43" fontId="28" fillId="27" borderId="30" xfId="32" applyFont="1" applyFill="1" applyBorder="1" applyAlignment="1">
      <alignment horizontal="center"/>
    </xf>
    <xf numFmtId="2" fontId="48" fillId="27" borderId="26" xfId="0" applyNumberFormat="1" applyFont="1" applyFill="1" applyBorder="1" applyAlignment="1">
      <alignment horizontal="center" vertical="center"/>
    </xf>
    <xf numFmtId="2" fontId="48" fillId="27" borderId="0" xfId="0" applyNumberFormat="1" applyFont="1" applyFill="1" applyAlignment="1">
      <alignment horizontal="center" vertical="center"/>
    </xf>
    <xf numFmtId="2" fontId="48" fillId="27" borderId="29" xfId="0" applyNumberFormat="1" applyFont="1" applyFill="1" applyBorder="1" applyAlignment="1">
      <alignment horizontal="center" vertical="center"/>
    </xf>
    <xf numFmtId="17" fontId="28" fillId="0" borderId="0" xfId="0" applyNumberFormat="1" applyFont="1" applyAlignment="1">
      <alignment horizontal="center" vertical="center"/>
    </xf>
    <xf numFmtId="0" fontId="3" fillId="38" borderId="0" xfId="0" applyFont="1" applyFill="1"/>
    <xf numFmtId="49" fontId="28" fillId="0" borderId="0" xfId="0" applyNumberFormat="1" applyFont="1" applyAlignment="1">
      <alignment horizontal="center" vertical="center"/>
    </xf>
    <xf numFmtId="165" fontId="28" fillId="0" borderId="0" xfId="0" applyNumberFormat="1" applyFont="1" applyAlignment="1">
      <alignment horizontal="left" vertical="center"/>
    </xf>
    <xf numFmtId="43" fontId="28" fillId="27" borderId="25" xfId="32" applyFont="1" applyFill="1" applyBorder="1" applyAlignment="1">
      <alignment horizontal="center"/>
    </xf>
    <xf numFmtId="175" fontId="28" fillId="27" borderId="14" xfId="37" applyNumberFormat="1" applyFont="1" applyFill="1" applyBorder="1" applyAlignment="1">
      <alignment horizontal="center"/>
    </xf>
    <xf numFmtId="0" fontId="26" fillId="0" borderId="18" xfId="0" applyFont="1" applyBorder="1" applyAlignment="1">
      <alignment vertical="top" wrapText="1"/>
    </xf>
    <xf numFmtId="0" fontId="27" fillId="0" borderId="18" xfId="0" applyFont="1" applyBorder="1" applyAlignment="1">
      <alignment vertical="top" wrapText="1"/>
    </xf>
    <xf numFmtId="10" fontId="36" fillId="27" borderId="18" xfId="37" applyNumberFormat="1" applyFont="1" applyFill="1" applyBorder="1" applyAlignment="1">
      <alignment horizontal="center" vertical="center"/>
    </xf>
    <xf numFmtId="10" fontId="36" fillId="27" borderId="18" xfId="48" applyNumberFormat="1" applyFont="1" applyFill="1" applyBorder="1" applyAlignment="1">
      <alignment horizontal="center" vertical="center"/>
    </xf>
    <xf numFmtId="0" fontId="36" fillId="0" borderId="0" xfId="48" applyFont="1" applyAlignment="1">
      <alignment horizontal="center" vertical="center"/>
    </xf>
    <xf numFmtId="0" fontId="36" fillId="27" borderId="18" xfId="48" applyFont="1" applyFill="1" applyBorder="1" applyAlignment="1">
      <alignment horizontal="center" vertical="center"/>
    </xf>
    <xf numFmtId="176" fontId="26" fillId="27" borderId="0" xfId="32" applyNumberFormat="1" applyFont="1" applyFill="1" applyBorder="1" applyAlignment="1">
      <alignment horizontal="center" vertical="center"/>
    </xf>
    <xf numFmtId="49" fontId="28" fillId="0" borderId="0" xfId="0" applyNumberFormat="1" applyFont="1" applyAlignment="1">
      <alignment horizontal="left" vertical="center"/>
    </xf>
    <xf numFmtId="9" fontId="28" fillId="0" borderId="0" xfId="37" applyFont="1" applyFill="1" applyBorder="1" applyAlignment="1">
      <alignment horizontal="center" vertical="center"/>
    </xf>
    <xf numFmtId="165" fontId="26" fillId="0" borderId="0" xfId="0" applyNumberFormat="1" applyFont="1" applyAlignment="1">
      <alignment horizontal="left"/>
    </xf>
    <xf numFmtId="2" fontId="28" fillId="0" borderId="0" xfId="0" applyNumberFormat="1" applyFont="1" applyAlignment="1">
      <alignment horizontal="center"/>
    </xf>
    <xf numFmtId="167" fontId="28" fillId="27" borderId="11" xfId="36" applyNumberFormat="1" applyFont="1" applyFill="1" applyBorder="1" applyAlignment="1">
      <alignment horizontal="center" vertical="center"/>
    </xf>
    <xf numFmtId="0" fontId="49" fillId="39" borderId="0" xfId="0" applyFont="1" applyFill="1" applyAlignment="1">
      <alignment horizontal="left" vertical="center"/>
    </xf>
    <xf numFmtId="0" fontId="49" fillId="39" borderId="0" xfId="0" applyFont="1" applyFill="1" applyAlignment="1">
      <alignment horizontal="left" vertical="center" wrapText="1"/>
    </xf>
    <xf numFmtId="0" fontId="49" fillId="39" borderId="0" xfId="0" applyFont="1" applyFill="1" applyAlignment="1">
      <alignment horizontal="center" vertical="center"/>
    </xf>
    <xf numFmtId="4" fontId="49" fillId="39" borderId="0" xfId="0" applyNumberFormat="1" applyFont="1" applyFill="1" applyAlignment="1">
      <alignment horizontal="center" vertical="center"/>
    </xf>
    <xf numFmtId="170" fontId="28" fillId="0" borderId="0" xfId="0" applyNumberFormat="1" applyFont="1" applyAlignment="1">
      <alignment horizontal="center" vertical="center"/>
    </xf>
    <xf numFmtId="43" fontId="28" fillId="27" borderId="10" xfId="32" applyFont="1" applyFill="1" applyBorder="1" applyAlignment="1">
      <alignment horizontal="center" vertical="center"/>
    </xf>
    <xf numFmtId="3" fontId="28" fillId="27" borderId="17" xfId="0" applyNumberFormat="1" applyFont="1" applyFill="1" applyBorder="1" applyAlignment="1">
      <alignment horizontal="center" vertical="center"/>
    </xf>
    <xf numFmtId="2" fontId="26" fillId="27" borderId="48" xfId="0" applyNumberFormat="1" applyFont="1" applyFill="1" applyBorder="1" applyAlignment="1">
      <alignment horizontal="center"/>
    </xf>
    <xf numFmtId="170" fontId="26" fillId="27" borderId="17" xfId="0" applyNumberFormat="1" applyFont="1" applyFill="1" applyBorder="1" applyAlignment="1">
      <alignment horizontal="center" vertical="center"/>
    </xf>
    <xf numFmtId="2" fontId="26" fillId="27" borderId="34" xfId="0" applyNumberFormat="1" applyFont="1" applyFill="1" applyBorder="1" applyAlignment="1">
      <alignment horizontal="center"/>
    </xf>
    <xf numFmtId="167" fontId="26" fillId="27" borderId="17" xfId="0" applyNumberFormat="1" applyFont="1" applyFill="1" applyBorder="1" applyAlignment="1">
      <alignment horizontal="center"/>
    </xf>
    <xf numFmtId="167" fontId="26" fillId="27" borderId="17" xfId="0" applyNumberFormat="1" applyFont="1" applyFill="1" applyBorder="1" applyAlignment="1">
      <alignment horizontal="center" vertical="center"/>
    </xf>
    <xf numFmtId="9" fontId="26" fillId="27" borderId="18" xfId="37" applyFont="1" applyFill="1" applyBorder="1" applyAlignment="1">
      <alignment horizontal="center" vertical="center"/>
    </xf>
    <xf numFmtId="0" fontId="26" fillId="0" borderId="55" xfId="0" applyFont="1" applyBorder="1" applyAlignment="1">
      <alignment horizontal="left" vertical="center"/>
    </xf>
    <xf numFmtId="167" fontId="26" fillId="27" borderId="18" xfId="0" applyNumberFormat="1" applyFont="1" applyFill="1" applyBorder="1" applyAlignment="1">
      <alignment horizontal="center" vertical="center"/>
    </xf>
    <xf numFmtId="0" fontId="27" fillId="0" borderId="18" xfId="0" applyFont="1" applyBorder="1" applyAlignment="1">
      <alignment horizontal="left" vertical="center" wrapText="1"/>
    </xf>
    <xf numFmtId="167" fontId="26" fillId="27" borderId="40" xfId="0" applyNumberFormat="1" applyFont="1" applyFill="1" applyBorder="1" applyAlignment="1">
      <alignment horizontal="center" vertical="center" wrapText="1"/>
    </xf>
    <xf numFmtId="167" fontId="26" fillId="27" borderId="18" xfId="0" applyNumberFormat="1" applyFont="1" applyFill="1" applyBorder="1" applyAlignment="1">
      <alignment horizontal="center" vertical="center" wrapText="1"/>
    </xf>
    <xf numFmtId="167" fontId="26" fillId="27" borderId="42" xfId="0" applyNumberFormat="1" applyFont="1" applyFill="1" applyBorder="1" applyAlignment="1">
      <alignment horizontal="center" vertical="center" wrapText="1"/>
    </xf>
    <xf numFmtId="167" fontId="26" fillId="27" borderId="43" xfId="0" applyNumberFormat="1" applyFont="1" applyFill="1" applyBorder="1" applyAlignment="1">
      <alignment horizontal="center" vertical="center" wrapText="1"/>
    </xf>
    <xf numFmtId="167" fontId="26" fillId="27" borderId="19" xfId="0" applyNumberFormat="1" applyFont="1" applyFill="1" applyBorder="1" applyAlignment="1">
      <alignment horizontal="center" vertical="center" wrapText="1"/>
    </xf>
    <xf numFmtId="167" fontId="26" fillId="27" borderId="20" xfId="0" applyNumberFormat="1" applyFont="1" applyFill="1" applyBorder="1" applyAlignment="1">
      <alignment horizontal="center" vertical="center" wrapText="1"/>
    </xf>
    <xf numFmtId="0" fontId="26" fillId="0" borderId="21" xfId="0" applyFont="1" applyBorder="1" applyAlignment="1">
      <alignment horizontal="left" vertical="center"/>
    </xf>
    <xf numFmtId="0" fontId="26" fillId="0" borderId="22" xfId="0" applyFont="1" applyBorder="1" applyAlignment="1">
      <alignment horizontal="left" vertical="center"/>
    </xf>
    <xf numFmtId="0" fontId="26" fillId="0" borderId="23" xfId="0" applyFont="1" applyBorder="1" applyAlignment="1">
      <alignment horizontal="left" vertical="center"/>
    </xf>
    <xf numFmtId="167" fontId="26" fillId="27" borderId="41" xfId="0" applyNumberFormat="1" applyFont="1" applyFill="1" applyBorder="1" applyAlignment="1">
      <alignment horizontal="center" vertical="center" wrapText="1"/>
    </xf>
    <xf numFmtId="167" fontId="26" fillId="27" borderId="44" xfId="0" applyNumberFormat="1" applyFont="1" applyFill="1" applyBorder="1" applyAlignment="1">
      <alignment horizontal="center" vertical="center" wrapText="1"/>
    </xf>
    <xf numFmtId="167" fontId="26" fillId="27" borderId="39" xfId="0" applyNumberFormat="1" applyFont="1" applyFill="1" applyBorder="1" applyAlignment="1">
      <alignment horizontal="center" vertical="center" wrapText="1"/>
    </xf>
    <xf numFmtId="167" fontId="28" fillId="40" borderId="38" xfId="0" applyNumberFormat="1" applyFont="1" applyFill="1" applyBorder="1" applyAlignment="1">
      <alignment horizontal="center" vertical="center" wrapText="1"/>
    </xf>
    <xf numFmtId="167" fontId="28" fillId="40" borderId="17" xfId="0" applyNumberFormat="1" applyFont="1" applyFill="1" applyBorder="1" applyAlignment="1">
      <alignment horizontal="center" vertical="center" wrapText="1"/>
    </xf>
    <xf numFmtId="9" fontId="28" fillId="40" borderId="42" xfId="37" applyFont="1" applyFill="1" applyBorder="1" applyAlignment="1">
      <alignment horizontal="center" vertical="center" wrapText="1"/>
    </xf>
    <xf numFmtId="2" fontId="26" fillId="27" borderId="19" xfId="37" applyNumberFormat="1" applyFont="1" applyFill="1" applyBorder="1" applyAlignment="1">
      <alignment horizontal="center" vertical="center" wrapText="1"/>
    </xf>
    <xf numFmtId="167" fontId="28" fillId="40" borderId="37" xfId="0" applyNumberFormat="1" applyFont="1" applyFill="1" applyBorder="1" applyAlignment="1">
      <alignment horizontal="center" vertical="center" wrapText="1"/>
    </xf>
    <xf numFmtId="44" fontId="26" fillId="0" borderId="0" xfId="64" applyFont="1" applyFill="1" applyBorder="1" applyAlignment="1">
      <alignment horizontal="center" vertical="center" wrapText="1"/>
    </xf>
    <xf numFmtId="44" fontId="26" fillId="0" borderId="0" xfId="64" applyFont="1" applyFill="1" applyAlignment="1">
      <alignment horizontal="center" vertical="center"/>
    </xf>
    <xf numFmtId="0" fontId="51" fillId="0" borderId="10" xfId="0" applyFont="1" applyBorder="1"/>
    <xf numFmtId="0" fontId="51" fillId="0" borderId="0" xfId="0" applyFont="1"/>
    <xf numFmtId="169" fontId="51" fillId="0" borderId="14" xfId="0" applyNumberFormat="1" applyFont="1" applyBorder="1" applyAlignment="1">
      <alignment horizontal="center"/>
    </xf>
    <xf numFmtId="0" fontId="25" fillId="27" borderId="0" xfId="0" applyFont="1" applyFill="1" applyAlignment="1">
      <alignment horizontal="center" vertical="center"/>
    </xf>
    <xf numFmtId="2" fontId="25" fillId="27" borderId="18" xfId="0" applyNumberFormat="1" applyFont="1" applyFill="1" applyBorder="1" applyAlignment="1">
      <alignment horizontal="center" vertical="center"/>
    </xf>
    <xf numFmtId="1" fontId="39" fillId="35" borderId="0" xfId="0" applyNumberFormat="1" applyFont="1" applyFill="1"/>
    <xf numFmtId="0" fontId="3" fillId="38" borderId="55" xfId="0" applyFont="1" applyFill="1" applyBorder="1"/>
    <xf numFmtId="169" fontId="0" fillId="38" borderId="17" xfId="32" applyNumberFormat="1" applyFont="1" applyFill="1" applyBorder="1" applyAlignment="1">
      <alignment horizontal="center"/>
    </xf>
    <xf numFmtId="169" fontId="0" fillId="38" borderId="14" xfId="32" applyNumberFormat="1" applyFont="1" applyFill="1" applyBorder="1" applyAlignment="1">
      <alignment horizontal="center"/>
    </xf>
    <xf numFmtId="0" fontId="3" fillId="41" borderId="12" xfId="0" applyFont="1" applyFill="1" applyBorder="1"/>
    <xf numFmtId="3" fontId="3" fillId="41" borderId="0" xfId="0" applyNumberFormat="1" applyFont="1" applyFill="1"/>
    <xf numFmtId="169" fontId="3" fillId="41" borderId="15" xfId="0" applyNumberFormat="1" applyFont="1" applyFill="1" applyBorder="1" applyAlignment="1">
      <alignment horizontal="center"/>
    </xf>
    <xf numFmtId="169" fontId="0" fillId="41" borderId="15" xfId="0" applyNumberFormat="1" applyFill="1" applyBorder="1" applyAlignment="1">
      <alignment horizontal="center"/>
    </xf>
    <xf numFmtId="0" fontId="3" fillId="0" borderId="0" xfId="0" applyFont="1" applyAlignment="1">
      <alignment wrapText="1"/>
    </xf>
    <xf numFmtId="1" fontId="39" fillId="0" borderId="0" xfId="0" applyNumberFormat="1" applyFont="1" applyAlignment="1">
      <alignment horizontal="center"/>
    </xf>
    <xf numFmtId="4" fontId="28" fillId="42" borderId="18" xfId="0" applyNumberFormat="1" applyFont="1" applyFill="1" applyBorder="1" applyAlignment="1">
      <alignment horizontal="center" vertical="center"/>
    </xf>
    <xf numFmtId="177" fontId="28" fillId="27" borderId="18" xfId="37" applyNumberFormat="1" applyFont="1" applyFill="1" applyBorder="1" applyAlignment="1">
      <alignment horizontal="center" vertical="center"/>
    </xf>
    <xf numFmtId="1" fontId="39" fillId="0" borderId="0" xfId="0" applyNumberFormat="1" applyFont="1"/>
    <xf numFmtId="0" fontId="39" fillId="35" borderId="18" xfId="0" applyFont="1" applyFill="1" applyBorder="1"/>
    <xf numFmtId="1" fontId="39" fillId="35" borderId="18" xfId="0" applyNumberFormat="1" applyFont="1" applyFill="1" applyBorder="1"/>
    <xf numFmtId="2" fontId="39" fillId="0" borderId="0" xfId="0" applyNumberFormat="1" applyFont="1"/>
    <xf numFmtId="2" fontId="39" fillId="0" borderId="61" xfId="0" applyNumberFormat="1" applyFont="1" applyBorder="1"/>
    <xf numFmtId="9" fontId="46" fillId="0" borderId="61" xfId="37" applyFont="1" applyFill="1" applyBorder="1" applyAlignment="1"/>
    <xf numFmtId="0" fontId="40" fillId="0" borderId="57" xfId="0" applyFont="1" applyBorder="1"/>
    <xf numFmtId="1" fontId="40" fillId="0" borderId="0" xfId="0" applyNumberFormat="1" applyFont="1"/>
    <xf numFmtId="1" fontId="40" fillId="0" borderId="53" xfId="0" applyNumberFormat="1" applyFont="1" applyBorder="1" applyAlignment="1">
      <alignment horizontal="center"/>
    </xf>
    <xf numFmtId="0" fontId="26" fillId="38" borderId="0" xfId="0" applyFont="1" applyFill="1" applyAlignment="1">
      <alignment horizontal="center" vertical="center"/>
    </xf>
    <xf numFmtId="0" fontId="0" fillId="0" borderId="10" xfId="0" applyBorder="1"/>
    <xf numFmtId="0" fontId="0" fillId="0" borderId="25" xfId="0" applyBorder="1"/>
    <xf numFmtId="169" fontId="0" fillId="0" borderId="17" xfId="0" applyNumberFormat="1" applyBorder="1" applyAlignment="1">
      <alignment horizontal="center"/>
    </xf>
    <xf numFmtId="4" fontId="28" fillId="27" borderId="18" xfId="0" applyNumberFormat="1" applyFont="1" applyFill="1" applyBorder="1" applyAlignment="1">
      <alignment horizontal="center" vertical="center"/>
    </xf>
    <xf numFmtId="171" fontId="28" fillId="27" borderId="18" xfId="0" applyNumberFormat="1" applyFont="1" applyFill="1" applyBorder="1" applyAlignment="1">
      <alignment horizontal="center" vertical="center"/>
    </xf>
    <xf numFmtId="4" fontId="28" fillId="27" borderId="19" xfId="0" applyNumberFormat="1" applyFont="1" applyFill="1" applyBorder="1" applyAlignment="1">
      <alignment horizontal="center" vertical="center"/>
    </xf>
    <xf numFmtId="4" fontId="28" fillId="27" borderId="20" xfId="0" applyNumberFormat="1" applyFont="1" applyFill="1" applyBorder="1" applyAlignment="1">
      <alignment horizontal="center" vertical="center"/>
    </xf>
    <xf numFmtId="9" fontId="28" fillId="27" borderId="20" xfId="37" applyFont="1" applyFill="1" applyBorder="1" applyAlignment="1">
      <alignment horizontal="center" vertical="center"/>
    </xf>
    <xf numFmtId="43" fontId="28" fillId="0" borderId="0" xfId="32" applyFont="1" applyFill="1" applyBorder="1" applyAlignment="1">
      <alignment horizontal="left" vertical="center"/>
    </xf>
    <xf numFmtId="4" fontId="28" fillId="27" borderId="37" xfId="0" applyNumberFormat="1" applyFont="1" applyFill="1" applyBorder="1" applyAlignment="1">
      <alignment horizontal="center" vertical="center"/>
    </xf>
    <xf numFmtId="1" fontId="0" fillId="0" borderId="0" xfId="0" applyNumberFormat="1"/>
    <xf numFmtId="0" fontId="52" fillId="0" borderId="0" xfId="0" applyFont="1" applyAlignment="1">
      <alignment vertical="center" wrapText="1"/>
    </xf>
    <xf numFmtId="0" fontId="52" fillId="0" borderId="0" xfId="0" applyFont="1"/>
    <xf numFmtId="1" fontId="52" fillId="0" borderId="0" xfId="37" applyNumberFormat="1" applyFont="1" applyFill="1" applyBorder="1" applyAlignment="1">
      <alignment horizontal="center"/>
    </xf>
    <xf numFmtId="9" fontId="0" fillId="0" borderId="0" xfId="37" applyFont="1"/>
    <xf numFmtId="1" fontId="53" fillId="0" borderId="0" xfId="0" applyNumberFormat="1" applyFont="1"/>
    <xf numFmtId="9" fontId="53" fillId="0" borderId="0" xfId="37" applyFont="1"/>
    <xf numFmtId="0" fontId="53" fillId="0" borderId="0" xfId="0" applyFont="1"/>
    <xf numFmtId="9" fontId="0" fillId="0" borderId="0" xfId="37" applyFont="1" applyAlignment="1">
      <alignment horizontal="center"/>
    </xf>
    <xf numFmtId="9" fontId="40" fillId="0" borderId="0" xfId="37" applyFont="1"/>
    <xf numFmtId="9" fontId="4" fillId="0" borderId="0" xfId="37" applyFont="1"/>
    <xf numFmtId="9" fontId="4" fillId="0" borderId="0" xfId="37" applyFont="1" applyAlignment="1">
      <alignment horizontal="center"/>
    </xf>
    <xf numFmtId="0" fontId="40" fillId="0" borderId="0" xfId="0" applyFont="1"/>
    <xf numFmtId="9" fontId="4" fillId="0" borderId="0" xfId="37" applyFont="1" applyAlignment="1">
      <alignment horizontal="left" indent="3"/>
    </xf>
    <xf numFmtId="9" fontId="4" fillId="0" borderId="0" xfId="0" applyNumberFormat="1" applyFont="1"/>
    <xf numFmtId="1" fontId="40" fillId="43" borderId="0" xfId="0" applyNumberFormat="1" applyFont="1" applyFill="1"/>
    <xf numFmtId="9" fontId="40" fillId="43" borderId="0" xfId="37" applyFont="1" applyFill="1"/>
    <xf numFmtId="9" fontId="0" fillId="43" borderId="0" xfId="37" applyFont="1" applyFill="1"/>
    <xf numFmtId="1" fontId="0" fillId="43" borderId="0" xfId="0" applyNumberFormat="1" applyFill="1"/>
    <xf numFmtId="0" fontId="25" fillId="0" borderId="57" xfId="0" applyFont="1" applyBorder="1" applyAlignment="1">
      <alignment horizontal="center" vertical="center" wrapText="1"/>
    </xf>
    <xf numFmtId="0" fontId="25" fillId="0" borderId="0" xfId="0" applyFont="1" applyAlignment="1">
      <alignment horizontal="center" vertical="center" wrapText="1"/>
    </xf>
    <xf numFmtId="0" fontId="26" fillId="0" borderId="22" xfId="0" applyFont="1" applyBorder="1" applyAlignment="1">
      <alignment horizontal="center" vertical="center" wrapText="1"/>
    </xf>
    <xf numFmtId="0" fontId="26" fillId="0" borderId="53" xfId="0" applyFont="1" applyBorder="1" applyAlignment="1">
      <alignment horizontal="center" vertical="center" wrapText="1"/>
    </xf>
    <xf numFmtId="0" fontId="26" fillId="0" borderId="54" xfId="0" applyFont="1" applyBorder="1" applyAlignment="1">
      <alignment horizontal="center" vertical="center" wrapText="1"/>
    </xf>
    <xf numFmtId="0" fontId="26" fillId="27" borderId="55" xfId="0" applyFont="1" applyFill="1" applyBorder="1" applyAlignment="1">
      <alignment horizontal="left" vertical="center"/>
    </xf>
    <xf numFmtId="0" fontId="26" fillId="27" borderId="53" xfId="0" applyFont="1" applyFill="1" applyBorder="1" applyAlignment="1">
      <alignment horizontal="left" vertical="center"/>
    </xf>
    <xf numFmtId="0" fontId="26" fillId="27" borderId="54" xfId="0" applyFont="1" applyFill="1" applyBorder="1" applyAlignment="1">
      <alignment horizontal="left" vertical="center"/>
    </xf>
    <xf numFmtId="4" fontId="28" fillId="27" borderId="17" xfId="0" applyNumberFormat="1" applyFont="1" applyFill="1" applyBorder="1" applyAlignment="1">
      <alignment horizontal="center"/>
    </xf>
    <xf numFmtId="10" fontId="28" fillId="27" borderId="12" xfId="37" applyNumberFormat="1" applyFont="1" applyFill="1" applyBorder="1" applyAlignment="1">
      <alignment horizontal="center"/>
    </xf>
    <xf numFmtId="10" fontId="28" fillId="27" borderId="0" xfId="37" applyNumberFormat="1" applyFont="1" applyFill="1" applyBorder="1" applyAlignment="1">
      <alignment horizontal="center"/>
    </xf>
    <xf numFmtId="10" fontId="28" fillId="27" borderId="28" xfId="37" applyNumberFormat="1" applyFont="1" applyFill="1" applyBorder="1" applyAlignment="1">
      <alignment horizontal="center"/>
    </xf>
    <xf numFmtId="168" fontId="28" fillId="27" borderId="10" xfId="37" applyNumberFormat="1" applyFont="1" applyFill="1" applyBorder="1" applyAlignment="1">
      <alignment horizontal="center"/>
    </xf>
    <xf numFmtId="168" fontId="28" fillId="27" borderId="25" xfId="37" applyNumberFormat="1" applyFont="1" applyFill="1" applyBorder="1" applyAlignment="1">
      <alignment horizontal="center"/>
    </xf>
    <xf numFmtId="168" fontId="28" fillId="27" borderId="47" xfId="37" applyNumberFormat="1" applyFont="1" applyFill="1" applyBorder="1" applyAlignment="1">
      <alignment horizontal="center"/>
    </xf>
    <xf numFmtId="10" fontId="28" fillId="27" borderId="11" xfId="37" applyNumberFormat="1" applyFont="1" applyFill="1" applyBorder="1" applyAlignment="1">
      <alignment horizontal="center"/>
    </xf>
    <xf numFmtId="10" fontId="28" fillId="27" borderId="26" xfId="37" applyNumberFormat="1" applyFont="1" applyFill="1" applyBorder="1" applyAlignment="1">
      <alignment horizontal="center"/>
    </xf>
    <xf numFmtId="10" fontId="28" fillId="27" borderId="27" xfId="37" applyNumberFormat="1" applyFont="1" applyFill="1" applyBorder="1" applyAlignment="1">
      <alignment horizontal="center"/>
    </xf>
    <xf numFmtId="10" fontId="28" fillId="27" borderId="16" xfId="37" applyNumberFormat="1" applyFont="1" applyFill="1" applyBorder="1" applyAlignment="1">
      <alignment horizontal="center"/>
    </xf>
    <xf numFmtId="10" fontId="28" fillId="27" borderId="29" xfId="37" applyNumberFormat="1" applyFont="1" applyFill="1" applyBorder="1" applyAlignment="1">
      <alignment horizontal="center"/>
    </xf>
    <xf numFmtId="10" fontId="28" fillId="27" borderId="30" xfId="37" applyNumberFormat="1" applyFont="1" applyFill="1" applyBorder="1" applyAlignment="1">
      <alignment horizontal="center"/>
    </xf>
    <xf numFmtId="0" fontId="26" fillId="0" borderId="18" xfId="0" applyFont="1" applyBorder="1" applyAlignment="1">
      <alignment horizontal="left" vertical="center"/>
    </xf>
    <xf numFmtId="4" fontId="28" fillId="27" borderId="11" xfId="0" applyNumberFormat="1" applyFont="1" applyFill="1" applyBorder="1" applyAlignment="1">
      <alignment horizontal="center"/>
    </xf>
    <xf numFmtId="4" fontId="28" fillId="27" borderId="26" xfId="0" applyNumberFormat="1" applyFont="1" applyFill="1" applyBorder="1" applyAlignment="1">
      <alignment horizontal="center"/>
    </xf>
    <xf numFmtId="4" fontId="28" fillId="27" borderId="27" xfId="0" applyNumberFormat="1" applyFont="1" applyFill="1" applyBorder="1" applyAlignment="1">
      <alignment horizontal="center"/>
    </xf>
    <xf numFmtId="4" fontId="28" fillId="27" borderId="12" xfId="0" applyNumberFormat="1" applyFont="1" applyFill="1" applyBorder="1" applyAlignment="1">
      <alignment horizontal="center"/>
    </xf>
    <xf numFmtId="4" fontId="28" fillId="27" borderId="0" xfId="0" applyNumberFormat="1" applyFont="1" applyFill="1" applyAlignment="1">
      <alignment horizontal="center"/>
    </xf>
    <xf numFmtId="4" fontId="28" fillId="27" borderId="28" xfId="0" applyNumberFormat="1" applyFont="1" applyFill="1" applyBorder="1" applyAlignment="1">
      <alignment horizontal="center"/>
    </xf>
    <xf numFmtId="4" fontId="28" fillId="27" borderId="16" xfId="0" applyNumberFormat="1" applyFont="1" applyFill="1" applyBorder="1" applyAlignment="1">
      <alignment horizontal="center"/>
    </xf>
    <xf numFmtId="4" fontId="28" fillId="27" borderId="29" xfId="0" applyNumberFormat="1" applyFont="1" applyFill="1" applyBorder="1" applyAlignment="1">
      <alignment horizontal="center"/>
    </xf>
    <xf numFmtId="4" fontId="28" fillId="27" borderId="30" xfId="0" applyNumberFormat="1" applyFont="1" applyFill="1" applyBorder="1" applyAlignment="1">
      <alignment horizontal="center"/>
    </xf>
    <xf numFmtId="0" fontId="26" fillId="0" borderId="10" xfId="0" applyFont="1" applyBorder="1" applyAlignment="1">
      <alignment horizontal="left" vertical="center"/>
    </xf>
    <xf numFmtId="0" fontId="26" fillId="0" borderId="47" xfId="0" applyFont="1" applyBorder="1" applyAlignment="1">
      <alignment horizontal="left" vertical="center"/>
    </xf>
    <xf numFmtId="0" fontId="26" fillId="0" borderId="43" xfId="0" applyFont="1" applyBorder="1" applyAlignment="1">
      <alignment horizontal="left" vertical="center"/>
    </xf>
    <xf numFmtId="0" fontId="34" fillId="37" borderId="11" xfId="0" applyFont="1" applyFill="1" applyBorder="1" applyAlignment="1">
      <alignment horizontal="center" vertical="center"/>
    </xf>
    <xf numFmtId="0" fontId="34" fillId="37" borderId="16" xfId="0" applyFont="1" applyFill="1" applyBorder="1" applyAlignment="1">
      <alignment horizontal="center" vertical="center"/>
    </xf>
    <xf numFmtId="9" fontId="33" fillId="34" borderId="0" xfId="0" applyNumberFormat="1" applyFont="1" applyFill="1" applyAlignment="1">
      <alignment horizontal="center" wrapText="1"/>
    </xf>
  </cellXfs>
  <cellStyles count="65">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Entrée" xfId="29" builtinId="20" customBuiltin="1"/>
    <cellStyle name="Euro" xfId="30" xr:uid="{00000000-0005-0000-0000-00001C000000}"/>
    <cellStyle name="Euro 2" xfId="54" xr:uid="{00000000-0005-0000-0000-00001D000000}"/>
    <cellStyle name="Insatisfaisant" xfId="31" builtinId="27" customBuiltin="1"/>
    <cellStyle name="Lien hypertexte 2" xfId="57" xr:uid="{00000000-0005-0000-0000-000020000000}"/>
    <cellStyle name="Milliers" xfId="32" builtinId="3"/>
    <cellStyle name="Milliers 2" xfId="33" xr:uid="{00000000-0005-0000-0000-000022000000}"/>
    <cellStyle name="Milliers 2 2" xfId="56" xr:uid="{00000000-0005-0000-0000-000023000000}"/>
    <cellStyle name="Milliers 3" xfId="50" xr:uid="{00000000-0005-0000-0000-000024000000}"/>
    <cellStyle name="Milliers 3 2" xfId="59" xr:uid="{00000000-0005-0000-0000-000025000000}"/>
    <cellStyle name="Milliers 4" xfId="55" xr:uid="{00000000-0005-0000-0000-000026000000}"/>
    <cellStyle name="Milliers 5" xfId="62" xr:uid="{00000000-0005-0000-0000-000027000000}"/>
    <cellStyle name="Monétaire" xfId="64" builtinId="4"/>
    <cellStyle name="Neutre" xfId="34" builtinId="28" customBuiltin="1"/>
    <cellStyle name="Normal" xfId="0" builtinId="0"/>
    <cellStyle name="Normal 2" xfId="48" xr:uid="{00000000-0005-0000-0000-00002B000000}"/>
    <cellStyle name="Normal 3" xfId="49" xr:uid="{00000000-0005-0000-0000-00002C000000}"/>
    <cellStyle name="Normal 3 2" xfId="58" xr:uid="{00000000-0005-0000-0000-00002D000000}"/>
    <cellStyle name="Normal 4" xfId="53" xr:uid="{00000000-0005-0000-0000-00002E000000}"/>
    <cellStyle name="Normal 5" xfId="61" xr:uid="{00000000-0005-0000-0000-00002F000000}"/>
    <cellStyle name="Normal_ANSA_RSA_simulation_v12" xfId="35" xr:uid="{00000000-0005-0000-0000-000030000000}"/>
    <cellStyle name="Normal_ANSA_simulation_v9" xfId="36" xr:uid="{00000000-0005-0000-0000-000031000000}"/>
    <cellStyle name="Note" xfId="28" builtinId="10" customBuiltin="1"/>
    <cellStyle name="Pourcentage" xfId="37" builtinId="5"/>
    <cellStyle name="Pourcentage 2" xfId="51" xr:uid="{00000000-0005-0000-0000-000034000000}"/>
    <cellStyle name="Pourcentage 2 2" xfId="60" xr:uid="{00000000-0005-0000-0000-000035000000}"/>
    <cellStyle name="Pourcentage 3" xfId="63" xr:uid="{00000000-0005-0000-0000-000036000000}"/>
    <cellStyle name="Satisfaisant" xfId="38" builtinId="26" customBuiltin="1"/>
    <cellStyle name="Sortie" xfId="39" builtinId="21" customBuiltin="1"/>
    <cellStyle name="Style 1" xfId="52" xr:uid="{00000000-0005-0000-0000-000039000000}"/>
    <cellStyle name="Texte explicatif" xfId="40" builtinId="53" customBuiltin="1"/>
    <cellStyle name="Titre" xfId="41" builtinId="15" customBuiltin="1"/>
    <cellStyle name="Titre 1" xfId="42" builtinId="16" customBuiltin="1"/>
    <cellStyle name="Titre 2" xfId="43" builtinId="17" customBuiltin="1"/>
    <cellStyle name="Titre 3" xfId="44" builtinId="18" customBuiltin="1"/>
    <cellStyle name="Titre 4" xfId="45" builtinId="19" customBuiltin="1"/>
    <cellStyle name="Total" xfId="46" builtinId="25" customBuiltin="1"/>
    <cellStyle name="Vérification" xfId="47" builtinId="23" customBuiltin="1"/>
  </cellStyles>
  <dxfs count="0"/>
  <tableStyles count="0" defaultTableStyle="TableStyleMedium2" defaultPivotStyle="PivotStyleLight16"/>
  <colors>
    <mruColors>
      <color rgb="FF0000FF"/>
      <color rgb="FF66FFFF"/>
      <color rgb="FFFFFFCC"/>
      <color rgb="FFFFFF66"/>
      <color rgb="FFFFD347"/>
      <color rgb="FF09BFFF"/>
      <color rgb="FFFFE07D"/>
      <color rgb="FFCCFFFF"/>
      <color rgb="FF0099CC"/>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a:solidFill>
            <a:sysClr val="windowText" lastClr="000000"/>
          </a:solidFill>
        </a:ln>
      </a:spPr>
      <a:bodyPr vertOverflow="clip"/>
      <a:lstStyle>
        <a:defPPr>
          <a:defRPr b="1"/>
        </a:defPPr>
      </a:lstStyle>
      <a:style>
        <a:lnRef idx="1">
          <a:schemeClr val="accent1"/>
        </a:lnRef>
        <a:fillRef idx="0">
          <a:schemeClr val="accent1"/>
        </a:fillRef>
        <a:effectRef idx="0">
          <a:schemeClr val="accent1"/>
        </a:effectRef>
        <a:fontRef idx="minor">
          <a:schemeClr val="tx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rgb="FF66FFFF"/>
  </sheetPr>
  <dimension ref="A1:J364"/>
  <sheetViews>
    <sheetView topLeftCell="A205" zoomScaleNormal="100" workbookViewId="0">
      <selection activeCell="B216" sqref="B216"/>
    </sheetView>
  </sheetViews>
  <sheetFormatPr baseColWidth="10" defaultColWidth="8.54296875" defaultRowHeight="16" x14ac:dyDescent="0.25"/>
  <cols>
    <col min="1" max="1" width="61.81640625" style="8" customWidth="1"/>
    <col min="2" max="6" width="13.54296875" style="7" customWidth="1"/>
    <col min="7" max="7" width="15" style="7" customWidth="1"/>
    <col min="8" max="9" width="13.54296875" style="7" customWidth="1"/>
    <col min="10" max="10" width="21.1796875" style="7" customWidth="1"/>
    <col min="11" max="11" width="25.453125" style="7" customWidth="1"/>
    <col min="12" max="12" width="13" style="7" customWidth="1"/>
    <col min="13" max="13" width="15.1796875" style="7" customWidth="1"/>
    <col min="14" max="19" width="13.7265625" style="7" customWidth="1"/>
    <col min="20" max="21" width="7" style="7" customWidth="1"/>
    <col min="22" max="22" width="10.81640625" style="7" customWidth="1"/>
    <col min="23" max="31" width="12.1796875" style="7" customWidth="1"/>
    <col min="32" max="102" width="7" style="7" customWidth="1"/>
    <col min="103" max="16384" width="8.54296875" style="7"/>
  </cols>
  <sheetData>
    <row r="1" spans="1:6" s="391" customFormat="1" ht="15.5" x14ac:dyDescent="0.25">
      <c r="A1" s="389" t="s">
        <v>465</v>
      </c>
      <c r="B1" s="390"/>
      <c r="E1" s="392"/>
    </row>
    <row r="2" spans="1:6" s="15" customFormat="1" ht="29.25" customHeight="1" thickBot="1" x14ac:dyDescent="0.4">
      <c r="A2" s="14" t="s">
        <v>144</v>
      </c>
      <c r="D2" s="9"/>
      <c r="E2" s="9"/>
      <c r="F2" s="9"/>
    </row>
    <row r="3" spans="1:6" s="12" customFormat="1" thickBot="1" x14ac:dyDescent="0.3">
      <c r="A3" s="16" t="s">
        <v>469</v>
      </c>
      <c r="B3" s="97">
        <v>1398.7</v>
      </c>
      <c r="C3" s="25"/>
      <c r="D3" s="97">
        <v>1353.07</v>
      </c>
      <c r="E3" s="501" t="s">
        <v>471</v>
      </c>
      <c r="F3" s="501"/>
    </row>
    <row r="4" spans="1:6" s="12" customFormat="1" thickBot="1" x14ac:dyDescent="0.4">
      <c r="A4" s="17" t="s">
        <v>470</v>
      </c>
      <c r="B4" s="396">
        <f>smic/D3</f>
        <v>1.0337233106934602</v>
      </c>
      <c r="C4" s="25"/>
      <c r="D4" s="97">
        <v>1269.02</v>
      </c>
      <c r="E4" s="501" t="s">
        <v>472</v>
      </c>
      <c r="F4" s="501"/>
    </row>
    <row r="5" spans="1:6" s="12" customFormat="1" thickBot="1" x14ac:dyDescent="0.4">
      <c r="A5" s="17" t="s">
        <v>449</v>
      </c>
      <c r="B5" s="396">
        <f>smicb_h*(1-tx_cotsal)</f>
        <v>9.0147700000000004</v>
      </c>
      <c r="C5" s="25"/>
      <c r="D5" s="388">
        <v>1107.348</v>
      </c>
      <c r="E5" s="501" t="s">
        <v>446</v>
      </c>
      <c r="F5" s="501"/>
    </row>
    <row r="6" spans="1:6" s="12" customFormat="1" thickBot="1" x14ac:dyDescent="0.4">
      <c r="A6" s="17" t="s">
        <v>447</v>
      </c>
      <c r="B6" s="152">
        <v>11.65</v>
      </c>
      <c r="C6" s="25"/>
      <c r="D6" s="394">
        <f>smic/smic_2012</f>
        <v>1.263107893814772</v>
      </c>
      <c r="E6" s="513" t="s">
        <v>473</v>
      </c>
      <c r="F6" s="513"/>
    </row>
    <row r="7" spans="1:6" s="12" customFormat="1" ht="15.5" x14ac:dyDescent="0.35">
      <c r="A7" s="13"/>
      <c r="B7" s="387"/>
      <c r="C7" s="25"/>
      <c r="D7" s="25"/>
    </row>
    <row r="8" spans="1:6" s="15" customFormat="1" ht="29.25" customHeight="1" thickBot="1" x14ac:dyDescent="0.4">
      <c r="A8" s="14" t="s">
        <v>145</v>
      </c>
      <c r="D8" s="9"/>
      <c r="E8" s="9"/>
      <c r="F8" s="9"/>
    </row>
    <row r="9" spans="1:6" s="12" customFormat="1" thickBot="1" x14ac:dyDescent="0.3">
      <c r="A9" s="16" t="s">
        <v>474</v>
      </c>
      <c r="B9" s="98">
        <f>117.16/113.86</f>
        <v>1.0289829615317057</v>
      </c>
      <c r="C9" s="18"/>
    </row>
    <row r="10" spans="1:6" s="12" customFormat="1" thickBot="1" x14ac:dyDescent="0.4">
      <c r="A10" s="19" t="s">
        <v>475</v>
      </c>
      <c r="B10" s="98">
        <f>113.86/107.3</f>
        <v>1.0611369990680335</v>
      </c>
      <c r="D10" s="354"/>
    </row>
    <row r="11" spans="1:6" s="12" customFormat="1" ht="15.5" x14ac:dyDescent="0.25">
      <c r="A11" s="13"/>
    </row>
    <row r="12" spans="1:6" s="15" customFormat="1" thickBot="1" x14ac:dyDescent="0.3">
      <c r="A12" s="14" t="s">
        <v>75</v>
      </c>
    </row>
    <row r="13" spans="1:6" s="12" customFormat="1" thickBot="1" x14ac:dyDescent="0.4">
      <c r="A13" s="19" t="s">
        <v>205</v>
      </c>
      <c r="B13" s="397">
        <f>evol_smic</f>
        <v>1.0337233106934602</v>
      </c>
      <c r="D13" s="20" t="s">
        <v>200</v>
      </c>
      <c r="E13" s="100"/>
      <c r="F13" s="101">
        <v>0.98250000000000004</v>
      </c>
    </row>
    <row r="14" spans="1:6" s="12" customFormat="1" thickBot="1" x14ac:dyDescent="0.4">
      <c r="A14" s="19" t="s">
        <v>418</v>
      </c>
      <c r="B14" s="397">
        <f>smic/D4</f>
        <v>1.1021890907944714</v>
      </c>
      <c r="D14" s="20" t="s">
        <v>199</v>
      </c>
      <c r="E14" s="100"/>
      <c r="F14" s="101">
        <v>6.8000000000000005E-2</v>
      </c>
    </row>
    <row r="15" spans="1:6" s="12" customFormat="1" thickBot="1" x14ac:dyDescent="0.4">
      <c r="A15" s="19" t="s">
        <v>417</v>
      </c>
      <c r="B15" s="397">
        <f>D3/D4</f>
        <v>1.0662322106822588</v>
      </c>
      <c r="D15" s="20" t="s">
        <v>198</v>
      </c>
      <c r="E15" s="100"/>
      <c r="F15" s="101">
        <v>2.4E-2</v>
      </c>
    </row>
    <row r="16" spans="1:6" s="12" customFormat="1" thickBot="1" x14ac:dyDescent="0.4">
      <c r="A16" s="20" t="s">
        <v>57</v>
      </c>
      <c r="B16" s="398">
        <f>((1+assiette_csgcrds*(crds+tx_csgimp)/(1-tx_cotsal))/evol_smic_n_moins_2_n)*12</f>
        <v>11.288315648602033</v>
      </c>
      <c r="D16" s="19" t="s">
        <v>476</v>
      </c>
      <c r="E16" s="100"/>
      <c r="F16" s="102">
        <v>0.22620000000000001</v>
      </c>
    </row>
    <row r="17" spans="1:7" s="12" customFormat="1" thickBot="1" x14ac:dyDescent="0.4">
      <c r="A17" s="19" t="s">
        <v>505</v>
      </c>
      <c r="B17" s="398">
        <f>((1+assiette_csgcrds*(crds+tx_csgimp)/(1-tx_cotsal)))*12</f>
        <v>12.441858361333679</v>
      </c>
      <c r="D17" s="19" t="s">
        <v>477</v>
      </c>
      <c r="E17" s="100"/>
      <c r="F17" s="102">
        <v>0.22620000000000001</v>
      </c>
    </row>
    <row r="18" spans="1:7" s="12" customFormat="1" thickBot="1" x14ac:dyDescent="0.4">
      <c r="A18" s="19" t="s">
        <v>347</v>
      </c>
      <c r="B18" s="398">
        <f>0.9*((1+assiette_csgcrds*(crds+tx_csgimp)/(1-tx_cotsal)))*12</f>
        <v>11.197672525200311</v>
      </c>
      <c r="D18" s="511" t="s">
        <v>201</v>
      </c>
      <c r="E18" s="512"/>
      <c r="F18" s="99">
        <v>5.0000000000000001E-3</v>
      </c>
    </row>
    <row r="19" spans="1:7" s="12" customFormat="1" thickBot="1" x14ac:dyDescent="0.4">
      <c r="A19" s="13"/>
      <c r="B19" s="387"/>
    </row>
    <row r="20" spans="1:7" s="12" customFormat="1" thickBot="1" x14ac:dyDescent="0.4">
      <c r="A20" s="19" t="s">
        <v>466</v>
      </c>
      <c r="B20" s="395">
        <v>46368</v>
      </c>
      <c r="D20" s="19" t="s">
        <v>507</v>
      </c>
      <c r="E20" s="100"/>
      <c r="F20" s="102">
        <v>1158</v>
      </c>
    </row>
    <row r="21" spans="1:7" s="12" customFormat="1" thickBot="1" x14ac:dyDescent="0.4">
      <c r="A21" s="19" t="s">
        <v>467</v>
      </c>
      <c r="B21" s="395">
        <v>43992</v>
      </c>
      <c r="D21" s="511" t="s">
        <v>509</v>
      </c>
      <c r="E21" s="512"/>
      <c r="F21" s="99">
        <v>1.1299999999999999</v>
      </c>
    </row>
    <row r="22" spans="1:7" s="12" customFormat="1" thickBot="1" x14ac:dyDescent="0.4">
      <c r="A22" s="19" t="s">
        <v>468</v>
      </c>
      <c r="B22" s="395">
        <v>41136</v>
      </c>
      <c r="D22" s="511" t="s">
        <v>508</v>
      </c>
      <c r="E22" s="512"/>
      <c r="F22" s="99">
        <f>F20*F21</f>
        <v>1308.54</v>
      </c>
    </row>
    <row r="23" spans="1:7" s="12" customFormat="1" ht="15.5" x14ac:dyDescent="0.25">
      <c r="A23" s="13"/>
      <c r="B23" s="393"/>
    </row>
    <row r="24" spans="1:7" s="391" customFormat="1" ht="15.5" x14ac:dyDescent="0.25">
      <c r="A24" s="389" t="s">
        <v>464</v>
      </c>
      <c r="B24" s="390"/>
      <c r="E24" s="392"/>
    </row>
    <row r="25" spans="1:7" s="15" customFormat="1" thickBot="1" x14ac:dyDescent="0.3">
      <c r="A25" s="14" t="s">
        <v>146</v>
      </c>
      <c r="B25" s="23"/>
      <c r="E25" s="24"/>
    </row>
    <row r="26" spans="1:7" s="12" customFormat="1" thickBot="1" x14ac:dyDescent="0.4">
      <c r="A26" s="19" t="s">
        <v>113</v>
      </c>
      <c r="B26" s="103">
        <v>466.44</v>
      </c>
      <c r="C26" s="371">
        <v>45383</v>
      </c>
      <c r="E26" s="21"/>
    </row>
    <row r="27" spans="1:7" s="12" customFormat="1" ht="15.5" x14ac:dyDescent="0.35">
      <c r="A27" s="13"/>
      <c r="B27" s="26"/>
      <c r="E27" s="21"/>
    </row>
    <row r="28" spans="1:7" s="12" customFormat="1" ht="51.75" customHeight="1" thickBot="1" x14ac:dyDescent="0.3">
      <c r="A28" s="27" t="s">
        <v>150</v>
      </c>
      <c r="C28" s="27"/>
      <c r="D28" s="28" t="s">
        <v>126</v>
      </c>
      <c r="E28" s="28" t="s">
        <v>158</v>
      </c>
      <c r="F28" s="28" t="s">
        <v>127</v>
      </c>
    </row>
    <row r="29" spans="1:7" s="12" customFormat="1" thickBot="1" x14ac:dyDescent="0.4">
      <c r="A29" s="29">
        <v>1</v>
      </c>
      <c r="B29" s="399">
        <v>0</v>
      </c>
      <c r="D29" s="105">
        <v>74966</v>
      </c>
      <c r="E29" s="105">
        <v>99922</v>
      </c>
      <c r="F29" s="105">
        <v>6246</v>
      </c>
      <c r="G29" s="371">
        <v>45383</v>
      </c>
    </row>
    <row r="30" spans="1:7" s="12" customFormat="1" thickBot="1" x14ac:dyDescent="0.4">
      <c r="A30" s="29">
        <v>2</v>
      </c>
      <c r="B30" s="399">
        <f>(32%*bmaf)*(1-crds)</f>
        <v>148.51449599999998</v>
      </c>
      <c r="C30" s="30"/>
    </row>
    <row r="31" spans="1:7" s="12" customFormat="1" thickBot="1" x14ac:dyDescent="0.4">
      <c r="A31" s="31">
        <v>3</v>
      </c>
      <c r="B31" s="399">
        <f>(73%*bmaf)*0.995</f>
        <v>338.79869399999995</v>
      </c>
      <c r="C31" s="30"/>
    </row>
    <row r="32" spans="1:7" s="12" customFormat="1" thickBot="1" x14ac:dyDescent="0.4">
      <c r="A32" s="31">
        <v>4</v>
      </c>
      <c r="B32" s="399">
        <f>(114%*bmaf)*0.995</f>
        <v>529.0828919999999</v>
      </c>
      <c r="C32" s="30"/>
      <c r="D32" s="32"/>
      <c r="E32" s="32"/>
      <c r="F32" s="90"/>
      <c r="G32" s="32"/>
    </row>
    <row r="33" spans="1:8" s="12" customFormat="1" thickBot="1" x14ac:dyDescent="0.4">
      <c r="A33" s="29">
        <v>5</v>
      </c>
      <c r="B33" s="399">
        <f>(155%*bmaf)*0.995</f>
        <v>719.36708999999996</v>
      </c>
      <c r="C33" s="32"/>
      <c r="D33" s="32"/>
      <c r="E33" s="32"/>
      <c r="F33" s="32"/>
      <c r="G33" s="32"/>
      <c r="H33" s="32"/>
    </row>
    <row r="34" spans="1:8" s="12" customFormat="1" thickBot="1" x14ac:dyDescent="0.4">
      <c r="A34" s="151">
        <v>6</v>
      </c>
      <c r="B34" s="399">
        <f>(af_5+41%*bmaf)*0.995</f>
        <v>906.05445254999995</v>
      </c>
      <c r="C34" s="33"/>
    </row>
    <row r="35" spans="1:8" s="12" customFormat="1" thickBot="1" x14ac:dyDescent="0.3">
      <c r="A35" s="34"/>
    </row>
    <row r="36" spans="1:8" s="12" customFormat="1" thickBot="1" x14ac:dyDescent="0.3">
      <c r="A36" s="35" t="s">
        <v>114</v>
      </c>
      <c r="B36" s="400">
        <f>(16%*bmaf)*0.995</f>
        <v>74.25724799999999</v>
      </c>
    </row>
    <row r="37" spans="1:8" s="12" customFormat="1" thickBot="1" x14ac:dyDescent="0.3">
      <c r="A37" s="35" t="s">
        <v>125</v>
      </c>
      <c r="B37" s="400">
        <f>(20.234%*bmaf)*0.995</f>
        <v>93.907572252000008</v>
      </c>
      <c r="D37" s="36"/>
    </row>
    <row r="38" spans="1:8" s="12" customFormat="1" ht="15.5" x14ac:dyDescent="0.25">
      <c r="A38" s="34"/>
    </row>
    <row r="39" spans="1:8" s="12" customFormat="1" ht="15.5" x14ac:dyDescent="0.25">
      <c r="A39" s="34"/>
    </row>
    <row r="40" spans="1:8" s="12" customFormat="1" thickBot="1" x14ac:dyDescent="0.3">
      <c r="A40" s="37" t="s">
        <v>152</v>
      </c>
    </row>
    <row r="41" spans="1:8" s="12" customFormat="1" thickBot="1" x14ac:dyDescent="0.3">
      <c r="A41" s="35" t="s">
        <v>2</v>
      </c>
      <c r="B41" s="400">
        <f>1.5*28.13%*0.995*bmaf</f>
        <v>195.83028621</v>
      </c>
      <c r="C41" s="13" t="s">
        <v>478</v>
      </c>
      <c r="D41" s="32"/>
      <c r="F41" s="12" t="s">
        <v>512</v>
      </c>
      <c r="G41" s="400">
        <v>261.07</v>
      </c>
      <c r="H41" s="21">
        <f>G41/asf</f>
        <v>1.3331441476832635</v>
      </c>
    </row>
    <row r="42" spans="1:8" s="12" customFormat="1" thickBot="1" x14ac:dyDescent="0.3">
      <c r="A42" s="35" t="s">
        <v>134</v>
      </c>
      <c r="B42" s="400">
        <f>22.5*0.995*bmaf/100</f>
        <v>104.42425499999999</v>
      </c>
      <c r="C42" s="13" t="s">
        <v>163</v>
      </c>
      <c r="D42" s="32"/>
      <c r="H42" s="21"/>
    </row>
    <row r="43" spans="1:8" s="12" customFormat="1" ht="15.5" x14ac:dyDescent="0.25">
      <c r="A43" s="22"/>
      <c r="B43" s="32"/>
      <c r="D43" s="32">
        <f>D46/12</f>
        <v>3494.4166666666665</v>
      </c>
      <c r="E43" s="32">
        <f>E46/12</f>
        <v>4274.666666666667</v>
      </c>
      <c r="H43" s="21"/>
    </row>
    <row r="44" spans="1:8" s="12" customFormat="1" ht="15.5" x14ac:dyDescent="0.25">
      <c r="A44" s="22"/>
      <c r="B44" s="32"/>
      <c r="D44" s="32">
        <f>D47/12</f>
        <v>1747.5833333333333</v>
      </c>
      <c r="E44" s="32">
        <f>E47/12</f>
        <v>2137.75</v>
      </c>
    </row>
    <row r="45" spans="1:8" s="12" customFormat="1" ht="62.5" thickBot="1" x14ac:dyDescent="0.3">
      <c r="A45" s="38" t="s">
        <v>151</v>
      </c>
      <c r="B45" s="28" t="s">
        <v>28</v>
      </c>
      <c r="D45" s="28" t="s">
        <v>51</v>
      </c>
      <c r="E45" s="28" t="s">
        <v>50</v>
      </c>
      <c r="F45" s="28" t="s">
        <v>47</v>
      </c>
      <c r="G45" s="28" t="s">
        <v>56</v>
      </c>
    </row>
    <row r="46" spans="1:8" s="12" customFormat="1" thickBot="1" x14ac:dyDescent="0.3">
      <c r="A46" s="35" t="s">
        <v>117</v>
      </c>
      <c r="B46" s="400">
        <f>0.995*41.65*bmaf/100</f>
        <v>193.3008987</v>
      </c>
      <c r="C46" s="371"/>
      <c r="D46" s="105">
        <v>41933</v>
      </c>
      <c r="E46" s="105">
        <v>51296</v>
      </c>
      <c r="F46" s="105">
        <v>6989</v>
      </c>
      <c r="G46" s="359">
        <f>13.6%*pl_ss_n_2</f>
        <v>5594.4960000000001</v>
      </c>
      <c r="H46" s="13" t="s">
        <v>463</v>
      </c>
    </row>
    <row r="47" spans="1:8" s="12" customFormat="1" thickBot="1" x14ac:dyDescent="0.4">
      <c r="A47" s="35" t="s">
        <v>118</v>
      </c>
      <c r="B47" s="400">
        <f>62.48%*0.995*bmaf-cf_base</f>
        <v>96.673654740000018</v>
      </c>
      <c r="C47" s="39"/>
      <c r="D47" s="105">
        <v>20971</v>
      </c>
      <c r="E47" s="105">
        <v>25653</v>
      </c>
      <c r="F47" s="105">
        <v>3495</v>
      </c>
      <c r="G47" s="359"/>
    </row>
    <row r="48" spans="1:8" s="12" customFormat="1" thickBot="1" x14ac:dyDescent="0.3">
      <c r="A48" s="35" t="s">
        <v>164</v>
      </c>
      <c r="B48" s="400">
        <f>0.4165*0.995*bmaf</f>
        <v>193.3008987</v>
      </c>
      <c r="C48" s="13" t="s">
        <v>163</v>
      </c>
      <c r="D48" s="32"/>
      <c r="E48" s="32"/>
      <c r="F48" s="32"/>
      <c r="G48" s="32"/>
    </row>
    <row r="50" spans="1:8" s="12" customFormat="1" ht="47" thickBot="1" x14ac:dyDescent="0.3">
      <c r="A50" s="38" t="s">
        <v>153</v>
      </c>
      <c r="B50" s="28" t="s">
        <v>301</v>
      </c>
      <c r="D50" s="28" t="s">
        <v>66</v>
      </c>
      <c r="E50" s="28" t="s">
        <v>47</v>
      </c>
    </row>
    <row r="51" spans="1:8" s="12" customFormat="1" thickBot="1" x14ac:dyDescent="0.3">
      <c r="A51" s="35" t="s">
        <v>73</v>
      </c>
      <c r="B51" s="400">
        <f>0.995*89.72%*bmaf</f>
        <v>416.39751816</v>
      </c>
      <c r="C51" s="371">
        <v>45444</v>
      </c>
      <c r="D51" s="105">
        <v>25775</v>
      </c>
      <c r="E51" s="105">
        <v>5948</v>
      </c>
    </row>
    <row r="52" spans="1:8" s="12" customFormat="1" thickBot="1" x14ac:dyDescent="0.4">
      <c r="A52" s="35" t="s">
        <v>65</v>
      </c>
      <c r="B52" s="400">
        <f>0.995*94.67%*bmaf</f>
        <v>439.37085425999999</v>
      </c>
      <c r="C52" s="40"/>
    </row>
    <row r="53" spans="1:8" s="12" customFormat="1" thickBot="1" x14ac:dyDescent="0.4">
      <c r="A53" s="35" t="s">
        <v>74</v>
      </c>
      <c r="B53" s="400">
        <f>0.995*97.95%*bmaf</f>
        <v>454.59359010000003</v>
      </c>
      <c r="C53" s="40"/>
    </row>
    <row r="54" spans="1:8" s="12" customFormat="1" ht="15.5" x14ac:dyDescent="0.35">
      <c r="A54" s="22"/>
      <c r="B54" s="33"/>
      <c r="C54" s="40"/>
    </row>
    <row r="55" spans="1:8" s="12" customFormat="1" ht="15.5" x14ac:dyDescent="0.35">
      <c r="A55" s="22"/>
      <c r="B55" s="33"/>
      <c r="C55" s="40"/>
    </row>
    <row r="56" spans="1:8" s="12" customFormat="1" ht="62.5" thickBot="1" x14ac:dyDescent="0.3">
      <c r="A56" s="38" t="s">
        <v>154</v>
      </c>
      <c r="B56" s="28" t="s">
        <v>28</v>
      </c>
      <c r="C56" s="28"/>
      <c r="D56" s="28" t="s">
        <v>53</v>
      </c>
      <c r="E56" s="28" t="s">
        <v>52</v>
      </c>
      <c r="F56" s="28" t="s">
        <v>54</v>
      </c>
      <c r="G56" s="28" t="s">
        <v>55</v>
      </c>
      <c r="H56" s="28" t="s">
        <v>47</v>
      </c>
    </row>
    <row r="57" spans="1:8" s="12" customFormat="1" thickBot="1" x14ac:dyDescent="0.3">
      <c r="A57" s="35" t="s">
        <v>115</v>
      </c>
      <c r="B57" s="400">
        <f>41.65%*bmaf*(1-crds)</f>
        <v>193.30089869999998</v>
      </c>
      <c r="C57" s="371"/>
      <c r="D57" s="105">
        <v>34791</v>
      </c>
      <c r="E57" s="105">
        <v>41749</v>
      </c>
      <c r="F57" s="105">
        <v>45979</v>
      </c>
      <c r="G57" s="105">
        <v>52937</v>
      </c>
      <c r="H57" s="105">
        <v>8350</v>
      </c>
    </row>
    <row r="58" spans="1:8" s="12" customFormat="1" thickBot="1" x14ac:dyDescent="0.4">
      <c r="A58" s="35" t="s">
        <v>119</v>
      </c>
      <c r="B58" s="400">
        <f>0.5*ab</f>
        <v>96.650449349999988</v>
      </c>
      <c r="C58" s="40"/>
      <c r="D58" s="105">
        <v>29120</v>
      </c>
      <c r="E58" s="105">
        <v>34944</v>
      </c>
      <c r="F58" s="105">
        <v>38483</v>
      </c>
      <c r="G58" s="105">
        <v>44307</v>
      </c>
      <c r="H58" s="105">
        <v>6989</v>
      </c>
    </row>
    <row r="59" spans="1:8" s="12" customFormat="1" ht="15.5" x14ac:dyDescent="0.25">
      <c r="A59" s="22"/>
      <c r="D59" s="32"/>
      <c r="E59" s="32"/>
      <c r="F59" s="32"/>
      <c r="G59" s="32"/>
      <c r="H59" s="32"/>
    </row>
    <row r="60" spans="1:8" s="12" customFormat="1" ht="15.5" x14ac:dyDescent="0.25">
      <c r="A60" s="34"/>
      <c r="B60" s="32"/>
      <c r="E60" s="32"/>
      <c r="G60" s="32"/>
    </row>
    <row r="61" spans="1:8" s="12" customFormat="1" thickBot="1" x14ac:dyDescent="0.3">
      <c r="A61" s="129" t="s">
        <v>218</v>
      </c>
      <c r="B61" s="130" t="s">
        <v>115</v>
      </c>
      <c r="D61" s="13"/>
    </row>
    <row r="62" spans="1:8" s="12" customFormat="1" thickBot="1" x14ac:dyDescent="0.3">
      <c r="A62" s="131" t="s">
        <v>219</v>
      </c>
      <c r="B62" s="104">
        <f>96.62%*0.995*bmaf</f>
        <v>448.42095635999999</v>
      </c>
      <c r="D62" s="132"/>
    </row>
    <row r="63" spans="1:8" s="12" customFormat="1" thickBot="1" x14ac:dyDescent="0.3">
      <c r="A63" s="133" t="s">
        <v>220</v>
      </c>
      <c r="B63" s="104">
        <f>62.46%*0.995*bmaf</f>
        <v>289.88173188000002</v>
      </c>
      <c r="D63" s="132"/>
    </row>
    <row r="64" spans="1:8" s="12" customFormat="1" thickBot="1" x14ac:dyDescent="0.3">
      <c r="A64" s="133" t="s">
        <v>221</v>
      </c>
      <c r="B64" s="104">
        <f>36.03%*0.995*bmaf</f>
        <v>167.21804033999999</v>
      </c>
      <c r="D64" s="132"/>
    </row>
    <row r="67" spans="1:8" s="12" customFormat="1" ht="62.5" thickBot="1" x14ac:dyDescent="0.4">
      <c r="A67" s="404" t="s">
        <v>222</v>
      </c>
      <c r="B67" s="130" t="s">
        <v>28</v>
      </c>
      <c r="C67" s="40"/>
      <c r="D67" s="28" t="s">
        <v>223</v>
      </c>
      <c r="E67" s="28" t="s">
        <v>224</v>
      </c>
      <c r="F67" s="22" t="s">
        <v>225</v>
      </c>
      <c r="G67" s="22" t="s">
        <v>226</v>
      </c>
      <c r="H67" s="22" t="s">
        <v>227</v>
      </c>
    </row>
    <row r="68" spans="1:8" s="12" customFormat="1" thickBot="1" x14ac:dyDescent="0.3">
      <c r="A68" s="402" t="s">
        <v>228</v>
      </c>
      <c r="B68" s="403">
        <f>(114.04%*bmaf)*0.995</f>
        <v>529.26853512000002</v>
      </c>
      <c r="D68" s="105">
        <v>50686</v>
      </c>
      <c r="E68" s="105">
        <v>57881</v>
      </c>
      <c r="F68" s="105">
        <v>7195</v>
      </c>
      <c r="G68" s="360">
        <v>0.45</v>
      </c>
      <c r="H68" s="360">
        <v>0.4</v>
      </c>
    </row>
    <row r="69" spans="1:8" s="12" customFormat="1" ht="15.5" x14ac:dyDescent="0.25">
      <c r="A69" s="402" t="s">
        <v>229</v>
      </c>
      <c r="B69" s="403">
        <f>(71.91%*bmaf)*0.995</f>
        <v>333.73991897999997</v>
      </c>
      <c r="C69" s="32"/>
      <c r="D69" s="136"/>
      <c r="E69" s="136"/>
      <c r="G69" s="53"/>
      <c r="H69" s="53"/>
    </row>
    <row r="70" spans="1:8" s="12" customFormat="1" ht="15.5" x14ac:dyDescent="0.25">
      <c r="A70" s="402" t="s">
        <v>230</v>
      </c>
      <c r="B70" s="403">
        <f>(43.14%*bmaf)*0.995</f>
        <v>200.21610491999999</v>
      </c>
      <c r="C70" s="137"/>
      <c r="D70" s="10" t="s">
        <v>302</v>
      </c>
      <c r="G70" s="53"/>
      <c r="H70" s="53"/>
    </row>
    <row r="71" spans="1:8" s="12" customFormat="1" ht="15.5" x14ac:dyDescent="0.25">
      <c r="A71" s="402" t="s">
        <v>231</v>
      </c>
      <c r="B71" s="401">
        <v>0.85</v>
      </c>
      <c r="C71" s="32"/>
      <c r="D71" s="10" t="s">
        <v>450</v>
      </c>
    </row>
    <row r="72" spans="1:8" s="12" customFormat="1" ht="15.5" x14ac:dyDescent="0.25">
      <c r="A72" s="402" t="s">
        <v>232</v>
      </c>
      <c r="B72" s="135">
        <v>496</v>
      </c>
      <c r="C72" s="32"/>
      <c r="D72" s="372" t="s">
        <v>451</v>
      </c>
    </row>
    <row r="73" spans="1:8" s="12" customFormat="1" ht="15.5" x14ac:dyDescent="0.25">
      <c r="A73" s="402" t="s">
        <v>453</v>
      </c>
      <c r="B73" s="401">
        <v>0.3</v>
      </c>
      <c r="C73" s="32"/>
      <c r="D73" s="32" t="s">
        <v>452</v>
      </c>
    </row>
    <row r="74" spans="1:8" s="12" customFormat="1" ht="15.5" x14ac:dyDescent="0.25">
      <c r="A74" s="13"/>
      <c r="B74" s="138"/>
      <c r="C74" s="32"/>
      <c r="D74" s="32"/>
    </row>
    <row r="75" spans="1:8" s="12" customFormat="1" thickBot="1" x14ac:dyDescent="0.3">
      <c r="A75" s="42" t="s">
        <v>522</v>
      </c>
      <c r="B75" s="138"/>
      <c r="C75" s="32"/>
      <c r="D75" s="32"/>
    </row>
    <row r="76" spans="1:8" s="12" customFormat="1" ht="15.5" x14ac:dyDescent="0.25">
      <c r="A76" s="411" t="s">
        <v>454</v>
      </c>
      <c r="B76" s="456">
        <v>1016.05</v>
      </c>
      <c r="C76" s="373" t="s">
        <v>519</v>
      </c>
      <c r="D76" s="383"/>
      <c r="E76" s="13"/>
    </row>
    <row r="77" spans="1:8" s="12" customFormat="1" ht="15.5" x14ac:dyDescent="0.25">
      <c r="A77" s="412" t="s">
        <v>455</v>
      </c>
      <c r="B77" s="457">
        <f>12*AAH_I0</f>
        <v>12192.599999999999</v>
      </c>
      <c r="C77" s="384" t="s">
        <v>520</v>
      </c>
      <c r="D77" s="13"/>
    </row>
    <row r="78" spans="1:8" s="12" customFormat="1" ht="15.5" x14ac:dyDescent="0.25">
      <c r="A78" s="412" t="s">
        <v>456</v>
      </c>
      <c r="B78" s="458">
        <v>0.5</v>
      </c>
      <c r="C78" s="459"/>
      <c r="D78" s="32"/>
    </row>
    <row r="79" spans="1:8" s="12" customFormat="1" ht="15.5" x14ac:dyDescent="0.25">
      <c r="A79" s="412" t="s">
        <v>458</v>
      </c>
      <c r="B79" s="457">
        <f>0.3*smicb_h*35*52/12</f>
        <v>530.07500000000005</v>
      </c>
      <c r="C79" s="374" t="s">
        <v>457</v>
      </c>
      <c r="D79" s="32"/>
    </row>
    <row r="80" spans="1:8" s="12" customFormat="1" ht="15.5" x14ac:dyDescent="0.25">
      <c r="A80" s="412" t="s">
        <v>521</v>
      </c>
      <c r="B80" s="458">
        <v>0.8</v>
      </c>
      <c r="C80" s="32"/>
      <c r="D80" s="32"/>
    </row>
    <row r="81" spans="1:10" s="12" customFormat="1" ht="15.5" x14ac:dyDescent="0.35">
      <c r="A81" s="412" t="s">
        <v>348</v>
      </c>
      <c r="B81" s="458">
        <v>0.4</v>
      </c>
      <c r="C81" s="40"/>
      <c r="D81" s="32"/>
      <c r="E81" s="32"/>
      <c r="F81" s="32"/>
      <c r="G81" s="32"/>
      <c r="H81" s="32"/>
    </row>
    <row r="82" spans="1:10" s="12" customFormat="1" thickBot="1" x14ac:dyDescent="0.4">
      <c r="A82" s="413" t="s">
        <v>462</v>
      </c>
      <c r="B82" s="460">
        <f>29*smicb_h</f>
        <v>337.85</v>
      </c>
      <c r="C82" s="386" t="s">
        <v>524</v>
      </c>
      <c r="D82" s="32"/>
      <c r="E82" s="32"/>
      <c r="F82" s="32"/>
      <c r="G82" s="32"/>
      <c r="H82" s="32"/>
    </row>
    <row r="83" spans="1:10" s="12" customFormat="1" ht="15.5" x14ac:dyDescent="0.35">
      <c r="A83" s="13"/>
      <c r="B83" s="385"/>
      <c r="C83" s="40"/>
      <c r="D83" s="32"/>
      <c r="E83" s="32"/>
      <c r="F83" s="32"/>
      <c r="G83" s="32"/>
      <c r="H83" s="32"/>
    </row>
    <row r="84" spans="1:10" s="12" customFormat="1" ht="15.5" x14ac:dyDescent="0.35">
      <c r="A84" s="13"/>
      <c r="B84" s="385"/>
      <c r="C84" s="40"/>
      <c r="D84" s="32"/>
      <c r="E84" s="32"/>
      <c r="F84" s="32"/>
      <c r="G84" s="32"/>
      <c r="H84" s="32"/>
    </row>
    <row r="85" spans="1:10" s="12" customFormat="1" ht="16.5" customHeight="1" x14ac:dyDescent="0.25">
      <c r="A85" s="42" t="s">
        <v>84</v>
      </c>
      <c r="B85" s="13"/>
      <c r="C85" s="13"/>
      <c r="E85" s="10"/>
    </row>
    <row r="86" spans="1:10" s="12" customFormat="1" ht="16.5" customHeight="1" thickBot="1" x14ac:dyDescent="0.3">
      <c r="A86" s="42" t="s">
        <v>83</v>
      </c>
      <c r="E86" s="10"/>
    </row>
    <row r="87" spans="1:10" s="12" customFormat="1" ht="17.25" customHeight="1" x14ac:dyDescent="0.25">
      <c r="A87" s="43" t="s">
        <v>14</v>
      </c>
      <c r="B87" s="409">
        <f>0.12*rsa_I0</f>
        <v>76.285200000000003</v>
      </c>
      <c r="D87" s="44"/>
      <c r="E87" s="88"/>
    </row>
    <row r="88" spans="1:10" s="12" customFormat="1" ht="17.25" customHeight="1" x14ac:dyDescent="0.25">
      <c r="A88" s="45" t="s">
        <v>15</v>
      </c>
      <c r="B88" s="410">
        <f>16%*rsa_C0</f>
        <v>152.57040000000001</v>
      </c>
      <c r="D88" s="44"/>
      <c r="E88" s="88"/>
    </row>
    <row r="89" spans="1:10" s="12" customFormat="1" ht="17.25" customHeight="1" thickBot="1" x14ac:dyDescent="0.3">
      <c r="A89" s="46" t="s">
        <v>16</v>
      </c>
      <c r="B89" s="361">
        <f>16.5%*rsa_C1</f>
        <v>188.80587</v>
      </c>
      <c r="D89" s="44"/>
      <c r="E89" s="88">
        <f>(rsa_I0-rsa_fl_1)/smic</f>
        <v>0.39996053478229782</v>
      </c>
    </row>
    <row r="90" spans="1:10" s="12" customFormat="1" ht="12" customHeight="1" x14ac:dyDescent="0.25">
      <c r="A90" s="47"/>
      <c r="B90" s="48"/>
    </row>
    <row r="91" spans="1:10" s="12" customFormat="1" ht="31.5" customHeight="1" thickBot="1" x14ac:dyDescent="0.3">
      <c r="A91" s="42" t="s">
        <v>155</v>
      </c>
      <c r="B91" s="13"/>
      <c r="C91" s="12">
        <f>rsa_I0-rsa_fl_1</f>
        <v>559.4248</v>
      </c>
      <c r="D91" s="13"/>
      <c r="E91" s="53"/>
      <c r="J91" s="87"/>
    </row>
    <row r="92" spans="1:10" s="12" customFormat="1" thickBot="1" x14ac:dyDescent="0.3">
      <c r="A92" s="43" t="s">
        <v>17</v>
      </c>
      <c r="B92" s="50" t="s">
        <v>11</v>
      </c>
      <c r="C92" s="51" t="s">
        <v>12</v>
      </c>
      <c r="D92" s="52" t="s">
        <v>29</v>
      </c>
      <c r="E92" s="53"/>
      <c r="J92" s="86"/>
    </row>
    <row r="93" spans="1:10" s="12" customFormat="1" ht="15.5" x14ac:dyDescent="0.25">
      <c r="A93" s="45">
        <v>0</v>
      </c>
      <c r="B93" s="417">
        <v>635.71</v>
      </c>
      <c r="C93" s="405">
        <f>rsa_I0+0.5*rsa_I0</f>
        <v>953.56500000000005</v>
      </c>
      <c r="D93" s="416">
        <f>1.28412*rsa_I0</f>
        <v>816.32792519999998</v>
      </c>
      <c r="G93" s="33">
        <f>D93-B93</f>
        <v>180.61792519999995</v>
      </c>
      <c r="H93" s="353"/>
      <c r="I93" s="12">
        <f>rsa_I1-rsa_I0-(rsa_fl_2-rsa_fl_1)</f>
        <v>241.56980000000001</v>
      </c>
      <c r="J93" s="12">
        <f>rsa_C1-rsa_C0-(rsa_fl_3-rsa_fl_2)</f>
        <v>154.47752999999997</v>
      </c>
    </row>
    <row r="94" spans="1:10" s="12" customFormat="1" ht="15.5" x14ac:dyDescent="0.25">
      <c r="A94" s="45">
        <v>1</v>
      </c>
      <c r="B94" s="405">
        <f>rsa_I0+0.5*rsa_I0</f>
        <v>953.56500000000005</v>
      </c>
      <c r="C94" s="406">
        <f>rsa_C0+0.3*rsa_I0</f>
        <v>1144.278</v>
      </c>
      <c r="D94" s="414">
        <f>D93+0.42804*rsa_I0</f>
        <v>1088.4372335999999</v>
      </c>
      <c r="E94" s="173">
        <f t="shared" ref="E94:F96" si="0">B94/rsa_I0</f>
        <v>1.5</v>
      </c>
      <c r="F94" s="173">
        <f t="shared" si="0"/>
        <v>1.7999999999999998</v>
      </c>
      <c r="G94" s="33">
        <f t="shared" ref="G94:G96" si="1">D94-B94</f>
        <v>134.87223359999984</v>
      </c>
    </row>
    <row r="95" spans="1:10" s="12" customFormat="1" ht="18" customHeight="1" x14ac:dyDescent="0.25">
      <c r="A95" s="45">
        <v>2</v>
      </c>
      <c r="B95" s="405">
        <f>rsa_I1+0.3*rsa_I0</f>
        <v>1144.278</v>
      </c>
      <c r="C95" s="406">
        <f>rsa_C1+0.3*rsa_I0</f>
        <v>1334.991</v>
      </c>
      <c r="D95" s="414">
        <f>D94+0.42804*rsa_I0</f>
        <v>1360.5465419999998</v>
      </c>
      <c r="E95" s="173">
        <f t="shared" si="0"/>
        <v>1.7999999999999998</v>
      </c>
      <c r="F95" s="173">
        <f t="shared" si="0"/>
        <v>2.0999999999999996</v>
      </c>
      <c r="G95" s="33">
        <f t="shared" si="1"/>
        <v>216.2685419999998</v>
      </c>
      <c r="H95" s="353"/>
      <c r="I95" s="12">
        <f>rsa_I2-rsa_fl_3-(rsa_I1-rsa_fl_2)</f>
        <v>154.47753</v>
      </c>
      <c r="J95" s="12">
        <f>rsa_C2-rsa_C1</f>
        <v>190.71299999999997</v>
      </c>
    </row>
    <row r="96" spans="1:10" s="12" customFormat="1" thickBot="1" x14ac:dyDescent="0.3">
      <c r="A96" s="46" t="s">
        <v>18</v>
      </c>
      <c r="B96" s="407">
        <f>0.4*rsa_I0</f>
        <v>254.28400000000002</v>
      </c>
      <c r="C96" s="408">
        <f>0.4*rsa_I0</f>
        <v>254.28400000000002</v>
      </c>
      <c r="D96" s="415">
        <f>0.42804*rsa_I0</f>
        <v>272.10930839999997</v>
      </c>
      <c r="E96" s="173">
        <f t="shared" si="0"/>
        <v>0.4</v>
      </c>
      <c r="F96" s="173">
        <f t="shared" si="0"/>
        <v>0.4</v>
      </c>
      <c r="G96" s="33">
        <f t="shared" si="1"/>
        <v>17.825308399999955</v>
      </c>
    </row>
    <row r="98" spans="1:8" s="12" customFormat="1" thickBot="1" x14ac:dyDescent="0.3">
      <c r="A98" s="54" t="s">
        <v>202</v>
      </c>
      <c r="B98" s="418">
        <v>6</v>
      </c>
      <c r="C98" s="55"/>
      <c r="D98" s="55"/>
      <c r="E98" s="44"/>
    </row>
    <row r="99" spans="1:8" s="12" customFormat="1" ht="15.5" x14ac:dyDescent="0.25">
      <c r="A99" s="22"/>
      <c r="B99" s="28"/>
      <c r="C99" s="28"/>
      <c r="D99" s="28"/>
    </row>
    <row r="100" spans="1:8" s="12" customFormat="1" ht="16.5" customHeight="1" thickBot="1" x14ac:dyDescent="0.3">
      <c r="A100" s="42" t="s">
        <v>161</v>
      </c>
      <c r="B100" s="13"/>
      <c r="E100" s="10"/>
    </row>
    <row r="101" spans="1:8" s="12" customFormat="1" ht="17.25" customHeight="1" x14ac:dyDescent="0.25">
      <c r="A101" s="43" t="s">
        <v>14</v>
      </c>
      <c r="B101" s="409">
        <f>12%*pa_forf_I0</f>
        <v>74.715599999999995</v>
      </c>
      <c r="D101" s="44"/>
      <c r="E101" s="88"/>
    </row>
    <row r="102" spans="1:8" s="12" customFormat="1" ht="17.25" customHeight="1" x14ac:dyDescent="0.25">
      <c r="A102" s="45" t="s">
        <v>15</v>
      </c>
      <c r="B102" s="410">
        <f>16%*pa_forf_c0</f>
        <v>149.43119999999999</v>
      </c>
      <c r="D102" s="44"/>
      <c r="E102" s="88"/>
    </row>
    <row r="103" spans="1:8" s="12" customFormat="1" ht="17.25" customHeight="1" thickBot="1" x14ac:dyDescent="0.3">
      <c r="A103" s="46" t="s">
        <v>16</v>
      </c>
      <c r="B103" s="361">
        <f>16.5%*pa_forf_c1</f>
        <v>184.92111</v>
      </c>
      <c r="D103" s="44"/>
      <c r="E103" s="88"/>
    </row>
    <row r="104" spans="1:8" s="12" customFormat="1" ht="31.5" customHeight="1" thickBot="1" x14ac:dyDescent="0.3">
      <c r="A104" s="42" t="s">
        <v>160</v>
      </c>
      <c r="B104" s="13"/>
      <c r="D104" s="13"/>
      <c r="E104" s="53"/>
    </row>
    <row r="105" spans="1:8" s="12" customFormat="1" thickBot="1" x14ac:dyDescent="0.3">
      <c r="A105" s="43" t="s">
        <v>17</v>
      </c>
      <c r="B105" s="50" t="s">
        <v>11</v>
      </c>
      <c r="C105" s="51" t="s">
        <v>12</v>
      </c>
      <c r="D105" s="52" t="s">
        <v>29</v>
      </c>
      <c r="E105" s="53"/>
      <c r="F105" s="10" t="s">
        <v>303</v>
      </c>
    </row>
    <row r="106" spans="1:8" s="12" customFormat="1" ht="15.5" x14ac:dyDescent="0.25">
      <c r="A106" s="45">
        <v>0</v>
      </c>
      <c r="B106" s="417">
        <v>622.63</v>
      </c>
      <c r="C106" s="405">
        <f>pa_forf_I0+0.5*pa_forf_I0</f>
        <v>933.94499999999994</v>
      </c>
      <c r="D106" s="416">
        <f>1.28412*pa_forf_I0</f>
        <v>799.53163559999996</v>
      </c>
      <c r="E106" s="44"/>
      <c r="F106" s="10" t="s">
        <v>304</v>
      </c>
    </row>
    <row r="107" spans="1:8" s="12" customFormat="1" ht="15.5" x14ac:dyDescent="0.25">
      <c r="A107" s="45">
        <v>1</v>
      </c>
      <c r="B107" s="405">
        <f>pa_forf_I0+0.5*pa_forf_I0</f>
        <v>933.94499999999994</v>
      </c>
      <c r="C107" s="406">
        <f>pa_forf_c0+0.3*pa_forf_I0</f>
        <v>1120.7339999999999</v>
      </c>
      <c r="D107" s="414">
        <f>pa_forfm_I0+0.42804*pa_forf_I0</f>
        <v>1066.0421807999999</v>
      </c>
      <c r="E107" s="353"/>
      <c r="F107" s="165" t="s">
        <v>305</v>
      </c>
    </row>
    <row r="108" spans="1:8" s="12" customFormat="1" ht="18" customHeight="1" x14ac:dyDescent="0.25">
      <c r="A108" s="45">
        <v>2</v>
      </c>
      <c r="B108" s="405">
        <f>pa_forf_I1+0.3*pa_forf_I0</f>
        <v>1120.7339999999999</v>
      </c>
      <c r="C108" s="406">
        <f>pa_forf_c1+0.3*pa_forf_I0</f>
        <v>1307.5229999999999</v>
      </c>
      <c r="D108" s="414">
        <f>pa_forfm_I1+0.42804*pa_forf_I0</f>
        <v>1332.5527259999999</v>
      </c>
      <c r="E108" s="353"/>
      <c r="F108" s="166" t="s">
        <v>306</v>
      </c>
    </row>
    <row r="109" spans="1:8" s="12" customFormat="1" thickBot="1" x14ac:dyDescent="0.3">
      <c r="A109" s="46" t="s">
        <v>18</v>
      </c>
      <c r="B109" s="407">
        <f>0.4*pa_forf_I0</f>
        <v>249.05200000000002</v>
      </c>
      <c r="C109" s="408">
        <f>pa_sup_enf</f>
        <v>249.05200000000002</v>
      </c>
      <c r="D109" s="415">
        <f>0.42804*pa_forf_I0</f>
        <v>266.51054519999997</v>
      </c>
      <c r="E109" s="44"/>
    </row>
    <row r="110" spans="1:8" s="12" customFormat="1" thickBot="1" x14ac:dyDescent="0.3">
      <c r="A110" s="54" t="s">
        <v>89</v>
      </c>
      <c r="B110" s="419">
        <v>0.61</v>
      </c>
      <c r="C110" s="28"/>
      <c r="D110" s="28"/>
      <c r="F110" s="10"/>
    </row>
    <row r="111" spans="1:8" x14ac:dyDescent="0.25">
      <c r="F111" s="164"/>
      <c r="G111" s="8" t="s">
        <v>482</v>
      </c>
    </row>
    <row r="112" spans="1:8" s="12" customFormat="1" thickBot="1" x14ac:dyDescent="0.3">
      <c r="A112" s="42" t="s">
        <v>147</v>
      </c>
      <c r="C112" s="28"/>
      <c r="D112" s="422">
        <v>679.68</v>
      </c>
      <c r="E112" s="423">
        <v>1382.4</v>
      </c>
      <c r="F112" s="296" t="s">
        <v>480</v>
      </c>
      <c r="G112" s="173">
        <f>D112/smic</f>
        <v>0.48593694144562805</v>
      </c>
      <c r="H112" s="173">
        <f>E112/smic</f>
        <v>0.98834632158432834</v>
      </c>
    </row>
    <row r="113" spans="1:9" s="12" customFormat="1" thickBot="1" x14ac:dyDescent="0.3">
      <c r="A113" s="56" t="s">
        <v>481</v>
      </c>
      <c r="B113" s="420">
        <v>0.5</v>
      </c>
      <c r="C113" s="28"/>
      <c r="D113" s="422">
        <v>664.93</v>
      </c>
      <c r="E113" s="423">
        <v>1352.4</v>
      </c>
      <c r="F113" s="142" t="s">
        <v>479</v>
      </c>
      <c r="G113" s="173">
        <f>D113/smic</f>
        <v>0.47539143490383923</v>
      </c>
      <c r="H113" s="173">
        <f>E113/smic</f>
        <v>0.96689783370272397</v>
      </c>
    </row>
    <row r="114" spans="1:9" s="12" customFormat="1" ht="15.5" x14ac:dyDescent="0.25">
      <c r="A114" s="57" t="s">
        <v>148</v>
      </c>
      <c r="B114" s="420">
        <v>1</v>
      </c>
      <c r="C114" s="28"/>
      <c r="D114" s="28"/>
    </row>
    <row r="115" spans="1:9" s="12" customFormat="1" thickBot="1" x14ac:dyDescent="0.3">
      <c r="A115" s="58" t="s">
        <v>149</v>
      </c>
      <c r="B115" s="421">
        <v>181.19</v>
      </c>
      <c r="C115" s="28"/>
      <c r="D115" s="28"/>
      <c r="F115" s="10"/>
    </row>
    <row r="116" spans="1:9" s="12" customFormat="1" ht="15.5" x14ac:dyDescent="0.25">
      <c r="A116" s="22"/>
      <c r="B116" s="55"/>
      <c r="C116" s="28"/>
      <c r="D116" s="28"/>
      <c r="F116" s="164"/>
    </row>
    <row r="117" spans="1:9" ht="16.5" thickBot="1" x14ac:dyDescent="0.3">
      <c r="A117" s="58" t="s">
        <v>202</v>
      </c>
      <c r="B117" s="421">
        <v>15</v>
      </c>
    </row>
    <row r="118" spans="1:9" s="12" customFormat="1" ht="15.5" x14ac:dyDescent="0.25">
      <c r="A118" s="22"/>
      <c r="B118" s="55"/>
      <c r="C118" s="28"/>
      <c r="D118" s="28"/>
      <c r="E118" s="49"/>
      <c r="F118" s="53"/>
    </row>
    <row r="119" spans="1:9" s="12" customFormat="1" ht="15.5" x14ac:dyDescent="0.25">
      <c r="A119" s="13"/>
    </row>
    <row r="120" spans="1:9" s="12" customFormat="1" thickBot="1" x14ac:dyDescent="0.3">
      <c r="A120" s="13" t="s">
        <v>46</v>
      </c>
      <c r="G120" s="12" t="s">
        <v>62</v>
      </c>
      <c r="H120" s="12" t="s">
        <v>60</v>
      </c>
      <c r="I120" s="12" t="s">
        <v>61</v>
      </c>
    </row>
    <row r="121" spans="1:9" s="12" customFormat="1" ht="15.5" x14ac:dyDescent="0.35">
      <c r="A121" s="61" t="s">
        <v>19</v>
      </c>
      <c r="B121" s="62"/>
      <c r="C121" s="62"/>
      <c r="D121" s="62"/>
      <c r="E121" s="63"/>
      <c r="F121" s="64"/>
      <c r="G121" s="362">
        <v>319.3</v>
      </c>
      <c r="H121" s="362">
        <v>278.27999999999997</v>
      </c>
      <c r="I121" s="362">
        <v>260.82</v>
      </c>
    </row>
    <row r="122" spans="1:9" s="12" customFormat="1" ht="15.5" x14ac:dyDescent="0.35">
      <c r="A122" s="65" t="s">
        <v>20</v>
      </c>
      <c r="B122" s="66"/>
      <c r="C122" s="66"/>
      <c r="D122" s="66"/>
      <c r="E122" s="67"/>
      <c r="F122" s="68"/>
      <c r="G122" s="363">
        <v>385.09</v>
      </c>
      <c r="H122" s="363">
        <v>340.62</v>
      </c>
      <c r="I122" s="363">
        <v>316.17</v>
      </c>
    </row>
    <row r="123" spans="1:9" s="12" customFormat="1" ht="15.5" x14ac:dyDescent="0.35">
      <c r="A123" s="65" t="s">
        <v>21</v>
      </c>
      <c r="B123" s="66"/>
      <c r="C123" s="66"/>
      <c r="D123" s="66"/>
      <c r="E123" s="67"/>
      <c r="F123" s="68"/>
      <c r="G123" s="363">
        <v>435.24</v>
      </c>
      <c r="H123" s="363">
        <v>383.28</v>
      </c>
      <c r="I123" s="363">
        <v>354.51</v>
      </c>
    </row>
    <row r="124" spans="1:9" s="12" customFormat="1" thickBot="1" x14ac:dyDescent="0.4">
      <c r="A124" s="69" t="s">
        <v>22</v>
      </c>
      <c r="B124" s="70"/>
      <c r="C124" s="70"/>
      <c r="D124" s="70"/>
      <c r="E124" s="71"/>
      <c r="F124" s="72"/>
      <c r="G124" s="364">
        <v>63.15</v>
      </c>
      <c r="H124" s="364">
        <v>55.79</v>
      </c>
      <c r="I124" s="364">
        <v>50.81</v>
      </c>
    </row>
    <row r="125" spans="1:9" s="12" customFormat="1" ht="15.5" x14ac:dyDescent="0.35">
      <c r="A125" s="61" t="s">
        <v>23</v>
      </c>
      <c r="B125" s="62"/>
      <c r="C125" s="62"/>
      <c r="D125" s="62"/>
      <c r="E125" s="63"/>
      <c r="F125" s="64"/>
      <c r="G125" s="502">
        <v>58.08</v>
      </c>
      <c r="H125" s="503"/>
      <c r="I125" s="504"/>
    </row>
    <row r="126" spans="1:9" s="12" customFormat="1" ht="15.5" x14ac:dyDescent="0.35">
      <c r="A126" s="65" t="s">
        <v>24</v>
      </c>
      <c r="B126" s="66"/>
      <c r="C126" s="66"/>
      <c r="D126" s="66"/>
      <c r="E126" s="67"/>
      <c r="F126" s="68"/>
      <c r="G126" s="505">
        <v>71.25</v>
      </c>
      <c r="H126" s="506"/>
      <c r="I126" s="507"/>
    </row>
    <row r="127" spans="1:9" s="12" customFormat="1" thickBot="1" x14ac:dyDescent="0.4">
      <c r="A127" s="69" t="s">
        <v>25</v>
      </c>
      <c r="B127" s="70"/>
      <c r="C127" s="70"/>
      <c r="D127" s="70"/>
      <c r="E127" s="71"/>
      <c r="F127" s="72"/>
      <c r="G127" s="508">
        <v>13.17</v>
      </c>
      <c r="H127" s="509"/>
      <c r="I127" s="510"/>
    </row>
    <row r="128" spans="1:9" s="12" customFormat="1" ht="15.5" x14ac:dyDescent="0.35">
      <c r="A128" s="61" t="s">
        <v>176</v>
      </c>
      <c r="B128" s="62"/>
      <c r="C128" s="62"/>
      <c r="D128" s="62"/>
      <c r="E128" s="63"/>
      <c r="F128" s="64"/>
      <c r="G128" s="91"/>
      <c r="H128" s="368">
        <v>5186</v>
      </c>
      <c r="I128" s="92"/>
    </row>
    <row r="129" spans="1:9" s="12" customFormat="1" ht="15.5" x14ac:dyDescent="0.35">
      <c r="A129" s="65" t="s">
        <v>177</v>
      </c>
      <c r="B129" s="66"/>
      <c r="C129" s="66"/>
      <c r="D129" s="66"/>
      <c r="E129" s="67"/>
      <c r="F129" s="68"/>
      <c r="G129" s="93"/>
      <c r="H129" s="369">
        <v>7430</v>
      </c>
      <c r="I129" s="94"/>
    </row>
    <row r="130" spans="1:9" s="12" customFormat="1" ht="15.5" x14ac:dyDescent="0.35">
      <c r="A130" s="65" t="s">
        <v>178</v>
      </c>
      <c r="B130" s="66"/>
      <c r="C130" s="66"/>
      <c r="D130" s="66"/>
      <c r="E130" s="67"/>
      <c r="F130" s="68"/>
      <c r="G130" s="93"/>
      <c r="H130" s="369">
        <v>8862</v>
      </c>
      <c r="I130" s="94"/>
    </row>
    <row r="131" spans="1:9" s="12" customFormat="1" ht="15.5" x14ac:dyDescent="0.35">
      <c r="A131" s="65" t="s">
        <v>179</v>
      </c>
      <c r="B131" s="66"/>
      <c r="C131" s="66"/>
      <c r="D131" s="66"/>
      <c r="E131" s="67"/>
      <c r="F131" s="68"/>
      <c r="G131" s="93"/>
      <c r="H131" s="369">
        <v>9061</v>
      </c>
      <c r="I131" s="94"/>
    </row>
    <row r="132" spans="1:9" s="12" customFormat="1" ht="15.5" x14ac:dyDescent="0.35">
      <c r="A132" s="65" t="s">
        <v>180</v>
      </c>
      <c r="B132" s="66"/>
      <c r="C132" s="66"/>
      <c r="D132" s="66"/>
      <c r="E132" s="67"/>
      <c r="F132" s="68"/>
      <c r="G132" s="93"/>
      <c r="H132" s="369">
        <v>9408</v>
      </c>
      <c r="I132" s="94"/>
    </row>
    <row r="133" spans="1:9" s="12" customFormat="1" ht="15.5" x14ac:dyDescent="0.35">
      <c r="A133" s="65" t="s">
        <v>181</v>
      </c>
      <c r="B133" s="66"/>
      <c r="C133" s="66"/>
      <c r="D133" s="66"/>
      <c r="E133" s="67"/>
      <c r="F133" s="68"/>
      <c r="G133" s="93"/>
      <c r="H133" s="369">
        <v>9758</v>
      </c>
      <c r="I133" s="94"/>
    </row>
    <row r="134" spans="1:9" s="12" customFormat="1" ht="15.5" x14ac:dyDescent="0.35">
      <c r="A134" s="65" t="s">
        <v>182</v>
      </c>
      <c r="B134" s="66"/>
      <c r="C134" s="66"/>
      <c r="D134" s="66"/>
      <c r="E134" s="67"/>
      <c r="F134" s="68"/>
      <c r="G134" s="93"/>
      <c r="H134" s="369">
        <v>10105</v>
      </c>
      <c r="I134" s="94"/>
    </row>
    <row r="135" spans="1:9" s="12" customFormat="1" ht="15.5" x14ac:dyDescent="0.35">
      <c r="A135" s="65" t="s">
        <v>183</v>
      </c>
      <c r="B135" s="66"/>
      <c r="C135" s="66"/>
      <c r="D135" s="66"/>
      <c r="E135" s="67"/>
      <c r="F135" s="68"/>
      <c r="G135" s="93"/>
      <c r="H135" s="369">
        <v>10454</v>
      </c>
      <c r="I135" s="94"/>
    </row>
    <row r="136" spans="1:9" s="12" customFormat="1" ht="18" customHeight="1" thickBot="1" x14ac:dyDescent="0.4">
      <c r="A136" s="69" t="s">
        <v>184</v>
      </c>
      <c r="B136" s="70"/>
      <c r="C136" s="70"/>
      <c r="D136" s="70"/>
      <c r="E136" s="71"/>
      <c r="F136" s="72"/>
      <c r="G136" s="95"/>
      <c r="H136" s="370">
        <v>343</v>
      </c>
      <c r="I136" s="96"/>
    </row>
    <row r="137" spans="1:9" s="12" customFormat="1" thickBot="1" x14ac:dyDescent="0.4">
      <c r="A137" s="73" t="s">
        <v>77</v>
      </c>
      <c r="B137" s="74"/>
      <c r="C137" s="74"/>
      <c r="D137" s="74"/>
      <c r="E137" s="75"/>
      <c r="F137" s="167"/>
      <c r="G137" s="488">
        <v>37.909999999999997</v>
      </c>
      <c r="H137" s="488"/>
      <c r="I137" s="488"/>
    </row>
    <row r="138" spans="1:9" s="12" customFormat="1" thickBot="1" x14ac:dyDescent="0.4">
      <c r="A138" s="73" t="s">
        <v>76</v>
      </c>
      <c r="B138" s="74"/>
      <c r="C138" s="74"/>
      <c r="D138" s="74"/>
      <c r="E138" s="75"/>
      <c r="F138" s="76"/>
      <c r="G138" s="492">
        <v>8.5000000000000006E-2</v>
      </c>
      <c r="H138" s="493"/>
      <c r="I138" s="494"/>
    </row>
    <row r="139" spans="1:9" s="12" customFormat="1" ht="16.899999999999999" customHeight="1" x14ac:dyDescent="0.35">
      <c r="A139" s="61" t="s">
        <v>185</v>
      </c>
      <c r="B139" s="62"/>
      <c r="C139" s="62"/>
      <c r="D139" s="62"/>
      <c r="E139" s="63"/>
      <c r="F139" s="64"/>
      <c r="G139" s="495">
        <v>2.8299999999999999E-2</v>
      </c>
      <c r="H139" s="496"/>
      <c r="I139" s="497"/>
    </row>
    <row r="140" spans="1:9" s="12" customFormat="1" ht="15.5" x14ac:dyDescent="0.35">
      <c r="A140" s="65" t="s">
        <v>186</v>
      </c>
      <c r="B140" s="66"/>
      <c r="C140" s="66"/>
      <c r="D140" s="66"/>
      <c r="E140" s="67"/>
      <c r="F140" s="68"/>
      <c r="G140" s="489">
        <v>3.15E-2</v>
      </c>
      <c r="H140" s="490"/>
      <c r="I140" s="491"/>
    </row>
    <row r="141" spans="1:9" s="12" customFormat="1" ht="15.5" x14ac:dyDescent="0.35">
      <c r="A141" s="65" t="s">
        <v>187</v>
      </c>
      <c r="B141" s="66"/>
      <c r="C141" s="66"/>
      <c r="D141" s="66"/>
      <c r="E141" s="67"/>
      <c r="F141" s="68"/>
      <c r="G141" s="489">
        <v>2.7E-2</v>
      </c>
      <c r="H141" s="490"/>
      <c r="I141" s="491"/>
    </row>
    <row r="142" spans="1:9" s="12" customFormat="1" ht="15.5" x14ac:dyDescent="0.35">
      <c r="A142" s="65" t="s">
        <v>188</v>
      </c>
      <c r="B142" s="66"/>
      <c r="C142" s="66"/>
      <c r="D142" s="66"/>
      <c r="E142" s="67"/>
      <c r="F142" s="68"/>
      <c r="G142" s="489">
        <v>2.3800000000000002E-2</v>
      </c>
      <c r="H142" s="490"/>
      <c r="I142" s="491"/>
    </row>
    <row r="143" spans="1:9" s="12" customFormat="1" ht="15.5" x14ac:dyDescent="0.35">
      <c r="A143" s="65" t="s">
        <v>189</v>
      </c>
      <c r="B143" s="66"/>
      <c r="C143" s="66"/>
      <c r="D143" s="66"/>
      <c r="E143" s="67"/>
      <c r="F143" s="68"/>
      <c r="G143" s="489">
        <v>2.01E-2</v>
      </c>
      <c r="H143" s="490"/>
      <c r="I143" s="491"/>
    </row>
    <row r="144" spans="1:9" s="12" customFormat="1" ht="15.5" x14ac:dyDescent="0.35">
      <c r="A144" s="65" t="s">
        <v>190</v>
      </c>
      <c r="B144" s="66"/>
      <c r="C144" s="66"/>
      <c r="D144" s="66"/>
      <c r="E144" s="67"/>
      <c r="F144" s="68"/>
      <c r="G144" s="489">
        <v>1.8499999999999999E-2</v>
      </c>
      <c r="H144" s="490"/>
      <c r="I144" s="491"/>
    </row>
    <row r="145" spans="1:9" s="12" customFormat="1" thickBot="1" x14ac:dyDescent="0.4">
      <c r="A145" s="69" t="s">
        <v>191</v>
      </c>
      <c r="B145" s="70"/>
      <c r="C145" s="70"/>
      <c r="D145" s="70"/>
      <c r="E145" s="71"/>
      <c r="F145" s="72"/>
      <c r="G145" s="498">
        <v>-5.9999999999999995E-4</v>
      </c>
      <c r="H145" s="499"/>
      <c r="I145" s="500"/>
    </row>
    <row r="146" spans="1:9" s="12" customFormat="1" ht="15.5" x14ac:dyDescent="0.35">
      <c r="A146" s="61" t="s">
        <v>203</v>
      </c>
      <c r="B146" s="62"/>
      <c r="C146" s="62"/>
      <c r="D146" s="62"/>
      <c r="E146" s="63"/>
      <c r="F146" s="64"/>
      <c r="G146" s="376">
        <f>(0.45*0.3+0.68*(G$121/$H$121-0.75))/100</f>
        <v>4.0523573379330187E-3</v>
      </c>
      <c r="H146" s="376">
        <f>(0.45*0.3+0.68*(H$121/$H$121-0.75))/100</f>
        <v>3.0500000000000006E-3</v>
      </c>
      <c r="I146" s="376">
        <f>(0.45*0.3+0.68*(I$121/$H$121-0.75))/100</f>
        <v>2.6233505821474778E-3</v>
      </c>
    </row>
    <row r="147" spans="1:9" s="12" customFormat="1" thickBot="1" x14ac:dyDescent="0.4">
      <c r="A147" s="69" t="s">
        <v>311</v>
      </c>
      <c r="B147" s="70"/>
      <c r="C147" s="70"/>
      <c r="D147" s="70"/>
      <c r="E147" s="71"/>
      <c r="F147" s="71"/>
      <c r="G147" s="365">
        <v>3.4</v>
      </c>
      <c r="H147" s="366">
        <v>2.5</v>
      </c>
      <c r="I147" s="367">
        <v>2.5</v>
      </c>
    </row>
    <row r="148" spans="1:9" s="12" customFormat="1" thickBot="1" x14ac:dyDescent="0.4">
      <c r="A148" s="69" t="s">
        <v>312</v>
      </c>
      <c r="B148" s="70"/>
      <c r="C148" s="70"/>
      <c r="D148" s="70"/>
      <c r="E148" s="71"/>
      <c r="F148" s="71"/>
      <c r="G148" s="365">
        <v>4</v>
      </c>
      <c r="H148" s="366">
        <v>3.1</v>
      </c>
      <c r="I148" s="367">
        <v>3.1</v>
      </c>
    </row>
    <row r="149" spans="1:9" s="12" customFormat="1" thickBot="1" x14ac:dyDescent="0.4">
      <c r="A149" s="69" t="s">
        <v>204</v>
      </c>
      <c r="B149" s="70"/>
      <c r="C149" s="70"/>
      <c r="D149" s="70"/>
      <c r="E149" s="71"/>
      <c r="F149" s="71"/>
      <c r="G149" s="153"/>
      <c r="H149" s="375">
        <v>5</v>
      </c>
      <c r="I149" s="154"/>
    </row>
    <row r="150" spans="1:9" s="12" customFormat="1" thickBot="1" x14ac:dyDescent="0.4">
      <c r="A150" s="69" t="s">
        <v>26</v>
      </c>
      <c r="B150" s="70"/>
      <c r="C150" s="70"/>
      <c r="D150" s="70"/>
      <c r="E150" s="71"/>
      <c r="F150" s="71"/>
      <c r="G150" s="153"/>
      <c r="H150" s="375">
        <v>10</v>
      </c>
      <c r="I150" s="154"/>
    </row>
    <row r="151" spans="1:9" s="12" customFormat="1" ht="15.5" x14ac:dyDescent="0.25">
      <c r="A151" s="13"/>
    </row>
    <row r="152" spans="1:9" s="15" customFormat="1" ht="15.5" x14ac:dyDescent="0.25">
      <c r="A152" s="14" t="s">
        <v>165</v>
      </c>
    </row>
    <row r="153" spans="1:9" s="12" customFormat="1" ht="15.5" x14ac:dyDescent="0.25">
      <c r="A153" s="13"/>
    </row>
    <row r="154" spans="1:9" s="12" customFormat="1" thickBot="1" x14ac:dyDescent="0.3">
      <c r="A154" s="174" t="s">
        <v>506</v>
      </c>
      <c r="B154" s="372" t="s">
        <v>502</v>
      </c>
      <c r="C154" s="450"/>
      <c r="D154" s="450"/>
      <c r="E154" s="450"/>
      <c r="F154" s="450"/>
      <c r="G154" s="450"/>
    </row>
    <row r="155" spans="1:9" s="12" customFormat="1" ht="15.5" x14ac:dyDescent="0.35">
      <c r="A155" s="77" t="s">
        <v>30</v>
      </c>
      <c r="B155" s="78"/>
      <c r="C155" s="78"/>
      <c r="D155" s="78"/>
      <c r="E155" s="78"/>
      <c r="F155" s="78"/>
      <c r="G155" s="106">
        <v>11294</v>
      </c>
      <c r="H155" s="171"/>
      <c r="I155" s="172"/>
    </row>
    <row r="156" spans="1:9" s="12" customFormat="1" ht="15.5" x14ac:dyDescent="0.35">
      <c r="A156" s="80" t="s">
        <v>31</v>
      </c>
      <c r="G156" s="107">
        <v>28797</v>
      </c>
      <c r="H156" s="128"/>
      <c r="I156" s="13"/>
    </row>
    <row r="157" spans="1:9" s="12" customFormat="1" ht="15.5" x14ac:dyDescent="0.35">
      <c r="A157" s="80" t="s">
        <v>32</v>
      </c>
      <c r="G157" s="107">
        <v>82341</v>
      </c>
      <c r="H157" s="13"/>
      <c r="I157" s="13"/>
    </row>
    <row r="158" spans="1:9" s="12" customFormat="1" ht="15.5" x14ac:dyDescent="0.35">
      <c r="A158" s="80" t="s">
        <v>33</v>
      </c>
      <c r="G158" s="107">
        <v>177106</v>
      </c>
      <c r="H158" s="128"/>
      <c r="I158" s="13"/>
    </row>
    <row r="159" spans="1:9" s="12" customFormat="1" ht="15.5" x14ac:dyDescent="0.35">
      <c r="A159" s="80" t="s">
        <v>34</v>
      </c>
      <c r="G159" s="108">
        <v>0.11</v>
      </c>
      <c r="H159" s="13"/>
      <c r="I159" s="13"/>
    </row>
    <row r="160" spans="1:9" s="12" customFormat="1" ht="15.5" x14ac:dyDescent="0.35">
      <c r="A160" s="80" t="s">
        <v>35</v>
      </c>
      <c r="G160" s="108">
        <v>0.3</v>
      </c>
      <c r="H160" s="128"/>
      <c r="I160" s="13"/>
    </row>
    <row r="161" spans="1:8" s="12" customFormat="1" ht="15.5" x14ac:dyDescent="0.35">
      <c r="A161" s="80" t="s">
        <v>36</v>
      </c>
      <c r="G161" s="108">
        <v>0.41</v>
      </c>
      <c r="H161" s="128"/>
    </row>
    <row r="162" spans="1:8" s="12" customFormat="1" ht="15.5" x14ac:dyDescent="0.35">
      <c r="A162" s="80" t="s">
        <v>37</v>
      </c>
      <c r="G162" s="108">
        <v>0.45</v>
      </c>
      <c r="H162" s="128"/>
    </row>
    <row r="163" spans="1:8" s="12" customFormat="1" ht="15.5" x14ac:dyDescent="0.35">
      <c r="A163" s="41" t="s">
        <v>45</v>
      </c>
      <c r="G163" s="109">
        <f>irpp_taux1*irpp_seuil1</f>
        <v>1242.3399999999999</v>
      </c>
      <c r="H163" s="128"/>
    </row>
    <row r="164" spans="1:8" s="12" customFormat="1" ht="15.5" x14ac:dyDescent="0.35">
      <c r="A164" s="80" t="s">
        <v>42</v>
      </c>
      <c r="G164" s="109">
        <f>(irpp_taux2-irpp_taux1)*irpp_seuil2+G163</f>
        <v>6713.77</v>
      </c>
      <c r="H164" s="128"/>
    </row>
    <row r="165" spans="1:8" s="12" customFormat="1" ht="15.5" x14ac:dyDescent="0.35">
      <c r="A165" s="80" t="s">
        <v>43</v>
      </c>
      <c r="G165" s="109">
        <f>(irpp_taux3-irpp_taux2)*irpp_seuil3+G164</f>
        <v>15771.279999999999</v>
      </c>
      <c r="H165" s="128"/>
    </row>
    <row r="166" spans="1:8" s="12" customFormat="1" ht="15.5" x14ac:dyDescent="0.35">
      <c r="A166" s="80" t="s">
        <v>44</v>
      </c>
      <c r="G166" s="109">
        <f>(irpp_taux4-irpp_taux3)*irpp_seuil4+G165</f>
        <v>22855.520000000004</v>
      </c>
      <c r="H166" s="128"/>
    </row>
    <row r="167" spans="1:8" s="12" customFormat="1" ht="15.5" x14ac:dyDescent="0.35">
      <c r="A167" s="155" t="s">
        <v>166</v>
      </c>
      <c r="B167" s="156"/>
      <c r="C167" s="156"/>
      <c r="D167" s="156"/>
      <c r="E167" s="156"/>
      <c r="F167" s="157"/>
      <c r="G167" s="113">
        <v>250000</v>
      </c>
      <c r="H167" s="128"/>
    </row>
    <row r="168" spans="1:8" s="12" customFormat="1" ht="15.5" x14ac:dyDescent="0.35">
      <c r="A168" s="155" t="s">
        <v>167</v>
      </c>
      <c r="B168" s="156"/>
      <c r="C168" s="156"/>
      <c r="D168" s="156"/>
      <c r="E168" s="156"/>
      <c r="F168" s="157"/>
      <c r="G168" s="113">
        <v>500000</v>
      </c>
    </row>
    <row r="169" spans="1:8" s="12" customFormat="1" ht="15.5" x14ac:dyDescent="0.35">
      <c r="A169" s="155" t="s">
        <v>168</v>
      </c>
      <c r="B169" s="156"/>
      <c r="C169" s="156"/>
      <c r="D169" s="156"/>
      <c r="E169" s="156"/>
      <c r="F169" s="157"/>
      <c r="G169" s="114">
        <v>0.03</v>
      </c>
      <c r="H169" s="128"/>
    </row>
    <row r="170" spans="1:8" s="12" customFormat="1" thickBot="1" x14ac:dyDescent="0.4">
      <c r="A170" s="158" t="s">
        <v>169</v>
      </c>
      <c r="B170" s="159"/>
      <c r="C170" s="159"/>
      <c r="D170" s="159"/>
      <c r="E170" s="159"/>
      <c r="F170" s="160"/>
      <c r="G170" s="115">
        <v>0.04</v>
      </c>
      <c r="H170" s="128"/>
    </row>
    <row r="171" spans="1:8" s="12" customFormat="1" ht="15.5" x14ac:dyDescent="0.35">
      <c r="A171" s="80" t="s">
        <v>78</v>
      </c>
      <c r="G171" s="108">
        <v>0.1</v>
      </c>
      <c r="H171" s="128"/>
    </row>
    <row r="172" spans="1:8" s="12" customFormat="1" ht="15.5" x14ac:dyDescent="0.35">
      <c r="A172" s="80" t="s">
        <v>38</v>
      </c>
      <c r="G172" s="110">
        <v>14171</v>
      </c>
      <c r="H172" s="128"/>
    </row>
    <row r="173" spans="1:8" s="12" customFormat="1" ht="15.5" x14ac:dyDescent="0.35">
      <c r="A173" s="80" t="s">
        <v>39</v>
      </c>
      <c r="G173" s="110">
        <v>495</v>
      </c>
      <c r="H173" s="79"/>
    </row>
    <row r="174" spans="1:8" s="12" customFormat="1" ht="15.5" x14ac:dyDescent="0.35">
      <c r="A174" s="80" t="s">
        <v>429</v>
      </c>
      <c r="G174" s="108">
        <v>0.1</v>
      </c>
      <c r="H174" s="128"/>
    </row>
    <row r="175" spans="1:8" s="12" customFormat="1" ht="15.5" x14ac:dyDescent="0.35">
      <c r="A175" s="80" t="s">
        <v>307</v>
      </c>
      <c r="G175" s="110">
        <v>4321</v>
      </c>
      <c r="H175" s="79"/>
    </row>
    <row r="176" spans="1:8" s="12" customFormat="1" ht="15.5" x14ac:dyDescent="0.35">
      <c r="A176" s="80" t="s">
        <v>308</v>
      </c>
      <c r="G176" s="110">
        <v>442</v>
      </c>
      <c r="H176" s="79"/>
    </row>
    <row r="177" spans="1:8" s="12" customFormat="1" ht="15.5" x14ac:dyDescent="0.35">
      <c r="A177" s="80" t="s">
        <v>40</v>
      </c>
      <c r="G177" s="110">
        <v>4149</v>
      </c>
      <c r="H177" s="79"/>
    </row>
    <row r="178" spans="1:8" s="12" customFormat="1" ht="15.5" x14ac:dyDescent="0.35">
      <c r="A178" s="80" t="s">
        <v>79</v>
      </c>
      <c r="G178" s="110">
        <v>1759</v>
      </c>
      <c r="H178" s="128"/>
    </row>
    <row r="179" spans="1:8" s="12" customFormat="1" ht="15.5" x14ac:dyDescent="0.35">
      <c r="A179" s="80" t="s">
        <v>80</v>
      </c>
      <c r="G179" s="112">
        <v>0.45250000000000001</v>
      </c>
      <c r="H179" s="128"/>
    </row>
    <row r="180" spans="1:8" s="12" customFormat="1" ht="15.5" x14ac:dyDescent="0.35">
      <c r="A180" s="80" t="s">
        <v>41</v>
      </c>
      <c r="G180" s="111">
        <v>1929</v>
      </c>
      <c r="H180" s="128"/>
    </row>
    <row r="181" spans="1:8" s="12" customFormat="1" ht="15.5" x14ac:dyDescent="0.35">
      <c r="A181" s="80" t="s">
        <v>139</v>
      </c>
      <c r="G181" s="111">
        <v>3191</v>
      </c>
      <c r="H181" s="79"/>
    </row>
    <row r="182" spans="1:8" s="12" customFormat="1" ht="15.5" x14ac:dyDescent="0.35">
      <c r="A182" s="80" t="s">
        <v>95</v>
      </c>
      <c r="G182" s="110">
        <v>61</v>
      </c>
      <c r="H182" s="79"/>
    </row>
    <row r="183" spans="1:8" s="12" customFormat="1" ht="15.5" x14ac:dyDescent="0.35">
      <c r="A183" s="80" t="s">
        <v>96</v>
      </c>
      <c r="G183" s="110">
        <v>153</v>
      </c>
      <c r="H183" s="79"/>
    </row>
    <row r="184" spans="1:8" s="12" customFormat="1" ht="15.5" x14ac:dyDescent="0.35">
      <c r="A184" s="80" t="s">
        <v>97</v>
      </c>
      <c r="G184" s="110">
        <v>183</v>
      </c>
      <c r="H184" s="79"/>
    </row>
    <row r="185" spans="1:8" s="12" customFormat="1" ht="15.5" x14ac:dyDescent="0.35">
      <c r="A185" s="80" t="s">
        <v>295</v>
      </c>
      <c r="G185" s="149">
        <v>0.5</v>
      </c>
    </row>
    <row r="186" spans="1:8" s="12" customFormat="1" ht="15.5" x14ac:dyDescent="0.35">
      <c r="A186" s="80" t="s">
        <v>296</v>
      </c>
      <c r="G186" s="110">
        <v>3500</v>
      </c>
      <c r="H186" s="10" t="s">
        <v>517</v>
      </c>
    </row>
    <row r="187" spans="1:8" s="12" customFormat="1" ht="15.5" x14ac:dyDescent="0.35">
      <c r="A187" s="80" t="s">
        <v>297</v>
      </c>
      <c r="G187" s="149">
        <v>0.5</v>
      </c>
    </row>
    <row r="188" spans="1:8" s="12" customFormat="1" ht="15.5" x14ac:dyDescent="0.35">
      <c r="A188" s="80" t="s">
        <v>298</v>
      </c>
      <c r="G188" s="110">
        <v>12000</v>
      </c>
      <c r="H188" s="10" t="s">
        <v>503</v>
      </c>
    </row>
    <row r="189" spans="1:8" s="12" customFormat="1" ht="15.5" x14ac:dyDescent="0.35">
      <c r="A189" s="80" t="s">
        <v>299</v>
      </c>
      <c r="G189" s="110">
        <v>1500</v>
      </c>
    </row>
    <row r="190" spans="1:8" s="12" customFormat="1" ht="15.5" x14ac:dyDescent="0.35">
      <c r="A190" s="80" t="s">
        <v>300</v>
      </c>
      <c r="G190" s="110">
        <v>15000</v>
      </c>
    </row>
    <row r="193" spans="1:6" s="15" customFormat="1" ht="15.5" x14ac:dyDescent="0.25">
      <c r="A193" s="59" t="s">
        <v>251</v>
      </c>
      <c r="B193" s="140"/>
      <c r="C193" s="141"/>
      <c r="D193" s="141"/>
    </row>
    <row r="194" spans="1:6" s="12" customFormat="1" ht="15.5" x14ac:dyDescent="0.25">
      <c r="A194" s="13"/>
      <c r="B194" s="138"/>
      <c r="C194" s="32"/>
      <c r="D194" s="32"/>
    </row>
    <row r="195" spans="1:6" s="25" customFormat="1" ht="15.5" x14ac:dyDescent="0.25">
      <c r="A195" s="59" t="s">
        <v>252</v>
      </c>
      <c r="B195" s="140" t="s">
        <v>529</v>
      </c>
      <c r="C195" s="32"/>
      <c r="D195" s="13" t="s">
        <v>528</v>
      </c>
      <c r="E195" s="143" t="s">
        <v>254</v>
      </c>
      <c r="F195" s="143" t="s">
        <v>255</v>
      </c>
    </row>
    <row r="196" spans="1:6" s="25" customFormat="1" ht="15.5" x14ac:dyDescent="0.25">
      <c r="A196" s="134" t="s">
        <v>253</v>
      </c>
      <c r="B196" s="454">
        <v>3.91</v>
      </c>
      <c r="C196" s="32"/>
      <c r="D196" s="33">
        <v>3.96</v>
      </c>
      <c r="E196" s="168">
        <v>0.21880250000000001</v>
      </c>
      <c r="F196" s="168">
        <v>0.43386000000000002</v>
      </c>
    </row>
    <row r="197" spans="1:6" s="25" customFormat="1" ht="15.5" x14ac:dyDescent="0.25">
      <c r="A197" s="134" t="s">
        <v>256</v>
      </c>
      <c r="B197" s="454">
        <f>0.461*9</f>
        <v>4.149</v>
      </c>
      <c r="C197" s="32"/>
      <c r="D197" s="142"/>
    </row>
    <row r="198" spans="1:6" s="25" customFormat="1" ht="15.5" x14ac:dyDescent="0.25">
      <c r="A198" s="134" t="s">
        <v>257</v>
      </c>
      <c r="B198" s="454">
        <v>2.65</v>
      </c>
      <c r="C198" s="32"/>
      <c r="D198" s="32"/>
      <c r="E198" s="12"/>
      <c r="F198" s="12"/>
    </row>
    <row r="199" spans="1:6" s="25" customFormat="1" ht="15.5" x14ac:dyDescent="0.25">
      <c r="A199" s="134" t="s">
        <v>258</v>
      </c>
      <c r="B199" s="455">
        <f>0.422*9</f>
        <v>3.798</v>
      </c>
      <c r="C199" s="32"/>
      <c r="D199" s="32"/>
      <c r="E199" s="12"/>
      <c r="F199" s="12"/>
    </row>
    <row r="200" spans="1:6" s="25" customFormat="1" ht="15.5" x14ac:dyDescent="0.25">
      <c r="A200" s="134" t="s">
        <v>259</v>
      </c>
      <c r="B200" s="454">
        <v>18</v>
      </c>
      <c r="C200" s="32"/>
      <c r="D200" s="32"/>
      <c r="E200" s="12"/>
      <c r="F200" s="12"/>
    </row>
    <row r="201" spans="1:6" s="25" customFormat="1" ht="15.5" x14ac:dyDescent="0.25">
      <c r="A201" s="134" t="s">
        <v>260</v>
      </c>
      <c r="B201" s="454">
        <v>9</v>
      </c>
      <c r="C201" s="32"/>
      <c r="D201" s="32"/>
      <c r="E201" s="12"/>
      <c r="F201" s="12"/>
    </row>
    <row r="202" spans="1:6" s="25" customFormat="1" ht="15.5" x14ac:dyDescent="0.25">
      <c r="A202" s="147" t="s">
        <v>261</v>
      </c>
      <c r="B202" s="135">
        <f>B200*B199</f>
        <v>68.364000000000004</v>
      </c>
      <c r="C202" s="32"/>
      <c r="D202" s="32"/>
      <c r="E202" s="12"/>
      <c r="F202" s="12"/>
    </row>
    <row r="203" spans="1:6" s="25" customFormat="1" ht="31" x14ac:dyDescent="0.25">
      <c r="A203" s="147" t="s">
        <v>263</v>
      </c>
      <c r="B203" s="135">
        <f>assmat_nb_jour*(assmat_nb_heures_par_jour*B$196+B$197+B$199)</f>
        <v>776.46600000000001</v>
      </c>
      <c r="C203" s="32"/>
      <c r="D203" s="150"/>
      <c r="E203" s="161"/>
      <c r="F203" s="161"/>
    </row>
    <row r="204" spans="1:6" s="25" customFormat="1" ht="31" x14ac:dyDescent="0.25">
      <c r="A204" s="147" t="s">
        <v>264</v>
      </c>
      <c r="B204" s="135">
        <f>assmat_nb_jour*(assmat_nb_heures_par_jour*B$196+B$198)</f>
        <v>681.11999999999989</v>
      </c>
      <c r="C204" s="32"/>
      <c r="D204" s="150"/>
      <c r="E204" s="161"/>
      <c r="F204" s="82"/>
    </row>
    <row r="205" spans="1:6" s="25" customFormat="1" ht="15.5" x14ac:dyDescent="0.25">
      <c r="A205" s="147" t="s">
        <v>265</v>
      </c>
      <c r="B205" s="135">
        <f>(taux_sal+taux_pat)*(B196*assmat_nb_jour*assmat_nb_heures_par_jour)/(1-taux_sal)</f>
        <v>529.19969757967738</v>
      </c>
      <c r="C205" s="32"/>
      <c r="D205" s="32"/>
      <c r="E205" s="161"/>
      <c r="F205" s="161"/>
    </row>
    <row r="206" spans="1:6" s="25" customFormat="1" ht="15.5" x14ac:dyDescent="0.25">
      <c r="A206" s="134" t="s">
        <v>262</v>
      </c>
      <c r="B206" s="135">
        <f>cmg_cout_net_assmat+cmg_cotis_assmat</f>
        <v>1305.6656975796773</v>
      </c>
      <c r="C206" s="12"/>
      <c r="D206" s="150"/>
      <c r="E206" s="161"/>
      <c r="F206" s="161"/>
    </row>
    <row r="207" spans="1:6" s="25" customFormat="1" ht="15.5" x14ac:dyDescent="0.25">
      <c r="A207" s="22"/>
      <c r="B207" s="148"/>
      <c r="C207" s="32"/>
      <c r="D207" s="32"/>
      <c r="E207" s="161"/>
      <c r="F207" s="161"/>
    </row>
    <row r="208" spans="1:6" s="25" customFormat="1" ht="23.5" customHeight="1" x14ac:dyDescent="0.25">
      <c r="A208" s="59" t="s">
        <v>266</v>
      </c>
      <c r="B208" s="140" t="s">
        <v>529</v>
      </c>
      <c r="C208" s="32"/>
      <c r="D208" s="13" t="s">
        <v>528</v>
      </c>
      <c r="E208" s="143" t="s">
        <v>254</v>
      </c>
      <c r="F208" s="143" t="s">
        <v>255</v>
      </c>
    </row>
    <row r="209" spans="1:6" s="25" customFormat="1" ht="19.5" customHeight="1" x14ac:dyDescent="0.25">
      <c r="A209" s="134" t="s">
        <v>267</v>
      </c>
      <c r="B209" s="454">
        <v>10</v>
      </c>
      <c r="C209" s="32"/>
      <c r="D209" s="33">
        <v>10.5</v>
      </c>
      <c r="E209" s="168">
        <v>0.21880250000000001</v>
      </c>
      <c r="F209" s="168">
        <v>0.44696000000000002</v>
      </c>
    </row>
    <row r="210" spans="1:6" s="25" customFormat="1" ht="15.5" x14ac:dyDescent="0.25">
      <c r="A210" s="134" t="s">
        <v>259</v>
      </c>
      <c r="B210" s="454">
        <v>18</v>
      </c>
      <c r="C210" s="32"/>
      <c r="D210" s="12"/>
      <c r="E210" s="12"/>
      <c r="F210" s="12"/>
    </row>
    <row r="211" spans="1:6" s="25" customFormat="1" ht="15.5" x14ac:dyDescent="0.25">
      <c r="A211" s="134" t="s">
        <v>268</v>
      </c>
      <c r="B211" s="454">
        <v>8</v>
      </c>
      <c r="C211" s="12"/>
      <c r="D211" s="12"/>
      <c r="E211" s="12"/>
      <c r="F211" s="12"/>
    </row>
    <row r="212" spans="1:6" s="25" customFormat="1" ht="15.5" x14ac:dyDescent="0.25">
      <c r="A212" s="134" t="s">
        <v>269</v>
      </c>
      <c r="B212" s="454">
        <v>1</v>
      </c>
      <c r="C212" s="12"/>
      <c r="D212" s="12"/>
      <c r="E212" s="12"/>
      <c r="F212" s="12"/>
    </row>
    <row r="213" spans="1:6" s="25" customFormat="1" ht="15.5" x14ac:dyDescent="0.25">
      <c r="A213" s="147" t="s">
        <v>270</v>
      </c>
      <c r="B213" s="454">
        <f>B209*B210*(B211+B212*2/3)</f>
        <v>1560</v>
      </c>
      <c r="C213" s="12"/>
      <c r="D213" s="12"/>
      <c r="E213" s="12"/>
      <c r="F213" s="12"/>
    </row>
    <row r="214" spans="1:6" s="25" customFormat="1" ht="15.5" x14ac:dyDescent="0.25">
      <c r="A214" s="147" t="s">
        <v>530</v>
      </c>
      <c r="B214" s="439">
        <f>2*CEILING(0.9*B210*(B211+B212*2/3),1)</f>
        <v>282</v>
      </c>
      <c r="C214" s="12"/>
      <c r="D214" s="12"/>
      <c r="E214" s="12"/>
      <c r="F214" s="12"/>
    </row>
    <row r="215" spans="1:6" s="25" customFormat="1" ht="15.5" x14ac:dyDescent="0.25">
      <c r="A215" s="147" t="s">
        <v>271</v>
      </c>
      <c r="B215" s="454">
        <f>(E209+F209)*(B209*B210*(B211+B212*2/3))/(1-E209)-B214</f>
        <v>1047.4839013181686</v>
      </c>
      <c r="C215" s="12"/>
      <c r="D215" s="12"/>
      <c r="E215" s="12"/>
      <c r="F215" s="12"/>
    </row>
    <row r="216" spans="1:6" s="25" customFormat="1" ht="15.5" x14ac:dyDescent="0.25">
      <c r="A216" s="147" t="s">
        <v>272</v>
      </c>
      <c r="B216" s="454">
        <f>cmg_cotis_gdom+cmg_cout_net_gdom</f>
        <v>2607.4839013181686</v>
      </c>
      <c r="E216" s="12"/>
      <c r="F216" s="12"/>
    </row>
    <row r="217" spans="1:6" s="25" customFormat="1" ht="15.5" x14ac:dyDescent="0.25">
      <c r="A217" s="12"/>
      <c r="B217" s="12"/>
      <c r="C217" s="12"/>
      <c r="D217" s="12"/>
      <c r="E217" s="12"/>
      <c r="F217" s="12"/>
    </row>
    <row r="218" spans="1:6" s="25" customFormat="1" ht="15.5" x14ac:dyDescent="0.25">
      <c r="A218" s="13"/>
      <c r="B218" s="33"/>
      <c r="C218" s="32"/>
      <c r="D218" s="32"/>
      <c r="E218" s="12"/>
      <c r="F218" s="12"/>
    </row>
    <row r="219" spans="1:6" s="25" customFormat="1" thickBot="1" x14ac:dyDescent="0.3">
      <c r="A219" s="59" t="s">
        <v>273</v>
      </c>
      <c r="B219" s="14"/>
      <c r="C219" s="32"/>
      <c r="D219" s="32"/>
      <c r="E219" s="12"/>
      <c r="F219" s="12"/>
    </row>
    <row r="220" spans="1:6" s="25" customFormat="1" ht="15.5" x14ac:dyDescent="0.25">
      <c r="A220" s="144" t="s">
        <v>274</v>
      </c>
      <c r="B220" s="144" t="s">
        <v>275</v>
      </c>
      <c r="C220" s="482" t="s">
        <v>276</v>
      </c>
      <c r="D220" s="483"/>
      <c r="E220" s="483"/>
      <c r="F220" s="484"/>
    </row>
    <row r="221" spans="1:6" s="25" customFormat="1" ht="15.5" x14ac:dyDescent="0.25">
      <c r="A221" s="134">
        <v>1</v>
      </c>
      <c r="B221" s="440">
        <v>6.1200000000000002E-4</v>
      </c>
      <c r="C221" s="169">
        <f>B221*B226*B227*B228</f>
        <v>1.1897280000000001</v>
      </c>
      <c r="D221" s="162"/>
      <c r="E221" s="162"/>
      <c r="F221" s="163"/>
    </row>
    <row r="222" spans="1:6" s="25" customFormat="1" ht="15.5" x14ac:dyDescent="0.25">
      <c r="A222" s="134">
        <v>2</v>
      </c>
      <c r="B222" s="440">
        <v>5.0299999999999997E-4</v>
      </c>
      <c r="C222" s="169">
        <f>B222*B226*B227*B228</f>
        <v>0.97783199999999992</v>
      </c>
      <c r="D222" s="162"/>
      <c r="E222" s="162"/>
      <c r="F222" s="163"/>
    </row>
    <row r="223" spans="1:6" s="25" customFormat="1" ht="15.5" x14ac:dyDescent="0.25">
      <c r="A223" s="134">
        <v>3</v>
      </c>
      <c r="B223" s="440">
        <v>4.1300000000000001E-4</v>
      </c>
      <c r="C223" s="169">
        <f>B223*B226*B227*B228</f>
        <v>0.80287200000000014</v>
      </c>
      <c r="D223" s="162"/>
      <c r="E223" s="162"/>
      <c r="F223" s="163"/>
    </row>
    <row r="224" spans="1:6" s="25" customFormat="1" ht="15.5" x14ac:dyDescent="0.25">
      <c r="A224" s="134" t="s">
        <v>277</v>
      </c>
      <c r="B224" s="440">
        <v>3.1E-4</v>
      </c>
      <c r="C224" s="169">
        <f>B224*B226*B227*B228</f>
        <v>0.60264000000000006</v>
      </c>
      <c r="D224" s="162"/>
      <c r="E224" s="162"/>
      <c r="F224" s="163"/>
    </row>
    <row r="226" spans="1:6" s="25" customFormat="1" ht="15.5" x14ac:dyDescent="0.25">
      <c r="A226" s="134" t="s">
        <v>278</v>
      </c>
      <c r="B226" s="170">
        <v>8.64</v>
      </c>
      <c r="C226" s="485"/>
      <c r="D226" s="486"/>
      <c r="E226" s="486"/>
      <c r="F226" s="487"/>
    </row>
    <row r="227" spans="1:6" s="25" customFormat="1" ht="15.5" x14ac:dyDescent="0.25">
      <c r="A227" s="134" t="s">
        <v>279</v>
      </c>
      <c r="B227" s="170">
        <v>5</v>
      </c>
      <c r="C227" s="485"/>
      <c r="D227" s="486"/>
      <c r="E227" s="486"/>
      <c r="F227" s="487"/>
    </row>
    <row r="228" spans="1:6" s="25" customFormat="1" ht="15.5" x14ac:dyDescent="0.25">
      <c r="A228" s="134" t="s">
        <v>280</v>
      </c>
      <c r="B228" s="170">
        <v>45</v>
      </c>
      <c r="C228" s="12"/>
      <c r="D228" s="12"/>
      <c r="E228" s="12"/>
      <c r="F228" s="12"/>
    </row>
    <row r="229" spans="1:6" s="25" customFormat="1" ht="15.5" x14ac:dyDescent="0.25">
      <c r="A229" s="134" t="s">
        <v>281</v>
      </c>
      <c r="B229" s="170">
        <v>765.77</v>
      </c>
      <c r="C229" s="12"/>
      <c r="D229" s="12"/>
      <c r="E229" s="13"/>
      <c r="F229" s="12"/>
    </row>
    <row r="230" spans="1:6" s="25" customFormat="1" ht="15.5" x14ac:dyDescent="0.25">
      <c r="A230" s="134" t="s">
        <v>282</v>
      </c>
      <c r="B230" s="170">
        <v>7000</v>
      </c>
      <c r="C230" s="12"/>
      <c r="D230" s="12"/>
      <c r="E230" s="13"/>
      <c r="F230" s="12"/>
    </row>
    <row r="231" spans="1:6" s="25" customFormat="1" ht="28.5" customHeight="1" x14ac:dyDescent="0.25">
      <c r="A231" s="145"/>
      <c r="B231" s="33"/>
      <c r="C231" s="12"/>
      <c r="D231" s="12"/>
      <c r="E231" s="13"/>
      <c r="F231" s="12"/>
    </row>
    <row r="232" spans="1:6" s="25" customFormat="1" ht="28.5" customHeight="1" x14ac:dyDescent="0.35">
      <c r="A232" s="146" t="s">
        <v>283</v>
      </c>
      <c r="B232" s="12"/>
      <c r="C232" s="12"/>
      <c r="D232" s="12"/>
      <c r="E232" s="12"/>
      <c r="F232" s="12"/>
    </row>
    <row r="233" spans="1:6" s="25" customFormat="1" ht="15.5" x14ac:dyDescent="0.35">
      <c r="A233" s="11" t="s">
        <v>284</v>
      </c>
      <c r="B233" s="12"/>
      <c r="C233" s="12"/>
      <c r="D233" s="12"/>
      <c r="E233" s="12"/>
      <c r="F233" s="12"/>
    </row>
    <row r="234" spans="1:6" s="25" customFormat="1" ht="15.5" x14ac:dyDescent="0.35">
      <c r="A234" s="11" t="s">
        <v>285</v>
      </c>
      <c r="B234" s="12"/>
      <c r="C234" s="12"/>
      <c r="D234" s="12"/>
      <c r="E234" s="12"/>
      <c r="F234" s="12"/>
    </row>
    <row r="235" spans="1:6" s="12" customFormat="1" ht="15.5" x14ac:dyDescent="0.35">
      <c r="A235" s="11" t="s">
        <v>286</v>
      </c>
    </row>
    <row r="236" spans="1:6" s="12" customFormat="1" ht="15.5" x14ac:dyDescent="0.35">
      <c r="A236" s="11" t="s">
        <v>287</v>
      </c>
    </row>
    <row r="239" spans="1:6" x14ac:dyDescent="0.25">
      <c r="A239" s="174" t="s">
        <v>459</v>
      </c>
      <c r="B239" s="12"/>
      <c r="C239" s="12"/>
      <c r="D239" s="12"/>
      <c r="E239" s="12"/>
      <c r="F239" s="12"/>
    </row>
    <row r="240" spans="1:6" x14ac:dyDescent="0.35">
      <c r="A240" s="175"/>
      <c r="B240" s="11" t="s">
        <v>315</v>
      </c>
      <c r="C240" s="11"/>
      <c r="D240" s="11"/>
      <c r="E240" s="11"/>
      <c r="F240" s="11"/>
    </row>
    <row r="241" spans="1:3" ht="31.5" thickBot="1" x14ac:dyDescent="0.4">
      <c r="A241" s="80" t="s">
        <v>320</v>
      </c>
      <c r="B241" s="176" t="s">
        <v>316</v>
      </c>
      <c r="C241" s="176" t="s">
        <v>317</v>
      </c>
    </row>
    <row r="242" spans="1:3" ht="16.5" thickBot="1" x14ac:dyDescent="0.3">
      <c r="A242" s="104">
        <f>3*165</f>
        <v>495</v>
      </c>
      <c r="B242" s="104">
        <v>3419</v>
      </c>
      <c r="C242" s="104">
        <f>4208-3419</f>
        <v>789</v>
      </c>
    </row>
    <row r="243" spans="1:3" ht="16.5" thickBot="1" x14ac:dyDescent="0.3">
      <c r="A243" s="104">
        <f>3*105</f>
        <v>315</v>
      </c>
      <c r="B243" s="104">
        <v>9691</v>
      </c>
      <c r="C243" s="104">
        <f>11928-9691</f>
        <v>2237</v>
      </c>
    </row>
    <row r="244" spans="1:3" ht="16.5" thickBot="1" x14ac:dyDescent="0.3">
      <c r="A244" s="104">
        <f>3*38</f>
        <v>114</v>
      </c>
      <c r="B244" s="104">
        <v>17927</v>
      </c>
      <c r="C244" s="104">
        <f>22064-17927</f>
        <v>4137</v>
      </c>
    </row>
    <row r="247" spans="1:3" x14ac:dyDescent="0.25">
      <c r="A247" s="174" t="s">
        <v>460</v>
      </c>
      <c r="B247" s="12"/>
      <c r="C247" s="12"/>
    </row>
    <row r="248" spans="1:3" x14ac:dyDescent="0.35">
      <c r="A248" s="175"/>
      <c r="B248" s="11"/>
      <c r="C248" s="11"/>
    </row>
    <row r="249" spans="1:3" ht="16.5" thickBot="1" x14ac:dyDescent="0.4">
      <c r="A249" s="178" t="s">
        <v>321</v>
      </c>
      <c r="B249" s="80" t="s">
        <v>320</v>
      </c>
      <c r="C249" s="176"/>
    </row>
    <row r="250" spans="1:3" ht="16.5" thickBot="1" x14ac:dyDescent="0.4">
      <c r="A250" s="179">
        <v>1</v>
      </c>
      <c r="B250" s="105">
        <f>3*158</f>
        <v>474</v>
      </c>
      <c r="C250" s="177"/>
    </row>
    <row r="251" spans="1:3" ht="16.5" thickBot="1" x14ac:dyDescent="0.4">
      <c r="A251" s="179">
        <v>2</v>
      </c>
      <c r="B251" s="105">
        <f>3*194</f>
        <v>582</v>
      </c>
      <c r="C251" s="177"/>
    </row>
    <row r="252" spans="1:3" ht="16.5" thickBot="1" x14ac:dyDescent="0.4">
      <c r="A252" s="179">
        <v>3</v>
      </c>
      <c r="B252" s="105">
        <f>3*229</f>
        <v>687</v>
      </c>
      <c r="C252" s="177"/>
    </row>
    <row r="253" spans="1:3" ht="16.5" thickBot="1" x14ac:dyDescent="0.3">
      <c r="A253" s="179">
        <v>4</v>
      </c>
      <c r="B253" s="105">
        <f>3*264</f>
        <v>792</v>
      </c>
    </row>
    <row r="254" spans="1:3" ht="16.5" thickBot="1" x14ac:dyDescent="0.3">
      <c r="A254" s="179">
        <v>5</v>
      </c>
      <c r="B254" s="105">
        <f>3*299</f>
        <v>897</v>
      </c>
    </row>
    <row r="255" spans="1:3" ht="16.5" thickBot="1" x14ac:dyDescent="0.3">
      <c r="A255" s="179">
        <v>6</v>
      </c>
      <c r="B255" s="105">
        <f>3*336</f>
        <v>1008</v>
      </c>
    </row>
    <row r="257" spans="1:9" x14ac:dyDescent="0.25">
      <c r="A257" s="181" t="s">
        <v>322</v>
      </c>
      <c r="B257" s="182" t="s">
        <v>323</v>
      </c>
      <c r="C257" s="182" t="s">
        <v>324</v>
      </c>
      <c r="D257" s="182" t="s">
        <v>325</v>
      </c>
      <c r="E257" s="182" t="s">
        <v>326</v>
      </c>
      <c r="F257" s="182" t="s">
        <v>327</v>
      </c>
      <c r="G257" s="182" t="s">
        <v>328</v>
      </c>
    </row>
    <row r="258" spans="1:9" x14ac:dyDescent="0.25">
      <c r="A258" s="181">
        <v>1</v>
      </c>
      <c r="B258" s="203">
        <v>21370</v>
      </c>
      <c r="C258" s="203">
        <v>16916</v>
      </c>
      <c r="D258" s="203">
        <v>14367</v>
      </c>
      <c r="E258" s="203">
        <v>11587</v>
      </c>
      <c r="F258" s="203">
        <v>7201</v>
      </c>
      <c r="G258" s="203">
        <v>2814</v>
      </c>
    </row>
    <row r="259" spans="1:9" x14ac:dyDescent="0.25">
      <c r="A259" s="181">
        <v>2</v>
      </c>
      <c r="B259" s="203">
        <v>23012</v>
      </c>
      <c r="C259" s="203">
        <v>18456</v>
      </c>
      <c r="D259" s="203">
        <v>15672</v>
      </c>
      <c r="E259" s="203">
        <v>12639</v>
      </c>
      <c r="F259" s="203">
        <v>8002</v>
      </c>
      <c r="G259" s="203">
        <v>3363</v>
      </c>
    </row>
    <row r="260" spans="1:9" x14ac:dyDescent="0.25">
      <c r="A260" s="181">
        <v>3</v>
      </c>
      <c r="B260" s="203">
        <v>26299</v>
      </c>
      <c r="C260" s="203">
        <v>21531</v>
      </c>
      <c r="D260" s="203">
        <v>18285</v>
      </c>
      <c r="E260" s="203">
        <v>14747</v>
      </c>
      <c r="F260" s="203">
        <v>9602</v>
      </c>
      <c r="G260" s="203">
        <v>4457</v>
      </c>
    </row>
    <row r="261" spans="1:9" x14ac:dyDescent="0.25">
      <c r="A261" s="181">
        <v>4</v>
      </c>
      <c r="B261" s="203">
        <v>30409</v>
      </c>
      <c r="C261" s="203">
        <v>24609</v>
      </c>
      <c r="D261" s="203">
        <v>20897</v>
      </c>
      <c r="E261" s="203">
        <v>16854</v>
      </c>
      <c r="F261" s="203">
        <v>11201</v>
      </c>
      <c r="G261" s="203">
        <v>5549</v>
      </c>
    </row>
    <row r="262" spans="1:9" x14ac:dyDescent="0.25">
      <c r="A262" s="181">
        <v>5</v>
      </c>
      <c r="B262" s="203">
        <v>34519</v>
      </c>
      <c r="C262" s="203">
        <v>29223</v>
      </c>
      <c r="D262" s="203">
        <v>24815</v>
      </c>
      <c r="E262" s="203">
        <v>20014</v>
      </c>
      <c r="F262" s="203">
        <v>13602</v>
      </c>
      <c r="G262" s="203">
        <v>7190</v>
      </c>
      <c r="H262" s="480" t="s">
        <v>330</v>
      </c>
      <c r="I262" s="481"/>
    </row>
    <row r="263" spans="1:9" x14ac:dyDescent="0.25">
      <c r="A263" s="181">
        <v>6</v>
      </c>
      <c r="B263" s="203">
        <v>39451</v>
      </c>
      <c r="C263" s="203">
        <v>33835</v>
      </c>
      <c r="D263" s="203">
        <v>28734</v>
      </c>
      <c r="E263" s="203">
        <v>23176</v>
      </c>
      <c r="F263" s="203">
        <v>16004</v>
      </c>
      <c r="G263" s="203">
        <v>8829</v>
      </c>
      <c r="H263" s="480"/>
      <c r="I263" s="481"/>
    </row>
    <row r="264" spans="1:9" ht="15" customHeight="1" x14ac:dyDescent="0.25">
      <c r="A264" s="180">
        <v>7</v>
      </c>
      <c r="B264" s="203">
        <v>44382</v>
      </c>
      <c r="C264" s="203">
        <v>38450</v>
      </c>
      <c r="D264" s="203">
        <v>32653</v>
      </c>
      <c r="E264" s="203">
        <v>26334</v>
      </c>
      <c r="F264" s="203">
        <v>18403</v>
      </c>
      <c r="G264" s="203">
        <v>10472</v>
      </c>
    </row>
    <row r="265" spans="1:9" x14ac:dyDescent="0.25">
      <c r="A265" s="180" t="s">
        <v>329</v>
      </c>
      <c r="B265" s="203">
        <v>49314</v>
      </c>
      <c r="C265" s="203">
        <v>43066</v>
      </c>
      <c r="D265" s="203">
        <v>36573</v>
      </c>
      <c r="E265" s="203">
        <v>29494</v>
      </c>
      <c r="F265" s="203">
        <v>20804</v>
      </c>
      <c r="G265" s="203">
        <v>12111</v>
      </c>
    </row>
    <row r="267" spans="1:9" x14ac:dyDescent="0.25">
      <c r="B267" s="183"/>
      <c r="C267" s="183"/>
      <c r="D267" s="183"/>
      <c r="E267" s="183"/>
      <c r="F267" s="183"/>
      <c r="G267" s="183"/>
    </row>
    <row r="268" spans="1:9" x14ac:dyDescent="0.25">
      <c r="B268" s="183"/>
      <c r="C268" s="183"/>
      <c r="D268" s="183"/>
      <c r="E268" s="183"/>
      <c r="F268" s="183"/>
      <c r="G268" s="183"/>
      <c r="H268" s="138"/>
      <c r="I268" s="138"/>
    </row>
    <row r="269" spans="1:9" x14ac:dyDescent="0.25">
      <c r="B269" s="183"/>
      <c r="C269" s="183"/>
      <c r="D269" s="183"/>
      <c r="E269" s="183"/>
      <c r="F269" s="183"/>
      <c r="G269" s="183"/>
      <c r="H269" s="138"/>
      <c r="I269" s="138"/>
    </row>
    <row r="270" spans="1:9" x14ac:dyDescent="0.25">
      <c r="A270" s="174" t="s">
        <v>357</v>
      </c>
      <c r="B270" s="12"/>
      <c r="C270" s="12"/>
      <c r="D270" s="12"/>
      <c r="E270" s="12"/>
      <c r="F270" s="12"/>
      <c r="G270" s="12"/>
      <c r="H270" s="138"/>
      <c r="I270" s="138"/>
    </row>
    <row r="271" spans="1:9" x14ac:dyDescent="0.25">
      <c r="A271" s="13"/>
      <c r="B271" s="12"/>
      <c r="C271" s="12"/>
      <c r="D271" s="12"/>
      <c r="E271" s="12"/>
      <c r="F271" s="12"/>
      <c r="G271" s="12"/>
      <c r="H271" s="377" t="s">
        <v>359</v>
      </c>
      <c r="I271" s="377" t="s">
        <v>359</v>
      </c>
    </row>
    <row r="272" spans="1:9" x14ac:dyDescent="0.35">
      <c r="A272" s="204" t="s">
        <v>461</v>
      </c>
      <c r="B272" s="60"/>
      <c r="C272" s="12"/>
      <c r="D272" s="12"/>
      <c r="E272" s="12"/>
      <c r="F272" s="12"/>
      <c r="G272" s="12"/>
      <c r="H272" s="378">
        <v>6</v>
      </c>
      <c r="I272" s="378">
        <v>7</v>
      </c>
    </row>
    <row r="273" spans="1:9" x14ac:dyDescent="0.25">
      <c r="A273" s="208" t="s">
        <v>358</v>
      </c>
      <c r="B273" s="377" t="s">
        <v>359</v>
      </c>
      <c r="C273" s="377" t="s">
        <v>359</v>
      </c>
      <c r="D273" s="377" t="s">
        <v>359</v>
      </c>
      <c r="E273" s="377" t="s">
        <v>359</v>
      </c>
      <c r="F273" s="377" t="s">
        <v>359</v>
      </c>
      <c r="G273" s="377" t="s">
        <v>359</v>
      </c>
      <c r="H273" s="377" t="s">
        <v>361</v>
      </c>
      <c r="I273" s="377" t="s">
        <v>361</v>
      </c>
    </row>
    <row r="274" spans="1:9" x14ac:dyDescent="0.25">
      <c r="A274" s="208" t="s">
        <v>360</v>
      </c>
      <c r="B274" s="378">
        <v>0.5</v>
      </c>
      <c r="C274" s="378">
        <v>1</v>
      </c>
      <c r="D274" s="378">
        <v>2</v>
      </c>
      <c r="E274" s="378">
        <v>3</v>
      </c>
      <c r="F274" s="378">
        <v>4</v>
      </c>
      <c r="G274" s="378">
        <v>5</v>
      </c>
      <c r="H274" s="209">
        <v>7992</v>
      </c>
      <c r="I274" s="209">
        <v>265</v>
      </c>
    </row>
    <row r="275" spans="1:9" x14ac:dyDescent="0.25">
      <c r="A275" s="208"/>
      <c r="B275" s="377" t="s">
        <v>361</v>
      </c>
      <c r="C275" s="377" t="s">
        <v>361</v>
      </c>
      <c r="D275" s="377" t="s">
        <v>361</v>
      </c>
      <c r="E275" s="377" t="s">
        <v>361</v>
      </c>
      <c r="F275" s="377" t="s">
        <v>361</v>
      </c>
      <c r="G275" s="377" t="s">
        <v>361</v>
      </c>
      <c r="H275" s="209">
        <v>8872</v>
      </c>
      <c r="I275" s="209">
        <v>530</v>
      </c>
    </row>
    <row r="276" spans="1:9" x14ac:dyDescent="0.25">
      <c r="A276" s="208">
        <v>0</v>
      </c>
      <c r="B276" s="209">
        <v>35086</v>
      </c>
      <c r="C276" s="209">
        <v>23850</v>
      </c>
      <c r="D276" s="209">
        <v>19281</v>
      </c>
      <c r="E276" s="209">
        <v>17034</v>
      </c>
      <c r="F276" s="209">
        <v>14829</v>
      </c>
      <c r="G276" s="209">
        <v>12667</v>
      </c>
      <c r="H276" s="209">
        <v>9773</v>
      </c>
      <c r="I276" s="209">
        <v>795</v>
      </c>
    </row>
    <row r="277" spans="1:9" x14ac:dyDescent="0.25">
      <c r="A277" s="208">
        <v>1</v>
      </c>
      <c r="B277" s="209">
        <v>38966</v>
      </c>
      <c r="C277" s="209">
        <v>26500</v>
      </c>
      <c r="D277" s="209">
        <v>21423</v>
      </c>
      <c r="E277" s="209">
        <v>18921</v>
      </c>
      <c r="F277" s="209">
        <v>16472</v>
      </c>
      <c r="G277" s="209">
        <v>14077</v>
      </c>
      <c r="H277" s="209">
        <v>10653</v>
      </c>
      <c r="I277" s="209">
        <v>1060</v>
      </c>
    </row>
    <row r="278" spans="1:9" x14ac:dyDescent="0.25">
      <c r="A278" s="208">
        <v>2</v>
      </c>
      <c r="B278" s="209">
        <v>42877</v>
      </c>
      <c r="C278" s="209">
        <v>29150</v>
      </c>
      <c r="D278" s="209">
        <v>23564</v>
      </c>
      <c r="E278" s="209">
        <v>20818</v>
      </c>
      <c r="F278" s="209">
        <v>18126</v>
      </c>
      <c r="G278" s="209">
        <v>15476</v>
      </c>
      <c r="H278" s="209">
        <v>11533</v>
      </c>
      <c r="I278" s="209">
        <v>1325</v>
      </c>
    </row>
    <row r="279" spans="1:9" x14ac:dyDescent="0.25">
      <c r="A279" s="208">
        <v>3</v>
      </c>
      <c r="B279" s="209">
        <v>46767</v>
      </c>
      <c r="C279" s="209">
        <v>31800</v>
      </c>
      <c r="D279" s="209">
        <v>25705</v>
      </c>
      <c r="E279" s="209">
        <v>22716</v>
      </c>
      <c r="F279" s="209">
        <v>19758</v>
      </c>
      <c r="G279" s="209">
        <v>16875</v>
      </c>
      <c r="H279" s="209">
        <v>12434</v>
      </c>
      <c r="I279" s="209">
        <v>1590</v>
      </c>
    </row>
    <row r="280" spans="1:9" x14ac:dyDescent="0.25">
      <c r="A280" s="208">
        <v>4</v>
      </c>
      <c r="B280" s="209">
        <v>50668</v>
      </c>
      <c r="C280" s="209">
        <v>34450</v>
      </c>
      <c r="D280" s="209">
        <v>27846</v>
      </c>
      <c r="E280" s="209">
        <v>24603</v>
      </c>
      <c r="F280" s="209">
        <v>21412</v>
      </c>
      <c r="G280" s="209">
        <v>18285</v>
      </c>
      <c r="H280" s="209">
        <v>13324</v>
      </c>
      <c r="I280" s="209">
        <v>1855</v>
      </c>
    </row>
    <row r="281" spans="1:9" x14ac:dyDescent="0.25">
      <c r="A281" s="208">
        <v>5</v>
      </c>
      <c r="B281" s="209">
        <v>54569</v>
      </c>
      <c r="C281" s="209">
        <v>37111</v>
      </c>
      <c r="D281" s="209">
        <v>29998</v>
      </c>
      <c r="E281" s="209">
        <v>26500</v>
      </c>
      <c r="F281" s="209">
        <v>23066</v>
      </c>
      <c r="G281" s="209">
        <v>19695</v>
      </c>
      <c r="H281" s="209">
        <v>14215</v>
      </c>
      <c r="I281" s="209">
        <v>2120</v>
      </c>
    </row>
    <row r="282" spans="1:9" x14ac:dyDescent="0.25">
      <c r="A282" s="208">
        <v>6</v>
      </c>
      <c r="B282" s="209">
        <v>58459</v>
      </c>
      <c r="C282" s="209">
        <v>39761</v>
      </c>
      <c r="D282" s="209">
        <v>32139</v>
      </c>
      <c r="E282" s="209">
        <v>28376</v>
      </c>
      <c r="F282" s="209">
        <v>24709</v>
      </c>
      <c r="G282" s="209">
        <v>21105</v>
      </c>
      <c r="H282" s="209">
        <v>15094</v>
      </c>
      <c r="I282" s="209">
        <v>2385</v>
      </c>
    </row>
    <row r="283" spans="1:9" x14ac:dyDescent="0.25">
      <c r="A283" s="208">
        <v>7</v>
      </c>
      <c r="B283" s="209">
        <v>62360</v>
      </c>
      <c r="C283" s="209">
        <v>42411</v>
      </c>
      <c r="D283" s="209">
        <v>34280</v>
      </c>
      <c r="E283" s="209">
        <v>30274</v>
      </c>
      <c r="F283" s="209">
        <v>26352</v>
      </c>
      <c r="G283" s="209">
        <v>22514</v>
      </c>
      <c r="H283" s="209">
        <v>15985</v>
      </c>
      <c r="I283" s="209">
        <v>2650</v>
      </c>
    </row>
    <row r="284" spans="1:9" x14ac:dyDescent="0.25">
      <c r="A284" s="208">
        <v>8</v>
      </c>
      <c r="B284" s="209">
        <v>66261</v>
      </c>
      <c r="C284" s="209">
        <v>45061</v>
      </c>
      <c r="D284" s="209">
        <v>36422</v>
      </c>
      <c r="E284" s="209">
        <v>32171</v>
      </c>
      <c r="F284" s="209">
        <v>29648</v>
      </c>
      <c r="G284" s="209">
        <v>23914</v>
      </c>
      <c r="H284" s="209">
        <v>16685</v>
      </c>
      <c r="I284" s="209">
        <v>2915</v>
      </c>
    </row>
    <row r="285" spans="1:9" x14ac:dyDescent="0.25">
      <c r="A285" s="208">
        <v>9</v>
      </c>
      <c r="B285" s="209">
        <v>70151</v>
      </c>
      <c r="C285" s="209">
        <v>47700</v>
      </c>
      <c r="D285" s="209">
        <v>38563</v>
      </c>
      <c r="E285" s="209">
        <v>34058</v>
      </c>
      <c r="F285" s="209">
        <v>29648</v>
      </c>
      <c r="G285" s="209">
        <v>25323</v>
      </c>
      <c r="H285" s="209">
        <v>17755</v>
      </c>
      <c r="I285" s="209">
        <v>3180</v>
      </c>
    </row>
    <row r="286" spans="1:9" x14ac:dyDescent="0.25">
      <c r="A286" s="208">
        <v>10</v>
      </c>
      <c r="B286" s="209">
        <v>74052</v>
      </c>
      <c r="C286" s="209">
        <v>50361</v>
      </c>
      <c r="D286" s="209">
        <v>40704</v>
      </c>
      <c r="E286" s="209">
        <v>35955</v>
      </c>
      <c r="F286" s="209">
        <v>31291</v>
      </c>
      <c r="G286" s="209">
        <v>26733</v>
      </c>
      <c r="H286" s="209">
        <v>18645</v>
      </c>
      <c r="I286" s="209">
        <v>3445</v>
      </c>
    </row>
    <row r="287" spans="1:9" x14ac:dyDescent="0.25">
      <c r="A287" s="208">
        <v>11</v>
      </c>
      <c r="B287" s="209">
        <v>77952</v>
      </c>
      <c r="C287" s="209">
        <v>53011</v>
      </c>
      <c r="D287" s="209">
        <v>42835</v>
      </c>
      <c r="E287" s="209">
        <v>37853</v>
      </c>
      <c r="F287" s="209">
        <v>32955</v>
      </c>
      <c r="G287" s="209">
        <v>28132</v>
      </c>
      <c r="H287" s="209">
        <v>19525</v>
      </c>
      <c r="I287" s="209">
        <v>3710</v>
      </c>
    </row>
    <row r="288" spans="1:9" x14ac:dyDescent="0.25">
      <c r="A288" s="208">
        <v>12</v>
      </c>
      <c r="B288" s="209">
        <v>81843</v>
      </c>
      <c r="C288" s="209">
        <v>55650</v>
      </c>
      <c r="D288" s="209">
        <v>44976</v>
      </c>
      <c r="E288" s="209">
        <v>39739</v>
      </c>
      <c r="F288" s="209">
        <v>34588</v>
      </c>
      <c r="G288" s="209">
        <v>29542</v>
      </c>
      <c r="H288" s="209">
        <v>20426</v>
      </c>
      <c r="I288" s="209">
        <v>3975</v>
      </c>
    </row>
    <row r="289" spans="1:9" x14ac:dyDescent="0.25">
      <c r="A289" s="208">
        <v>13</v>
      </c>
      <c r="B289" s="209">
        <v>85743</v>
      </c>
      <c r="C289" s="209">
        <v>58300</v>
      </c>
      <c r="D289" s="209">
        <v>47117</v>
      </c>
      <c r="E289" s="209">
        <v>41637</v>
      </c>
      <c r="F289" s="209">
        <v>36231</v>
      </c>
      <c r="G289" s="209">
        <v>30952</v>
      </c>
      <c r="H289" s="209">
        <v>21317</v>
      </c>
      <c r="I289" s="209">
        <v>4240</v>
      </c>
    </row>
    <row r="290" spans="1:9" x14ac:dyDescent="0.25">
      <c r="A290" s="208">
        <v>14</v>
      </c>
      <c r="B290" s="209">
        <v>89634</v>
      </c>
      <c r="C290" s="209">
        <v>60971</v>
      </c>
      <c r="D290" s="209">
        <v>49269</v>
      </c>
      <c r="E290" s="209">
        <v>43513</v>
      </c>
      <c r="F290" s="209">
        <v>37895</v>
      </c>
      <c r="G290" s="209">
        <v>32362</v>
      </c>
      <c r="H290" s="209">
        <v>22196</v>
      </c>
      <c r="I290" s="209">
        <v>4505</v>
      </c>
    </row>
    <row r="291" spans="1:9" x14ac:dyDescent="0.25">
      <c r="A291" s="208">
        <v>15</v>
      </c>
      <c r="B291" s="209">
        <v>93545</v>
      </c>
      <c r="C291" s="209">
        <v>63611</v>
      </c>
      <c r="D291" s="209">
        <v>51410</v>
      </c>
      <c r="E291" s="209">
        <v>45410</v>
      </c>
      <c r="F291" s="209">
        <v>39538</v>
      </c>
      <c r="G291" s="209">
        <v>33772</v>
      </c>
      <c r="H291" s="209">
        <v>23087</v>
      </c>
      <c r="I291" s="209">
        <v>4770</v>
      </c>
    </row>
    <row r="292" spans="1:9" x14ac:dyDescent="0.25">
      <c r="A292" s="208">
        <v>16</v>
      </c>
      <c r="B292" s="209">
        <v>97435</v>
      </c>
      <c r="C292" s="209">
        <v>66261</v>
      </c>
      <c r="D292" s="209">
        <v>53551</v>
      </c>
      <c r="E292" s="209">
        <v>47308</v>
      </c>
      <c r="F292" s="209">
        <v>41170</v>
      </c>
      <c r="G292" s="209">
        <v>35181</v>
      </c>
      <c r="H292" s="12"/>
      <c r="I292" s="12"/>
    </row>
    <row r="293" spans="1:9" x14ac:dyDescent="0.25">
      <c r="A293" s="208">
        <v>17</v>
      </c>
      <c r="B293" s="209">
        <v>101347</v>
      </c>
      <c r="C293" s="209">
        <v>68911</v>
      </c>
      <c r="D293" s="209">
        <v>55692</v>
      </c>
      <c r="E293" s="209">
        <v>49195</v>
      </c>
      <c r="F293" s="209">
        <v>42824</v>
      </c>
      <c r="G293" s="209">
        <v>36581</v>
      </c>
      <c r="H293" s="12"/>
      <c r="I293" s="12"/>
    </row>
    <row r="294" spans="1:9" x14ac:dyDescent="0.25">
      <c r="A294" s="13"/>
      <c r="B294" s="12"/>
      <c r="C294" s="12"/>
      <c r="D294" s="12"/>
      <c r="E294" s="12"/>
      <c r="F294" s="12"/>
      <c r="G294" s="12"/>
      <c r="H294" s="86"/>
      <c r="I294" s="86"/>
    </row>
    <row r="295" spans="1:9" x14ac:dyDescent="0.25">
      <c r="A295" s="13"/>
      <c r="B295" s="12"/>
      <c r="C295" s="12"/>
      <c r="D295" s="12"/>
      <c r="E295" s="12"/>
      <c r="F295" s="12"/>
      <c r="G295" s="12"/>
      <c r="H295" s="86"/>
      <c r="I295" s="86"/>
    </row>
    <row r="296" spans="1:9" ht="155" x14ac:dyDescent="0.35">
      <c r="A296" s="205" t="s">
        <v>362</v>
      </c>
      <c r="B296" s="12"/>
      <c r="C296" s="205" t="s">
        <v>363</v>
      </c>
      <c r="D296" s="205" t="s">
        <v>364</v>
      </c>
      <c r="E296" s="12"/>
      <c r="F296" s="12"/>
      <c r="G296" s="86"/>
      <c r="H296" s="86"/>
      <c r="I296" s="86"/>
    </row>
    <row r="297" spans="1:9" x14ac:dyDescent="0.35">
      <c r="A297" s="205" t="s">
        <v>365</v>
      </c>
      <c r="B297" s="206">
        <v>0.5</v>
      </c>
      <c r="C297" s="207">
        <v>1454</v>
      </c>
      <c r="D297" s="207">
        <f t="shared" ref="D297" si="2">bs_montant_ech0bis*1.2</f>
        <v>1744.8</v>
      </c>
      <c r="E297" s="12"/>
      <c r="F297" s="12"/>
      <c r="G297" s="86"/>
      <c r="H297" s="86"/>
      <c r="I297" s="86"/>
    </row>
    <row r="298" spans="1:9" x14ac:dyDescent="0.35">
      <c r="A298" s="205" t="s">
        <v>323</v>
      </c>
      <c r="B298" s="206">
        <v>1</v>
      </c>
      <c r="C298" s="207">
        <v>2163</v>
      </c>
      <c r="D298" s="207">
        <v>2596</v>
      </c>
      <c r="E298" s="12"/>
      <c r="F298" s="12"/>
      <c r="G298" s="86"/>
      <c r="H298" s="86"/>
      <c r="I298" s="86"/>
    </row>
    <row r="299" spans="1:9" x14ac:dyDescent="0.35">
      <c r="A299" s="205" t="s">
        <v>324</v>
      </c>
      <c r="B299" s="206">
        <v>2</v>
      </c>
      <c r="C299" s="207">
        <v>3071</v>
      </c>
      <c r="D299" s="207">
        <v>3685</v>
      </c>
      <c r="E299" s="12"/>
      <c r="F299" s="12"/>
      <c r="G299" s="86"/>
      <c r="H299" s="86"/>
      <c r="I299" s="86"/>
    </row>
    <row r="300" spans="1:9" x14ac:dyDescent="0.35">
      <c r="A300" s="205" t="s">
        <v>325</v>
      </c>
      <c r="B300" s="206">
        <v>3</v>
      </c>
      <c r="C300" s="207">
        <v>3828</v>
      </c>
      <c r="D300" s="207">
        <v>4594</v>
      </c>
      <c r="E300" s="12"/>
      <c r="F300" s="12"/>
      <c r="G300" s="86"/>
      <c r="H300" s="86"/>
      <c r="I300" s="86"/>
    </row>
    <row r="301" spans="1:9" x14ac:dyDescent="0.35">
      <c r="A301" s="205" t="s">
        <v>326</v>
      </c>
      <c r="B301" s="206">
        <v>4</v>
      </c>
      <c r="C301" s="207">
        <v>4587</v>
      </c>
      <c r="D301" s="207">
        <v>5504</v>
      </c>
      <c r="E301" s="12"/>
      <c r="F301" s="12"/>
      <c r="G301" s="86"/>
      <c r="H301" s="86"/>
      <c r="I301" s="12"/>
    </row>
    <row r="302" spans="1:9" x14ac:dyDescent="0.35">
      <c r="A302" s="205" t="s">
        <v>327</v>
      </c>
      <c r="B302" s="206">
        <v>5</v>
      </c>
      <c r="C302" s="207">
        <v>5212</v>
      </c>
      <c r="D302" s="207">
        <v>6254</v>
      </c>
      <c r="E302" s="12"/>
      <c r="F302" s="12"/>
      <c r="G302" s="86"/>
      <c r="H302" s="86"/>
      <c r="I302" s="12"/>
    </row>
    <row r="303" spans="1:9" x14ac:dyDescent="0.35">
      <c r="A303" s="205" t="s">
        <v>328</v>
      </c>
      <c r="B303" s="206">
        <v>6</v>
      </c>
      <c r="C303" s="207">
        <v>5506</v>
      </c>
      <c r="D303" s="207">
        <v>6607</v>
      </c>
      <c r="E303" s="12"/>
      <c r="F303" s="12"/>
      <c r="G303" s="86"/>
    </row>
    <row r="304" spans="1:9" x14ac:dyDescent="0.35">
      <c r="A304" s="205" t="s">
        <v>366</v>
      </c>
      <c r="B304" s="206">
        <v>7</v>
      </c>
      <c r="C304" s="207">
        <v>6335</v>
      </c>
      <c r="D304" s="207">
        <v>7602</v>
      </c>
      <c r="E304" s="81"/>
      <c r="F304" s="12"/>
      <c r="G304" s="86"/>
    </row>
    <row r="307" spans="1:1" x14ac:dyDescent="0.35">
      <c r="A307" s="11" t="s">
        <v>368</v>
      </c>
    </row>
    <row r="308" spans="1:1" x14ac:dyDescent="0.35">
      <c r="A308" s="11" t="s">
        <v>369</v>
      </c>
    </row>
    <row r="309" spans="1:1" x14ac:dyDescent="0.35">
      <c r="A309" s="11" t="s">
        <v>370</v>
      </c>
    </row>
    <row r="310" spans="1:1" x14ac:dyDescent="0.35">
      <c r="A310" s="11" t="s">
        <v>371</v>
      </c>
    </row>
    <row r="311" spans="1:1" x14ac:dyDescent="0.35">
      <c r="A311" s="11" t="s">
        <v>372</v>
      </c>
    </row>
    <row r="312" spans="1:1" x14ac:dyDescent="0.35">
      <c r="A312" s="11" t="s">
        <v>373</v>
      </c>
    </row>
    <row r="313" spans="1:1" x14ac:dyDescent="0.35">
      <c r="A313" s="11" t="s">
        <v>374</v>
      </c>
    </row>
    <row r="314" spans="1:1" x14ac:dyDescent="0.35">
      <c r="A314" s="11" t="s">
        <v>375</v>
      </c>
    </row>
    <row r="315" spans="1:1" x14ac:dyDescent="0.35">
      <c r="A315" s="11" t="s">
        <v>376</v>
      </c>
    </row>
    <row r="316" spans="1:1" x14ac:dyDescent="0.35">
      <c r="A316" s="11" t="s">
        <v>377</v>
      </c>
    </row>
    <row r="317" spans="1:1" x14ac:dyDescent="0.35">
      <c r="A317" s="11" t="s">
        <v>378</v>
      </c>
    </row>
    <row r="318" spans="1:1" x14ac:dyDescent="0.35">
      <c r="A318" s="11" t="s">
        <v>379</v>
      </c>
    </row>
    <row r="319" spans="1:1" x14ac:dyDescent="0.35">
      <c r="A319" s="146" t="s">
        <v>380</v>
      </c>
    </row>
    <row r="320" spans="1:1" x14ac:dyDescent="0.35">
      <c r="A320" s="11" t="s">
        <v>381</v>
      </c>
    </row>
    <row r="321" spans="1:8" x14ac:dyDescent="0.35">
      <c r="A321" s="11" t="s">
        <v>382</v>
      </c>
    </row>
    <row r="322" spans="1:8" x14ac:dyDescent="0.35">
      <c r="A322" s="146" t="s">
        <v>383</v>
      </c>
    </row>
    <row r="323" spans="1:8" x14ac:dyDescent="0.35">
      <c r="A323" s="11" t="s">
        <v>384</v>
      </c>
    </row>
    <row r="327" spans="1:8" x14ac:dyDescent="0.25">
      <c r="A327" s="316" t="s">
        <v>398</v>
      </c>
      <c r="B327"/>
      <c r="C327"/>
      <c r="D327"/>
      <c r="E327"/>
      <c r="F327"/>
    </row>
    <row r="328" spans="1:8" x14ac:dyDescent="0.3">
      <c r="A328" s="317" t="s">
        <v>399</v>
      </c>
      <c r="B328" s="318"/>
      <c r="C328" s="318"/>
      <c r="D328" s="318"/>
      <c r="E328" s="318"/>
      <c r="F328" s="319"/>
    </row>
    <row r="329" spans="1:8" ht="32" x14ac:dyDescent="0.25">
      <c r="A329" s="320"/>
      <c r="B329" s="324" t="s">
        <v>400</v>
      </c>
      <c r="C329" s="381">
        <f>rsa_I0</f>
        <v>635.71</v>
      </c>
      <c r="D329" s="318"/>
      <c r="E329" s="318"/>
      <c r="F329" s="319"/>
    </row>
    <row r="330" spans="1:8" x14ac:dyDescent="0.25">
      <c r="A330" s="322"/>
      <c r="B330" s="249"/>
      <c r="C330" s="254" t="s">
        <v>401</v>
      </c>
      <c r="D330" s="249"/>
      <c r="E330" s="251"/>
    </row>
    <row r="331" spans="1:8" x14ac:dyDescent="0.2">
      <c r="A331" s="323"/>
      <c r="B331" s="253" t="s">
        <v>402</v>
      </c>
      <c r="C331" s="253" t="s">
        <v>403</v>
      </c>
      <c r="D331" s="253" t="s">
        <v>404</v>
      </c>
      <c r="E331" s="253" t="s">
        <v>405</v>
      </c>
      <c r="H331" s="8">
        <f>0.6/2.1</f>
        <v>0.2857142857142857</v>
      </c>
    </row>
    <row r="332" spans="1:8" x14ac:dyDescent="0.2">
      <c r="A332" s="323"/>
      <c r="B332" s="252">
        <v>0</v>
      </c>
      <c r="C332" s="379">
        <v>0</v>
      </c>
      <c r="D332" s="379">
        <v>0</v>
      </c>
      <c r="E332" s="379">
        <v>0</v>
      </c>
      <c r="G332" s="8"/>
      <c r="H332" s="8">
        <f>1/2.5</f>
        <v>0.4</v>
      </c>
    </row>
    <row r="333" spans="1:8" x14ac:dyDescent="0.2">
      <c r="A333" s="323"/>
      <c r="B333" s="252">
        <v>1</v>
      </c>
      <c r="C333" s="380">
        <v>0.13500000000000001</v>
      </c>
      <c r="D333" s="380">
        <v>0.18</v>
      </c>
      <c r="E333" s="380">
        <v>0.09</v>
      </c>
      <c r="G333" s="8">
        <f>0.3/1.8</f>
        <v>0.16666666666666666</v>
      </c>
      <c r="H333" s="8">
        <v>13</v>
      </c>
    </row>
    <row r="334" spans="1:8" x14ac:dyDescent="0.2">
      <c r="A334" s="323"/>
      <c r="B334" s="252">
        <v>2</v>
      </c>
      <c r="C334" s="380">
        <v>0.115</v>
      </c>
      <c r="D334" s="380">
        <v>0.155</v>
      </c>
      <c r="E334" s="380">
        <v>7.8E-2</v>
      </c>
      <c r="G334" s="8">
        <f>0.5/2</f>
        <v>0.25</v>
      </c>
      <c r="H334" s="8">
        <f>(H333*H331+4*H332)/(H333+4)</f>
        <v>0.31260504201680672</v>
      </c>
    </row>
    <row r="335" spans="1:8" x14ac:dyDescent="0.2">
      <c r="A335" s="323"/>
      <c r="B335" s="252">
        <v>3</v>
      </c>
      <c r="C335" s="380">
        <v>0.1</v>
      </c>
      <c r="D335" s="380">
        <v>0.13300000000000001</v>
      </c>
      <c r="E335" s="380">
        <v>6.7000000000000004E-2</v>
      </c>
      <c r="G335" s="8">
        <v>13</v>
      </c>
    </row>
    <row r="336" spans="1:8" x14ac:dyDescent="0.2">
      <c r="A336" s="323"/>
      <c r="B336" s="252">
        <v>4</v>
      </c>
      <c r="C336" s="380">
        <v>8.7999999999999995E-2</v>
      </c>
      <c r="D336" s="380">
        <v>0.11700000000000001</v>
      </c>
      <c r="E336" s="380">
        <v>5.8999999999999997E-2</v>
      </c>
      <c r="G336" s="8">
        <f>(G335*G333+4*G334)/(G335+4)</f>
        <v>0.18627450980392157</v>
      </c>
    </row>
    <row r="337" spans="1:7" x14ac:dyDescent="0.2">
      <c r="A337" s="323"/>
      <c r="B337" s="252">
        <v>5</v>
      </c>
      <c r="C337" s="380">
        <v>0.08</v>
      </c>
      <c r="D337" s="380">
        <v>0.106</v>
      </c>
      <c r="E337" s="380">
        <v>5.2999999999999999E-2</v>
      </c>
    </row>
    <row r="338" spans="1:7" x14ac:dyDescent="0.2">
      <c r="A338" s="323"/>
      <c r="B338" s="252">
        <v>6</v>
      </c>
      <c r="C338" s="380">
        <v>7.4999999999999997E-2</v>
      </c>
      <c r="D338" s="380">
        <v>9.5000000000000001E-2</v>
      </c>
      <c r="E338" s="380">
        <v>4.8000000000000001E-2</v>
      </c>
    </row>
    <row r="339" spans="1:7" x14ac:dyDescent="0.25">
      <c r="A339"/>
      <c r="B339" s="326"/>
      <c r="C339"/>
      <c r="D339"/>
      <c r="E339"/>
      <c r="F339"/>
      <c r="G339" s="7">
        <f>0.3/1.3</f>
        <v>0.23076923076923075</v>
      </c>
    </row>
    <row r="340" spans="1:7" x14ac:dyDescent="0.25">
      <c r="A340"/>
      <c r="B340" s="326"/>
      <c r="C340"/>
      <c r="D340"/>
      <c r="E340"/>
      <c r="F340"/>
      <c r="G340" s="7">
        <f>0.5/1.5</f>
        <v>0.33333333333333331</v>
      </c>
    </row>
    <row r="341" spans="1:7" x14ac:dyDescent="0.3">
      <c r="A341" s="317" t="s">
        <v>406</v>
      </c>
      <c r="B341" s="325"/>
      <c r="C341" s="318"/>
      <c r="D341" s="318"/>
      <c r="E341" s="318"/>
      <c r="F341" s="319"/>
      <c r="G341" s="7">
        <f>(13*G339+4*G340)/17</f>
        <v>0.25490196078431371</v>
      </c>
    </row>
    <row r="342" spans="1:7" ht="32" x14ac:dyDescent="0.25">
      <c r="A342" s="320"/>
      <c r="B342" s="324" t="s">
        <v>400</v>
      </c>
      <c r="C342" s="321">
        <v>0</v>
      </c>
      <c r="D342" s="318"/>
      <c r="E342" s="318"/>
      <c r="F342" s="319"/>
      <c r="G342" s="7">
        <f>0.75*G341</f>
        <v>0.19117647058823528</v>
      </c>
    </row>
    <row r="343" spans="1:7" ht="48" x14ac:dyDescent="0.25">
      <c r="A343" s="320"/>
      <c r="B343" s="324" t="s">
        <v>407</v>
      </c>
      <c r="C343" s="381">
        <f>rsa_I0</f>
        <v>635.71</v>
      </c>
      <c r="D343" s="318"/>
      <c r="E343" s="318"/>
      <c r="F343" s="319"/>
    </row>
    <row r="344" spans="1:7" x14ac:dyDescent="0.25">
      <c r="A344" s="322"/>
      <c r="B344" s="249"/>
      <c r="C344" s="254" t="s">
        <v>401</v>
      </c>
      <c r="D344" s="249"/>
      <c r="E344" s="251"/>
    </row>
    <row r="345" spans="1:7" x14ac:dyDescent="0.2">
      <c r="A345" s="323"/>
      <c r="B345" s="253" t="s">
        <v>402</v>
      </c>
      <c r="C345" s="253" t="s">
        <v>403</v>
      </c>
      <c r="D345" s="253" t="s">
        <v>404</v>
      </c>
      <c r="E345" s="253" t="s">
        <v>405</v>
      </c>
    </row>
    <row r="346" spans="1:7" x14ac:dyDescent="0.2">
      <c r="A346" s="323"/>
      <c r="B346" s="252">
        <v>0</v>
      </c>
      <c r="C346" s="379">
        <v>0</v>
      </c>
      <c r="D346" s="379">
        <v>0</v>
      </c>
      <c r="E346" s="379">
        <v>0</v>
      </c>
    </row>
    <row r="347" spans="1:7" x14ac:dyDescent="0.2">
      <c r="A347" s="323"/>
      <c r="B347" s="252">
        <v>1</v>
      </c>
      <c r="C347" s="380">
        <v>0.14000000000000001</v>
      </c>
      <c r="D347" s="380">
        <v>0.187</v>
      </c>
      <c r="E347" s="380">
        <v>9.2999999999999999E-2</v>
      </c>
    </row>
    <row r="348" spans="1:7" x14ac:dyDescent="0.2">
      <c r="A348" s="323"/>
      <c r="B348" s="252">
        <v>2</v>
      </c>
      <c r="C348" s="380">
        <v>0.11799999999999999</v>
      </c>
      <c r="D348" s="380">
        <v>0.157</v>
      </c>
      <c r="E348" s="380">
        <v>7.9000000000000001E-2</v>
      </c>
    </row>
    <row r="349" spans="1:7" x14ac:dyDescent="0.2">
      <c r="A349" s="323"/>
      <c r="B349" s="252">
        <v>3</v>
      </c>
      <c r="C349" s="380">
        <v>0.10199999999999999</v>
      </c>
      <c r="D349" s="380">
        <v>0.13600000000000001</v>
      </c>
      <c r="E349" s="380">
        <v>6.8000000000000005E-2</v>
      </c>
    </row>
    <row r="350" spans="1:7" x14ac:dyDescent="0.2">
      <c r="A350" s="323"/>
      <c r="B350" s="252">
        <v>4</v>
      </c>
      <c r="C350" s="380">
        <v>0.09</v>
      </c>
      <c r="D350" s="380">
        <v>0.12</v>
      </c>
      <c r="E350" s="380">
        <v>0.06</v>
      </c>
    </row>
    <row r="351" spans="1:7" x14ac:dyDescent="0.2">
      <c r="A351" s="323"/>
      <c r="B351" s="252">
        <v>5</v>
      </c>
      <c r="C351" s="380">
        <v>0.08</v>
      </c>
      <c r="D351" s="380">
        <v>0.107</v>
      </c>
      <c r="E351" s="380">
        <v>5.2999999999999999E-2</v>
      </c>
    </row>
    <row r="352" spans="1:7" x14ac:dyDescent="0.2">
      <c r="A352" s="323"/>
      <c r="B352" s="252">
        <v>6</v>
      </c>
      <c r="C352" s="380">
        <v>7.1999999999999995E-2</v>
      </c>
      <c r="D352" s="380">
        <v>9.7000000000000003E-2</v>
      </c>
      <c r="E352" s="380">
        <v>4.8000000000000001E-2</v>
      </c>
    </row>
    <row r="354" spans="1:9" x14ac:dyDescent="0.25">
      <c r="I354" s="8" t="s">
        <v>442</v>
      </c>
    </row>
    <row r="355" spans="1:9" ht="32" x14ac:dyDescent="0.25">
      <c r="A355" s="8" t="s">
        <v>409</v>
      </c>
      <c r="B355" s="326" t="s">
        <v>487</v>
      </c>
      <c r="C355" s="326" t="s">
        <v>488</v>
      </c>
      <c r="D355" s="326" t="s">
        <v>489</v>
      </c>
      <c r="E355" s="7" t="s">
        <v>490</v>
      </c>
      <c r="H355" s="382">
        <f>smic</f>
        <v>1398.7</v>
      </c>
      <c r="I355" s="8" t="s">
        <v>444</v>
      </c>
    </row>
    <row r="356" spans="1:9" x14ac:dyDescent="0.25">
      <c r="A356" s="182" t="s">
        <v>491</v>
      </c>
      <c r="B356" s="181">
        <v>0.3</v>
      </c>
      <c r="C356" s="428">
        <f>B356*4/3</f>
        <v>0.39999999999999997</v>
      </c>
      <c r="D356" s="428">
        <f>B356*1.5</f>
        <v>0.44999999999999996</v>
      </c>
      <c r="E356" s="427"/>
      <c r="G356" s="8" t="s">
        <v>441</v>
      </c>
      <c r="H356" s="382">
        <f>2*smic</f>
        <v>2797.4</v>
      </c>
    </row>
    <row r="357" spans="1:9" x14ac:dyDescent="0.25">
      <c r="A357" s="182" t="s">
        <v>492</v>
      </c>
      <c r="B357" s="181">
        <v>0.5</v>
      </c>
      <c r="C357" s="428">
        <f>B357*4/3</f>
        <v>0.66666666666666663</v>
      </c>
      <c r="D357" s="428">
        <f>B357*1.5</f>
        <v>0.75</v>
      </c>
      <c r="E357" s="427"/>
      <c r="G357" s="252" t="s">
        <v>443</v>
      </c>
      <c r="H357" s="382"/>
    </row>
    <row r="358" spans="1:9" x14ac:dyDescent="0.25">
      <c r="G358" s="252" t="s">
        <v>445</v>
      </c>
      <c r="H358" s="382">
        <f>(ceee_inter_seuil2-(ceee_inter_seuil1-rsa_I0))/(ceee_inter_seuil2-ceee_inter_seuil1)</f>
        <v>1.4545006077071567</v>
      </c>
    </row>
    <row r="359" spans="1:9" x14ac:dyDescent="0.25">
      <c r="A359" s="8" t="s">
        <v>410</v>
      </c>
      <c r="C359" s="7">
        <f>0.75*C$356</f>
        <v>0.3</v>
      </c>
      <c r="D359" s="7">
        <f>0.75*D$356</f>
        <v>0.33749999999999997</v>
      </c>
      <c r="G359" s="252"/>
    </row>
    <row r="360" spans="1:9" x14ac:dyDescent="0.25">
      <c r="A360" s="8" t="s">
        <v>412</v>
      </c>
      <c r="C360" s="7">
        <f>0.75*C$357</f>
        <v>0.5</v>
      </c>
      <c r="D360" s="7">
        <f>0.75*D$357</f>
        <v>0.5625</v>
      </c>
      <c r="G360" s="252" t="s">
        <v>440</v>
      </c>
    </row>
    <row r="361" spans="1:9" x14ac:dyDescent="0.25">
      <c r="A361" s="8" t="s">
        <v>411</v>
      </c>
      <c r="C361" s="7">
        <f>0.25*C$356</f>
        <v>9.9999999999999992E-2</v>
      </c>
      <c r="D361" s="7">
        <f>0.25*D$356</f>
        <v>0.11249999999999999</v>
      </c>
    </row>
    <row r="362" spans="1:9" x14ac:dyDescent="0.25">
      <c r="A362" s="8" t="s">
        <v>413</v>
      </c>
      <c r="C362" s="7">
        <f>0.25*C$357</f>
        <v>0.16666666666666666</v>
      </c>
      <c r="D362" s="7">
        <f>0.25*D$357</f>
        <v>0.1875</v>
      </c>
    </row>
    <row r="363" spans="1:9" x14ac:dyDescent="0.25">
      <c r="A363" s="8" t="s">
        <v>493</v>
      </c>
      <c r="C363" s="7">
        <f>0.5*C$356</f>
        <v>0.19999999999999998</v>
      </c>
      <c r="D363" s="7">
        <f>0.5*D$356</f>
        <v>0.22499999999999998</v>
      </c>
    </row>
    <row r="364" spans="1:9" x14ac:dyDescent="0.25">
      <c r="A364" s="8" t="s">
        <v>494</v>
      </c>
      <c r="C364" s="7">
        <f>0.5*C$357</f>
        <v>0.33333333333333331</v>
      </c>
      <c r="D364" s="7">
        <f>0.5*D$357</f>
        <v>0.375</v>
      </c>
    </row>
  </sheetData>
  <sheetProtection selectLockedCells="1" selectUnlockedCells="1"/>
  <mergeCells count="23">
    <mergeCell ref="E3:F3"/>
    <mergeCell ref="E4:F4"/>
    <mergeCell ref="G125:I125"/>
    <mergeCell ref="G126:I126"/>
    <mergeCell ref="G127:I127"/>
    <mergeCell ref="D18:E18"/>
    <mergeCell ref="E5:F5"/>
    <mergeCell ref="E6:F6"/>
    <mergeCell ref="D21:E21"/>
    <mergeCell ref="D22:E22"/>
    <mergeCell ref="H262:I263"/>
    <mergeCell ref="C220:F220"/>
    <mergeCell ref="C226:F226"/>
    <mergeCell ref="C227:F227"/>
    <mergeCell ref="G137:I137"/>
    <mergeCell ref="G143:I143"/>
    <mergeCell ref="G138:I138"/>
    <mergeCell ref="G139:I139"/>
    <mergeCell ref="G144:I144"/>
    <mergeCell ref="G145:I145"/>
    <mergeCell ref="G142:I142"/>
    <mergeCell ref="G140:I140"/>
    <mergeCell ref="G141:I141"/>
  </mergeCells>
  <pageMargins left="0.78740157499999996" right="0.78740157499999996" top="0.984251969" bottom="0.984251969" header="0.5" footer="0.5"/>
  <pageSetup paperSize="9" scale="64" fitToHeight="8"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AD50E-B699-4232-ABFE-AD9429DF9006}">
  <sheetPr>
    <tabColor theme="9" tint="-0.249977111117893"/>
    <pageSetUpPr fitToPage="1"/>
  </sheetPr>
  <dimension ref="A2:C278"/>
  <sheetViews>
    <sheetView topLeftCell="A214" zoomScale="85" zoomScaleNormal="85" workbookViewId="0">
      <selection activeCell="C282" sqref="C282"/>
    </sheetView>
  </sheetViews>
  <sheetFormatPr baseColWidth="10" defaultColWidth="11.453125" defaultRowHeight="12.5" x14ac:dyDescent="0.25"/>
  <cols>
    <col min="1" max="1" width="73.26953125" customWidth="1"/>
    <col min="2" max="2" width="41.26953125" hidden="1" customWidth="1"/>
    <col min="3" max="3" width="10.1796875" style="202" customWidth="1"/>
  </cols>
  <sheetData>
    <row r="2" spans="1:3" ht="27" customHeight="1" thickBot="1" x14ac:dyDescent="0.35">
      <c r="A2" s="355" t="s">
        <v>387</v>
      </c>
      <c r="B2" s="356"/>
      <c r="C2" s="357"/>
    </row>
    <row r="3" spans="1:3" ht="13" thickBot="1" x14ac:dyDescent="0.3">
      <c r="A3" s="1" t="s">
        <v>27</v>
      </c>
      <c r="B3" s="1" t="s">
        <v>59</v>
      </c>
      <c r="C3" s="332" t="s">
        <v>11</v>
      </c>
    </row>
    <row r="4" spans="1:3" x14ac:dyDescent="0.25">
      <c r="A4" s="1" t="s">
        <v>98</v>
      </c>
      <c r="B4" s="256" t="s">
        <v>104</v>
      </c>
      <c r="C4" s="238">
        <v>-1</v>
      </c>
    </row>
    <row r="5" spans="1:3" x14ac:dyDescent="0.25">
      <c r="A5" s="2" t="s">
        <v>99</v>
      </c>
      <c r="B5" s="257" t="s">
        <v>414</v>
      </c>
      <c r="C5" s="239">
        <v>-1</v>
      </c>
    </row>
    <row r="6" spans="1:3" x14ac:dyDescent="0.25">
      <c r="A6" s="2" t="s">
        <v>100</v>
      </c>
      <c r="B6" s="2"/>
      <c r="C6" s="239">
        <v>-1</v>
      </c>
    </row>
    <row r="7" spans="1:3" x14ac:dyDescent="0.25">
      <c r="A7" s="2" t="s">
        <v>101</v>
      </c>
      <c r="B7" s="2"/>
      <c r="C7" s="239">
        <v>-1</v>
      </c>
    </row>
    <row r="8" spans="1:3" x14ac:dyDescent="0.25">
      <c r="A8" s="2" t="s">
        <v>102</v>
      </c>
      <c r="B8" s="2"/>
      <c r="C8" s="239">
        <v>-1</v>
      </c>
    </row>
    <row r="9" spans="1:3" ht="13" thickBot="1" x14ac:dyDescent="0.3">
      <c r="A9" s="3" t="s">
        <v>103</v>
      </c>
      <c r="B9" s="3"/>
      <c r="C9" s="239">
        <v>-1</v>
      </c>
    </row>
    <row r="10" spans="1:3" ht="13" thickBot="1" x14ac:dyDescent="0.3">
      <c r="A10" s="339" t="s">
        <v>388</v>
      </c>
      <c r="B10" s="339"/>
      <c r="C10" s="346">
        <f t="shared" ref="C10" si="0">(C$4&gt;=18)+(C$5&gt;=18)+(C$6&gt;=18)+(C$7&gt;=18)+(C$8&gt;=18)+(C$9&gt;=18)</f>
        <v>0</v>
      </c>
    </row>
    <row r="11" spans="1:3" ht="37.5" x14ac:dyDescent="0.25">
      <c r="A11" s="437" t="s">
        <v>504</v>
      </c>
      <c r="B11" s="302"/>
      <c r="C11" s="327"/>
    </row>
    <row r="12" spans="1:3" ht="13" thickBot="1" x14ac:dyDescent="0.3">
      <c r="A12" s="279" t="s">
        <v>423</v>
      </c>
      <c r="B12" s="250"/>
      <c r="C12" s="327"/>
    </row>
    <row r="13" spans="1:3" x14ac:dyDescent="0.25">
      <c r="A13" s="256" t="s">
        <v>421</v>
      </c>
      <c r="B13" s="335" t="s">
        <v>424</v>
      </c>
      <c r="C13" s="246" t="s">
        <v>525</v>
      </c>
    </row>
    <row r="14" spans="1:3" x14ac:dyDescent="0.25">
      <c r="A14" s="257" t="s">
        <v>426</v>
      </c>
      <c r="B14" s="257" t="s">
        <v>68</v>
      </c>
      <c r="C14" s="336">
        <f>2*smic</f>
        <v>2797.4</v>
      </c>
    </row>
    <row r="15" spans="1:3" x14ac:dyDescent="0.25">
      <c r="A15" s="257" t="s">
        <v>510</v>
      </c>
      <c r="B15" s="257"/>
      <c r="C15" s="336"/>
    </row>
    <row r="16" spans="1:3" ht="13" thickBot="1" x14ac:dyDescent="0.3">
      <c r="A16" s="258" t="s">
        <v>425</v>
      </c>
      <c r="B16" s="337" t="s">
        <v>428</v>
      </c>
      <c r="C16" s="247">
        <v>2010</v>
      </c>
    </row>
    <row r="18" spans="1:3" ht="13" thickBot="1" x14ac:dyDescent="0.3">
      <c r="A18" s="1" t="s">
        <v>71</v>
      </c>
      <c r="B18" s="256" t="s">
        <v>72</v>
      </c>
      <c r="C18" s="238">
        <f>IF(AND(C3="isolé",OR(C13="pg",C13="solo",AND(C13="ga_m",C52&gt;0))),1,0)</f>
        <v>1</v>
      </c>
    </row>
    <row r="19" spans="1:3" ht="13" thickBot="1" x14ac:dyDescent="0.3">
      <c r="A19" s="6" t="s">
        <v>88</v>
      </c>
      <c r="B19" s="6" t="s">
        <v>72</v>
      </c>
      <c r="C19" s="240">
        <v>0</v>
      </c>
    </row>
    <row r="20" spans="1:3" ht="13" thickBot="1" x14ac:dyDescent="0.3">
      <c r="A20" s="4"/>
      <c r="B20" s="4"/>
      <c r="C20" s="139"/>
    </row>
    <row r="21" spans="1:3" x14ac:dyDescent="0.25">
      <c r="A21" s="256" t="s">
        <v>233</v>
      </c>
      <c r="B21" s="300" t="s">
        <v>234</v>
      </c>
      <c r="C21" s="241">
        <v>0</v>
      </c>
    </row>
    <row r="22" spans="1:3" x14ac:dyDescent="0.25">
      <c r="A22" s="257" t="s">
        <v>235</v>
      </c>
      <c r="B22" s="297"/>
      <c r="C22" s="242">
        <v>0</v>
      </c>
    </row>
    <row r="23" spans="1:3" x14ac:dyDescent="0.25">
      <c r="A23" s="257" t="s">
        <v>236</v>
      </c>
      <c r="B23" s="297"/>
      <c r="C23" s="242">
        <v>0</v>
      </c>
    </row>
    <row r="24" spans="1:3" ht="13" thickBot="1" x14ac:dyDescent="0.3">
      <c r="A24" s="258" t="s">
        <v>237</v>
      </c>
      <c r="B24" s="301"/>
      <c r="C24" s="243">
        <v>0</v>
      </c>
    </row>
    <row r="25" spans="1:3" x14ac:dyDescent="0.25">
      <c r="A25" s="257" t="s">
        <v>309</v>
      </c>
      <c r="B25" s="257"/>
      <c r="C25" s="244">
        <v>1</v>
      </c>
    </row>
    <row r="26" spans="1:3" ht="13" thickBot="1" x14ac:dyDescent="0.3">
      <c r="A26" s="258" t="s">
        <v>310</v>
      </c>
      <c r="B26" s="258"/>
      <c r="C26" s="245">
        <v>1</v>
      </c>
    </row>
    <row r="27" spans="1:3" ht="13" thickBot="1" x14ac:dyDescent="0.3">
      <c r="A27" s="4"/>
      <c r="B27" s="4"/>
      <c r="C27" s="139"/>
    </row>
    <row r="28" spans="1:3" x14ac:dyDescent="0.25">
      <c r="A28" s="256" t="s">
        <v>314</v>
      </c>
      <c r="B28" s="256"/>
      <c r="C28" s="246" t="s">
        <v>313</v>
      </c>
    </row>
    <row r="29" spans="1:3" x14ac:dyDescent="0.25">
      <c r="A29" s="2" t="s">
        <v>64</v>
      </c>
      <c r="B29" s="2" t="s">
        <v>63</v>
      </c>
      <c r="C29" s="239">
        <v>2</v>
      </c>
    </row>
    <row r="30" spans="1:3" ht="13" thickBot="1" x14ac:dyDescent="0.3">
      <c r="A30" s="258" t="s">
        <v>174</v>
      </c>
      <c r="B30" s="258" t="s">
        <v>171</v>
      </c>
      <c r="C30" s="247" t="s">
        <v>439</v>
      </c>
    </row>
    <row r="31" spans="1:3" ht="13" thickBot="1" x14ac:dyDescent="0.3">
      <c r="A31" s="10"/>
      <c r="B31" s="10"/>
      <c r="C31" s="296"/>
    </row>
    <row r="32" spans="1:3" x14ac:dyDescent="0.25">
      <c r="A32" s="256" t="s">
        <v>523</v>
      </c>
      <c r="B32" s="256" t="s">
        <v>345</v>
      </c>
      <c r="C32" s="246">
        <v>0</v>
      </c>
    </row>
    <row r="33" spans="1:3" ht="13" thickBot="1" x14ac:dyDescent="0.3">
      <c r="A33" s="258" t="s">
        <v>344</v>
      </c>
      <c r="B33" s="258" t="s">
        <v>355</v>
      </c>
      <c r="C33" s="247">
        <v>0</v>
      </c>
    </row>
    <row r="34" spans="1:3" ht="13" thickBot="1" x14ac:dyDescent="0.3">
      <c r="A34" s="10"/>
      <c r="B34" s="10"/>
      <c r="C34" s="296"/>
    </row>
    <row r="35" spans="1:3" x14ac:dyDescent="0.25">
      <c r="A35" s="256" t="s">
        <v>343</v>
      </c>
      <c r="B35" s="256" t="s">
        <v>394</v>
      </c>
      <c r="C35" s="246" t="s">
        <v>334</v>
      </c>
    </row>
    <row r="36" spans="1:3" ht="13" thickBot="1" x14ac:dyDescent="0.3">
      <c r="A36" s="258" t="s">
        <v>333</v>
      </c>
      <c r="B36" s="258"/>
      <c r="C36" s="247" t="s">
        <v>334</v>
      </c>
    </row>
    <row r="37" spans="1:3" ht="13" thickBot="1" x14ac:dyDescent="0.3">
      <c r="A37" s="10"/>
      <c r="B37" s="10"/>
      <c r="C37" s="296"/>
    </row>
    <row r="38" spans="1:3" x14ac:dyDescent="0.25">
      <c r="A38" s="256" t="s">
        <v>196</v>
      </c>
      <c r="B38" s="256" t="s">
        <v>68</v>
      </c>
      <c r="C38" s="248">
        <v>330</v>
      </c>
    </row>
    <row r="39" spans="1:3" ht="13" thickBot="1" x14ac:dyDescent="0.3">
      <c r="A39" s="257" t="s">
        <v>197</v>
      </c>
      <c r="B39" s="257" t="s">
        <v>68</v>
      </c>
      <c r="C39" s="336">
        <v>0</v>
      </c>
    </row>
    <row r="40" spans="1:3" x14ac:dyDescent="0.25">
      <c r="A40" s="341" t="s">
        <v>206</v>
      </c>
      <c r="B40" s="514" t="s">
        <v>389</v>
      </c>
      <c r="C40" s="342">
        <f t="shared" ref="C40:C41" si="1">MIN(100%,C38/smic)</f>
        <v>0.23593336669764781</v>
      </c>
    </row>
    <row r="41" spans="1:3" ht="13" thickBot="1" x14ac:dyDescent="0.3">
      <c r="A41" s="343" t="s">
        <v>207</v>
      </c>
      <c r="B41" s="515"/>
      <c r="C41" s="344">
        <f t="shared" si="1"/>
        <v>0</v>
      </c>
    </row>
    <row r="42" spans="1:3" ht="13" thickBot="1" x14ac:dyDescent="0.3">
      <c r="A42" s="345" t="s">
        <v>288</v>
      </c>
      <c r="B42" s="339"/>
      <c r="C42" s="344">
        <f t="shared" ref="C42" si="2">(C38+C39)/smic</f>
        <v>0.23593336669764781</v>
      </c>
    </row>
    <row r="43" spans="1:3" x14ac:dyDescent="0.25">
      <c r="A43" s="334"/>
      <c r="B43" s="302"/>
      <c r="C43" s="358"/>
    </row>
    <row r="44" spans="1:3" ht="13" thickBot="1" x14ac:dyDescent="0.3">
      <c r="A44" s="283" t="s">
        <v>432</v>
      </c>
      <c r="B44" s="283"/>
      <c r="C44" s="187"/>
    </row>
    <row r="45" spans="1:3" ht="13" x14ac:dyDescent="0.25">
      <c r="A45" s="348" t="s">
        <v>515</v>
      </c>
      <c r="B45" s="256" t="s">
        <v>433</v>
      </c>
      <c r="C45" s="248" t="s">
        <v>434</v>
      </c>
    </row>
    <row r="46" spans="1:3" x14ac:dyDescent="0.25">
      <c r="A46" s="349" t="s">
        <v>435</v>
      </c>
      <c r="B46" s="2"/>
      <c r="C46" s="350">
        <v>0</v>
      </c>
    </row>
    <row r="47" spans="1:3" x14ac:dyDescent="0.25">
      <c r="A47" s="349" t="s">
        <v>436</v>
      </c>
      <c r="B47" s="2"/>
      <c r="C47" s="350">
        <v>0</v>
      </c>
    </row>
    <row r="48" spans="1:3" ht="13" x14ac:dyDescent="0.25">
      <c r="A48" s="349" t="s">
        <v>516</v>
      </c>
      <c r="B48" s="2"/>
      <c r="C48" s="336" t="s">
        <v>434</v>
      </c>
    </row>
    <row r="49" spans="1:3" x14ac:dyDescent="0.25">
      <c r="A49" s="349" t="s">
        <v>438</v>
      </c>
      <c r="B49" s="2"/>
      <c r="C49" s="350">
        <v>0</v>
      </c>
    </row>
    <row r="50" spans="1:3" ht="13" thickBot="1" x14ac:dyDescent="0.3">
      <c r="A50" s="351" t="s">
        <v>437</v>
      </c>
      <c r="B50" s="3"/>
      <c r="C50" s="352">
        <v>0</v>
      </c>
    </row>
    <row r="51" spans="1:3" ht="13" thickBot="1" x14ac:dyDescent="0.3">
      <c r="A51" s="283"/>
      <c r="B51" s="283"/>
      <c r="C51" s="187"/>
    </row>
    <row r="52" spans="1:3" ht="13" thickBot="1" x14ac:dyDescent="0.3">
      <c r="A52" s="338" t="s">
        <v>427</v>
      </c>
      <c r="B52" s="339"/>
      <c r="C52" s="340">
        <f>(C$3="isolé")*IF(C$13="pg",(
(C$16=2010)*(C$99*((C$99=1)*ceee_taux_1enf+(C$99=2)*ceee_taux_2enf+(C$99=3)*ceee_taux_3enf+(C$99=4)*ceee_taux_4enf+(C$99=5)*ceee_taux_5enf+(C$99=6)*ceee_taux_6enf)*MAX(C$14-ceee_abat,0))
+(C$16=2018)*MAX(0,(MIN(C$99*((C$99=1)*ceeeb_taux_1enf+(C$99=2)*ceeeb_taux_2enf+(C$99=3)*ceeeb_taux_3enf+(C$99=4)*ceeeb_taux_4enf+(C$99=5)*ceeeb_taux_5enf+(C$99=6)*ceeeb_taux_6enf)*C$14,C$14-ceeeb_reste_à_vivre)))
+(C$16="inter")*IF(C$14&lt;=ceee_inter_seuil1,
(C$99*((C$99=1)*ceee_taux_1enf+(C$99=2)*ceee_taux_2enf+(C$99=3)*ceee_taux_3enf+(C$99=4)*ceee_taux_4enf+(C$99=5)*ceee_taux_5enf+(C$99=6)*ceee_taux_6enf)*MAX(C$14-ceee_abat,0)),
IF(C$14&gt;=ceee_inter_seuil2,
(MIN(C$99*((C$99=1)*ceeeb_taux_1enf+(C$99=2)*ceeeb_taux_2enf+(C$99=3)*ceeeb_taux_3enf+(C$99=4)*ceeeb_taux_4enf+(C$99=5)*ceeeb_taux_5enf+(C$99=6)*ceeeb_taux_6enf)*C$14,C$14-ceeeb_reste_à_vivre)),
(C$99*((C$99=1)*ceeeb_taux_1enf+(C$99=2)*ceeeb_taux_2enf+(C$99=3)*ceeeb_taux_3enf+(C$99=4)*ceeeb_taux_4enf+(C$99=5)*ceeeb_taux_5enf+(C$99=6)*ceeeb_taux_6enf))*(ceee_inter_coef*C$14+(1-ceee_inter_coef)*ceee_inter_seuil2)
))
),0)*(C$14&gt;=700)
+(C$3="isolé")*IF(C$13="ga_m",(
(C$16=2010)*(C$99*((C$99=1)*ceee_taux_1enf_ga+(C$99=2)*ceee_taux_2enf_ga+(C$99=3)*ceee_taux_3enf_ga+(C$99=4)*ceee_taux_4enf_ga+(C$99=5)*ceee_taux_5enf_ga+(C$99=6)*ceee_taux_6enf_ga)*MAX(C$14-ceee_abat,0))
+(C$16=2018)*MAX(0,(MIN(C$99*((C$99=1)*ceeeb_taux_1enf_ga+(C$99=2)*ceeeb_taux_2enf_ga+(C$99=3)*ceeeb_taux_3enf_ga+(C$99=4)*ceeeb_taux_4enf_ga+(C$99=5)*ceeeb_taux_5enf_ga+(C$99=6)*ceeeb_taux_6enf_ga)*C$14,C$14-ceeeb_reste_à_vivre)))
+(C$16="inter")*IF(C$14&lt;=ceee_inter_seuil1,
(C$99*((C$99=1)*ceee_taux_1enf_ga+(C$99=2)*ceee_taux_2enf_ga+(C$99=3)*ceee_taux_3enf_ga+(C$99=4)*ceee_taux_4enf_ga+(C$99=5)*ceee_taux_5enf_ga+(C$99=6)*ceee_taux_6enf_ga)*MAX(C$14-ceee_abat,0)),
IF(C$14&gt;=ceee_inter_seuil2,
(MIN(C$99*((C$99=1)*ceeeb_taux_1enf_ga+(C$99=2)*ceeeb_taux_2enf_ga+(C$99=3)*ceeeb_taux_3enf_ga+(C$99=4)*ceeeb_taux_4enf_ga+(C$99=5)*ceeeb_taux_5enf_ga+(C$99=6)*ceeeb_taux_6enf_ga)*C$14,C$14-ceeeb_reste_à_vivre)),
(C$99*((C$99=1)*ceeeb_taux_1enf_ga+(C$99=2)*ceeeb_taux_2enf_ga+(C$99=3)*ceeeb_taux_3enf_ga+(C$99=4)*ceeeb_taux_4enf_ga+(C$99=5)*ceeeb_taux_5enf_ga+(C$99=6)*ceeeb_taux_6enf_ga))*(ceee_inter_coef*C$14+(1-ceee_inter_coef)*ceee_inter_seuil2)
))
),0)*(C$14&gt;=700)</f>
        <v>0</v>
      </c>
    </row>
    <row r="53" spans="1:3" ht="13" thickBot="1" x14ac:dyDescent="0.3">
      <c r="A53" s="338" t="s">
        <v>422</v>
      </c>
      <c r="B53" s="339"/>
      <c r="C53" s="340">
        <f>(C$3="isolé")*IF(C$13="png",(
(C$16=2010)*(C$99*((C$99=1)*ceee_taux_1enf+(C$99=2)*ceee_taux_2enf+(C$99=3)*ceee_taux_3enf+(C$99=4)*ceee_taux_4enf+(C$99=5)*ceee_taux_5enf+(C$99=6)*ceee_taux_6enf)*MAX(C$58-ceee_abat,0))
+(C$16=2018)*MAX(0,(MIN(C$99*((C$99=1)*ceeeb_taux_1enf+(C$99=2)*ceeeb_taux_2enf+(C$99=3)*ceeeb_taux_3enf+(C$99=4)*ceeeb_taux_4enf+(C$99=5)*ceeeb_taux_5enf+(C$99=6)*ceeeb_taux_6enf)*MAX(C$58,1.035*C$214),C$58-ceeeb_reste_à_vivre)))
+(C$16="inter")*IF(C$58&lt;=ceee_inter_seuil1,
(C$99*((C$99=1)*ceee_taux_1enf+(C$99=2)*ceee_taux_2enf+(C$99=3)*ceee_taux_3enf+(C$99=4)*ceee_taux_4enf+(C$99=5)*ceee_taux_5enf+(C$99=6)*ceee_taux_6enf)*MAX(C$58-ceee_abat,0)),
IF(C$58&gt;=ceee_inter_seuil2,
(MIN(C$99*((C$99=1)*ceeeb_taux_1enf+(C$99=2)*ceeeb_taux_2enf+(C$99=3)*ceeeb_taux_3enf+(C$99=4)*ceeeb_taux_4enf+(C$99=5)*ceeeb_taux_5enf+(C$99=6)*ceeeb_taux_6enf)*C$58,C$58-ceeeb_reste_à_vivre)),
(C$99*((C$99=1)*ceeeb_taux_1enf+(C$99=2)*ceeeb_taux_2enf+(C$99=3)*ceeeb_taux_3enf+(C$99=4)*ceeeb_taux_4enf+(C$99=5)*ceeeb_taux_5enf+(C$99=6)*ceeeb_taux_6enf))*(ceee_inter_coef*C$58+(1-ceee_inter_coef)*ceee_inter_seuil2)
))),0)*(C$58&gt;=700)+
(C$3="isolé")*IF(C$13="ga_p",(
(C$16=2010)*(C$99*((C$99=1)*ceee_taux_1enf_ga+(C$99=2)*ceee_taux_2enf_ga+(C$99=3)*ceee_taux_3enf_ga+(C$99=4)*ceee_taux_4enf_ga+(C$99=5)*ceee_taux_5enf_ga+(C$99=6)*ceee_taux_6enf_ga)*MAX(C$58-ceee_abat,0))
+(C$16=2018)*MAX(0,(MIN(C$99*((C$99=1)*ceeeb_taux_1enf_ga+(C$99=2)*ceeeb_taux_2enf_ga+(C$99=3)*ceeeb_taux_3enf_ga+(C$99=4)*ceeeb_taux_4enf_ga+(C$99=5)*ceeeb_taux_5enf_ga+(C$99=6)*ceeeb_taux_6enf_ga)*C$58,C$58-ceeeb_reste_à_vivre)))
+(C$16="inter")*IF(C$58&lt;=ceee_inter_seuil1,
(C$99*((C$99=1)*ceee_taux_1enf_ga+(C$99=2)*ceee_taux_2enf_ga+(C$99=3)*ceee_taux_3enf_ga+(C$99=4)*ceee_taux_4enf_ga+(C$99=5)*ceee_taux_5enf_ga+(C$99=6)*ceee_taux_6enf_ga)*MAX(C$58-ceee_abat,0)),
IF(C$58&gt;=ceee_inter_seuil2,
(MIN(C$99*((C$99=1)*ceeeb_taux_1enf_ga+(C$99=2)*ceeeb_taux_2enf_ga+(C$99=3)*ceeeb_taux_3enf_ga+(C$99=4)*ceeeb_taux_4enf_ga+(C$99=5)*ceeeb_taux_5enf_ga+(C$99=6)*ceeeb_taux_6enf_ga)*C$58,C$58-ceeeb_reste_à_vivre)),
(C$99*((C$99=1)*ceeeb_taux_1enf_ga+(C$99=2)*ceeeb_taux_2enf_ga+(C$99=3)*ceeeb_taux_3enf_ga+(C$99=4)*ceeeb_taux_4enf_ga+(C$99=5)*ceeeb_taux_5enf_ga+(C$99=6)*ceeeb_taux_6enf_ga))*(ceee_inter_coef*C$58+(1-ceee_inter_coef)*ceee_inter_seuil2)
))),0)*(C$58&gt;=700)</f>
        <v>0</v>
      </c>
    </row>
    <row r="54" spans="1:3" x14ac:dyDescent="0.25">
      <c r="C54"/>
    </row>
    <row r="55" spans="1:3" ht="13" x14ac:dyDescent="0.3">
      <c r="A55" s="219" t="s">
        <v>390</v>
      </c>
      <c r="B55" s="89"/>
      <c r="C55" s="328"/>
    </row>
    <row r="56" spans="1:3" ht="13.9" customHeight="1" x14ac:dyDescent="0.25">
      <c r="A56" s="220" t="s">
        <v>396</v>
      </c>
      <c r="B56" s="229"/>
      <c r="C56" s="211">
        <f>C38+(C$3="couple")*C39</f>
        <v>330</v>
      </c>
    </row>
    <row r="57" spans="1:3" x14ac:dyDescent="0.25">
      <c r="A57" s="225" t="s">
        <v>397</v>
      </c>
      <c r="B57" s="230"/>
      <c r="C57" s="212">
        <f>(C35="chômeur")*IF(C45="calcul",C111,C46)+(C$3="couple")*(C36="chômeur")*IF(C48="calcul",C116,C49)</f>
        <v>0</v>
      </c>
    </row>
    <row r="58" spans="1:3" ht="13" x14ac:dyDescent="0.3">
      <c r="A58" s="222" t="s">
        <v>346</v>
      </c>
      <c r="B58" s="228"/>
      <c r="C58" s="214">
        <f t="shared" ref="C58" si="3">SUM(C56:C57)</f>
        <v>330</v>
      </c>
    </row>
    <row r="59" spans="1:3" x14ac:dyDescent="0.25">
      <c r="A59" s="223" t="s">
        <v>1</v>
      </c>
      <c r="B59" s="229"/>
      <c r="C59" s="211">
        <f>IF(OR(C13="ga_m",C13="ga_p"),0.5,IF(C13="png",0,1))*((C$127+C$128+C$129)*IF(C$119&lt;=C$130,1,IF(C$119&lt;=C$131,0.5,0.25))+C$132)</f>
        <v>0</v>
      </c>
    </row>
    <row r="60" spans="1:3" x14ac:dyDescent="0.25">
      <c r="A60" s="224" t="s">
        <v>135</v>
      </c>
      <c r="B60" s="230"/>
      <c r="C60" s="212">
        <f>(C$13&lt;&gt;"ga_p")*C$137</f>
        <v>0</v>
      </c>
    </row>
    <row r="61" spans="1:3" x14ac:dyDescent="0.25">
      <c r="A61" s="224" t="s">
        <v>136</v>
      </c>
      <c r="B61" s="230"/>
      <c r="C61" s="212">
        <f>(C$13&lt;&gt;"ga_p")*C$138</f>
        <v>0</v>
      </c>
    </row>
    <row r="62" spans="1:3" x14ac:dyDescent="0.25">
      <c r="A62" s="224" t="s">
        <v>2</v>
      </c>
      <c r="B62" s="230"/>
      <c r="C62" s="212">
        <f>(C$13&lt;&gt;"ga_p")*((C$18=1)*(C$3="isolé")*MAX(0,asf*C97-C$52)*((asf*C$97-C$52)&gt;=15))</f>
        <v>0</v>
      </c>
    </row>
    <row r="63" spans="1:3" x14ac:dyDescent="0.25">
      <c r="A63" s="224" t="s">
        <v>69</v>
      </c>
      <c r="B63" s="230"/>
      <c r="C63" s="212">
        <f>(C$13&lt;&gt;"ga_p")*C143/12</f>
        <v>0</v>
      </c>
    </row>
    <row r="64" spans="1:3" x14ac:dyDescent="0.25">
      <c r="A64" s="224" t="s">
        <v>49</v>
      </c>
      <c r="B64" s="230"/>
      <c r="C64" s="212">
        <f>(C$13&lt;&gt;"ga_p")*((C$100&gt;0)*IF(C$119&lt;C$146,ab,IF(C$119&lt;C$147,ab_réduit,0)))</f>
        <v>0</v>
      </c>
    </row>
    <row r="65" spans="1:3" x14ac:dyDescent="0.25">
      <c r="A65" s="225" t="s">
        <v>238</v>
      </c>
      <c r="B65" s="230"/>
      <c r="C65" s="212">
        <f>(C$13&lt;&gt;"ga_p")*C$152</f>
        <v>0</v>
      </c>
    </row>
    <row r="66" spans="1:3" x14ac:dyDescent="0.25">
      <c r="A66" s="225" t="s">
        <v>239</v>
      </c>
      <c r="B66" s="230"/>
      <c r="C66" s="212">
        <f>(C$13&lt;&gt;"ga_p")*(((C$21&gt;0)*MIN((1-taux_CRDS)*cmg_part_max_pcsn*C$155,IF(C$119&lt;cmg_plaf_1_pct_plaf_inter*C$166,cmg_max,IF(C$119&lt;C$166,cmg_inter,cmg_min)))+(C$22+C$23&gt;0)*MIN((1-taux_CRDS)*cmg_part_max_pcsn*C$162,IF(C$119&lt;cmg_plaf_1_pct_plaf_inter*C$166,cmg_max,IF(C$119&lt;C$166,cmg_inter,cmg_min))))*IF(C3="isolé",1+cmg_majo_iso,1))</f>
        <v>0</v>
      </c>
    </row>
    <row r="67" spans="1:3" x14ac:dyDescent="0.25">
      <c r="A67" s="225" t="s">
        <v>240</v>
      </c>
      <c r="B67" s="230"/>
      <c r="C67" s="212">
        <f>(C$13&lt;&gt;"ga_p")*((C$21&gt;0)*C$156+(C$22+C$23&gt;0)*C$161)</f>
        <v>0</v>
      </c>
    </row>
    <row r="68" spans="1:3" ht="13" x14ac:dyDescent="0.3">
      <c r="A68" s="221" t="s">
        <v>141</v>
      </c>
      <c r="B68" s="231"/>
      <c r="C68" s="215">
        <f t="shared" ref="C68" si="4">SUM(C59:C65)</f>
        <v>0</v>
      </c>
    </row>
    <row r="69" spans="1:3" ht="13" x14ac:dyDescent="0.3">
      <c r="A69" s="226" t="s">
        <v>70</v>
      </c>
      <c r="B69" s="232"/>
      <c r="C69" s="216">
        <f>IF(C28="locataire",1,0)*IF(C$13="png",C200,IF(OR(C$13="ga_m",C$13="ga_p"),C200+0.5*(C185-C200),C185))</f>
        <v>291.98274999999995</v>
      </c>
    </row>
    <row r="70" spans="1:3" x14ac:dyDescent="0.25">
      <c r="A70" s="220" t="s">
        <v>318</v>
      </c>
      <c r="B70" s="233"/>
      <c r="C70" s="218">
        <f>((IF(C$257&lt;(bcol_seuil3_1enf+bcol_seuil3_enf_sup*(C$97-1)),bcol_montant3,IF(C$97&lt;(bcol_seuil2_1enf+bcol_seuil2_enf_sup*(C$97-1)),bcol_montant2,IF(C$97&lt;(bcol_seuil1_1enf+bcol_seuil1_enf_sup*(C$97-1)),bcol_montant1,0))))/12)*C$103*(C$13&lt;&gt;"png")*(C$13&lt;&gt;"ga_p")</f>
        <v>0</v>
      </c>
    </row>
    <row r="71" spans="1:3" x14ac:dyDescent="0.25">
      <c r="A71" s="225" t="s">
        <v>319</v>
      </c>
      <c r="B71" s="234"/>
      <c r="C71" s="213">
        <f>(C104*C259/12)*(C$13&lt;&gt;"png")*(C$13&lt;&gt;"ga_p")</f>
        <v>0</v>
      </c>
    </row>
    <row r="72" spans="1:3" x14ac:dyDescent="0.25">
      <c r="A72" s="225" t="s">
        <v>356</v>
      </c>
      <c r="B72" s="234"/>
      <c r="C72" s="213">
        <f>(C10*C265/12)*(C$13&lt;&gt;"png")*(C$13&lt;&gt;"ga_p")</f>
        <v>0</v>
      </c>
    </row>
    <row r="73" spans="1:3" ht="13" x14ac:dyDescent="0.3">
      <c r="A73" s="221" t="s">
        <v>385</v>
      </c>
      <c r="B73" s="231"/>
      <c r="C73" s="215">
        <f t="shared" ref="C73" si="5">SUM(C70:C72)</f>
        <v>0</v>
      </c>
    </row>
    <row r="74" spans="1:3" ht="13" x14ac:dyDescent="0.3">
      <c r="A74" s="227" t="s">
        <v>335</v>
      </c>
      <c r="B74" s="235"/>
      <c r="C74" s="217">
        <f>C$32*C$205+(C$3="couple")*C$33*C$207</f>
        <v>0</v>
      </c>
    </row>
    <row r="75" spans="1:3" ht="13" x14ac:dyDescent="0.3">
      <c r="A75" s="226" t="s">
        <v>84</v>
      </c>
      <c r="B75" s="232"/>
      <c r="C75" s="216">
        <f>(C$218&gt;=rsa_seuil_versement)*C$218</f>
        <v>229.4248</v>
      </c>
    </row>
    <row r="76" spans="1:3" ht="13" x14ac:dyDescent="0.3">
      <c r="A76" s="227" t="s">
        <v>142</v>
      </c>
      <c r="B76" s="235"/>
      <c r="C76" s="217">
        <f>(C$229&gt;=pa_seuil_versement)*C$229*(1-taux_CRDS)</f>
        <v>188.84065199999995</v>
      </c>
    </row>
    <row r="77" spans="1:3" ht="13" x14ac:dyDescent="0.3">
      <c r="A77" s="222" t="s">
        <v>3</v>
      </c>
      <c r="B77" s="236"/>
      <c r="C77" s="214">
        <f t="shared" ref="C77" si="6">C68+C69+C70+C71+C72+C74+C75+C76</f>
        <v>710.24820199999988</v>
      </c>
    </row>
    <row r="78" spans="1:3" ht="13" x14ac:dyDescent="0.3">
      <c r="A78" s="222" t="s">
        <v>416</v>
      </c>
      <c r="B78" s="228"/>
      <c r="C78" s="214">
        <f>C$254/12</f>
        <v>0</v>
      </c>
    </row>
    <row r="79" spans="1:3" ht="13" x14ac:dyDescent="0.3">
      <c r="A79" s="442" t="s">
        <v>354</v>
      </c>
      <c r="B79" s="443"/>
      <c r="C79" s="214">
        <f>C$58+C$77-C$78+C$52-C$53</f>
        <v>1040.2482019999998</v>
      </c>
    </row>
    <row r="82" spans="1:3" ht="13" x14ac:dyDescent="0.3">
      <c r="A82" s="219" t="s">
        <v>391</v>
      </c>
      <c r="B82" s="237"/>
      <c r="C82" s="438"/>
    </row>
    <row r="83" spans="1:3" ht="13" x14ac:dyDescent="0.3">
      <c r="A83" s="445"/>
      <c r="B83" s="429"/>
      <c r="C83" s="446"/>
    </row>
    <row r="84" spans="1:3" s="272" customFormat="1" x14ac:dyDescent="0.25">
      <c r="A84" s="220" t="s">
        <v>408</v>
      </c>
      <c r="B84" s="233"/>
      <c r="C84" s="333">
        <f>(C$3="isolé")*(1
+(C$13="solo")*(uc_enf*C$99+(uc_ado-uc_enf)*C$102)
+(C$13="pg")*(uc_enf*C$99+(uc_ado-uc_enf)*C$102)
+(C$13="png")*0
+(OR(C$13="ga_m",C$13="ga_p"))*(1/2)*(1+$A$83)*(uc_enf*C$99+(uc_ado-uc_enf)*C$102))
+(C$3="couple")*(1.5+uc_enf*C$99+(uc_ado-uc_enf)*C$102)</f>
        <v>1</v>
      </c>
    </row>
    <row r="85" spans="1:3" ht="13" x14ac:dyDescent="0.3">
      <c r="A85" s="221" t="s">
        <v>513</v>
      </c>
      <c r="B85" s="231"/>
      <c r="C85" s="215">
        <f>C79/C84</f>
        <v>1040.2482019999998</v>
      </c>
    </row>
    <row r="86" spans="1:3" ht="13" x14ac:dyDescent="0.3">
      <c r="A86" s="444"/>
      <c r="B86" s="441"/>
      <c r="C86" s="438"/>
    </row>
    <row r="87" spans="1:3" s="272" customFormat="1" x14ac:dyDescent="0.25">
      <c r="A87" s="220" t="s">
        <v>486</v>
      </c>
      <c r="B87" s="233"/>
      <c r="C87" s="333">
        <f>(C$3="isolé")*(1
+(C$13="solo")*(1+1/3)*(uc_enf*C$99+(uc_ado-uc_enf)*C$102)
+(C$13="pg")*(3/4)*(1+1/3)*(uc_enf*C$99+(uc_ado-uc_enf)*C$102)
+(C$13="png")*(1/4)*(1+1/3)*(uc_enf*C$99+(uc_ado-uc_enf)*C$102)
+(OR(C$13="ga_m",C$13="ga_p"))*(1/2)*(1+1/3)*(uc_enf*C$99+(uc_ado-uc_enf)*C$102))
+(C$3="couple")*(1.5+uc_enf*C$99+(uc_ado-uc_enf)*C$102)</f>
        <v>1</v>
      </c>
    </row>
    <row r="88" spans="1:3" s="272" customFormat="1" ht="13" x14ac:dyDescent="0.3">
      <c r="A88" s="221" t="s">
        <v>514</v>
      </c>
      <c r="B88" s="231"/>
      <c r="C88" s="215">
        <f>C79/C87</f>
        <v>1040.2482019999998</v>
      </c>
    </row>
    <row r="89" spans="1:3" s="272" customFormat="1" ht="13" x14ac:dyDescent="0.3">
      <c r="A89" s="447"/>
      <c r="B89" s="448"/>
      <c r="C89" s="449"/>
    </row>
    <row r="90" spans="1:3" s="272" customFormat="1" x14ac:dyDescent="0.25">
      <c r="A90" s="220" t="s">
        <v>448</v>
      </c>
      <c r="B90" s="233"/>
      <c r="C90" s="218">
        <f>C155+C160-C161+C169-C66</f>
        <v>0</v>
      </c>
    </row>
    <row r="91" spans="1:3" x14ac:dyDescent="0.25">
      <c r="A91" s="225" t="s">
        <v>393</v>
      </c>
      <c r="B91" s="234"/>
      <c r="C91" s="213">
        <f>C79-C90</f>
        <v>1040.2482019999998</v>
      </c>
    </row>
    <row r="92" spans="1:3" ht="13" x14ac:dyDescent="0.3">
      <c r="A92" s="221" t="s">
        <v>386</v>
      </c>
      <c r="B92" s="231"/>
      <c r="C92" s="215">
        <f>C91/C87</f>
        <v>1040.2482019999998</v>
      </c>
    </row>
    <row r="93" spans="1:3" s="210" customFormat="1" ht="13" x14ac:dyDescent="0.3">
      <c r="A93" s="89"/>
      <c r="B93" s="268"/>
      <c r="C93" s="280"/>
    </row>
    <row r="94" spans="1:3" s="210" customFormat="1" ht="13" x14ac:dyDescent="0.3">
      <c r="A94" s="281" t="s">
        <v>392</v>
      </c>
      <c r="B94" s="281"/>
      <c r="C94" s="195"/>
    </row>
    <row r="95" spans="1:3" ht="13.5" thickBot="1" x14ac:dyDescent="0.35">
      <c r="A95" s="295" t="s">
        <v>395</v>
      </c>
    </row>
    <row r="96" spans="1:3" x14ac:dyDescent="0.25">
      <c r="A96" s="117" t="s">
        <v>108</v>
      </c>
      <c r="B96" s="118"/>
      <c r="C96" s="267">
        <f>(COUNTIFS(C$4:C$9,"&gt;=0",C$4:C$9,"&lt;18")+C$10)</f>
        <v>0</v>
      </c>
    </row>
    <row r="97" spans="1:3" x14ac:dyDescent="0.25">
      <c r="A97" s="116" t="s">
        <v>109</v>
      </c>
      <c r="B97" s="4"/>
      <c r="C97" s="83">
        <f>COUNTIFS(C$4:C$9,"&gt;=0",C$4:C$9,"&lt;20")</f>
        <v>0</v>
      </c>
    </row>
    <row r="98" spans="1:3" x14ac:dyDescent="0.25">
      <c r="A98" s="116" t="s">
        <v>131</v>
      </c>
      <c r="B98" s="4"/>
      <c r="C98" s="83">
        <f>COUNTIFS(C$4:C$9,"&gt;=0",C$4:C$9,"&lt;21")</f>
        <v>0</v>
      </c>
    </row>
    <row r="99" spans="1:3" x14ac:dyDescent="0.25">
      <c r="A99" s="116" t="s">
        <v>110</v>
      </c>
      <c r="B99" s="4"/>
      <c r="C99" s="83">
        <f>COUNTIFS(C$4:C$9,"&gt;=0",C$4:C$9,"&lt;25")</f>
        <v>0</v>
      </c>
    </row>
    <row r="100" spans="1:3" x14ac:dyDescent="0.25">
      <c r="A100" s="116" t="s">
        <v>48</v>
      </c>
      <c r="B100" s="4"/>
      <c r="C100" s="83">
        <f>COUNTIFS(C$4:C$9,"&gt;=0",C$4:C$9,"&lt;3")</f>
        <v>0</v>
      </c>
    </row>
    <row r="101" spans="1:3" x14ac:dyDescent="0.25">
      <c r="A101" s="116" t="s">
        <v>111</v>
      </c>
      <c r="B101" s="4"/>
      <c r="C101" s="83">
        <f>COUNTIFS(C$4:C$9,"&gt;=14",C$4:C$9,"&lt;20")</f>
        <v>0</v>
      </c>
    </row>
    <row r="102" spans="1:3" x14ac:dyDescent="0.25">
      <c r="A102" s="275" t="s">
        <v>159</v>
      </c>
      <c r="B102" s="4"/>
      <c r="C102" s="83">
        <f t="shared" ref="C102" si="7">COUNTIFS(C$4:C$9,"&gt;=14",C$4:C$9,"&lt;25")</f>
        <v>0</v>
      </c>
    </row>
    <row r="103" spans="1:3" x14ac:dyDescent="0.25">
      <c r="A103" s="116" t="s">
        <v>137</v>
      </c>
      <c r="B103" s="4"/>
      <c r="C103" s="83">
        <f>COUNTIFS(C$4:C$9,"&gt;=11",C$4:C$9,"&lt;15")</f>
        <v>0</v>
      </c>
    </row>
    <row r="104" spans="1:3" ht="13" thickBot="1" x14ac:dyDescent="0.3">
      <c r="A104" s="119" t="s">
        <v>138</v>
      </c>
      <c r="B104" s="120"/>
      <c r="C104" s="84">
        <f>COUNTIFS(C$4:C$9,"&gt;=15",C$4:C$9,"&lt;18")</f>
        <v>0</v>
      </c>
    </row>
    <row r="105" spans="1:3" x14ac:dyDescent="0.25">
      <c r="A105" s="302"/>
      <c r="B105" s="302"/>
      <c r="C105" s="327"/>
    </row>
    <row r="106" spans="1:3" ht="13.5" thickBot="1" x14ac:dyDescent="0.35">
      <c r="A106" s="295" t="s">
        <v>419</v>
      </c>
      <c r="B106" s="331"/>
    </row>
    <row r="107" spans="1:3" x14ac:dyDescent="0.25">
      <c r="A107" s="190" t="s">
        <v>336</v>
      </c>
      <c r="B107" s="186"/>
      <c r="C107" s="267"/>
    </row>
    <row r="108" spans="1:3" x14ac:dyDescent="0.25">
      <c r="A108" s="275" t="s">
        <v>337</v>
      </c>
      <c r="B108" s="10"/>
      <c r="C108" s="299">
        <f>C47/smic</f>
        <v>0</v>
      </c>
    </row>
    <row r="109" spans="1:3" x14ac:dyDescent="0.25">
      <c r="A109" s="275" t="s">
        <v>338</v>
      </c>
      <c r="B109" s="10"/>
      <c r="C109" s="196">
        <f>(1+assiette_csgcrds*(crds+tx_csgimp)/(1-tx_cotsal))*C47*12</f>
        <v>0</v>
      </c>
    </row>
    <row r="110" spans="1:3" x14ac:dyDescent="0.25">
      <c r="A110" s="275" t="s">
        <v>339</v>
      </c>
      <c r="B110" s="10"/>
      <c r="C110" s="197">
        <f t="shared" ref="C110" si="8">C109/(261*1.4)</f>
        <v>0</v>
      </c>
    </row>
    <row r="111" spans="1:3" x14ac:dyDescent="0.25">
      <c r="A111" s="191" t="s">
        <v>341</v>
      </c>
      <c r="B111" s="192"/>
      <c r="C111" s="198">
        <f t="shared" ref="C111" si="9">30*MIN(75%*C110,MAX(29.26*C108,40.4%*C110+12*C108,57%*C110))</f>
        <v>0</v>
      </c>
    </row>
    <row r="112" spans="1:3" x14ac:dyDescent="0.25">
      <c r="A112" s="274" t="s">
        <v>340</v>
      </c>
      <c r="C112" s="199"/>
    </row>
    <row r="113" spans="1:3" x14ac:dyDescent="0.25">
      <c r="A113" s="275" t="s">
        <v>337</v>
      </c>
      <c r="B113" s="10"/>
      <c r="C113" s="299">
        <f>C50/smic</f>
        <v>0</v>
      </c>
    </row>
    <row r="114" spans="1:3" x14ac:dyDescent="0.25">
      <c r="A114" s="275" t="s">
        <v>338</v>
      </c>
      <c r="B114" s="10"/>
      <c r="C114" s="196">
        <f>(1+assiette_csgcrds*(crds+tx_csgimp)/(1-tx_cotsal))*C50*12</f>
        <v>0</v>
      </c>
    </row>
    <row r="115" spans="1:3" x14ac:dyDescent="0.25">
      <c r="A115" s="275" t="s">
        <v>339</v>
      </c>
      <c r="B115" s="10"/>
      <c r="C115" s="197">
        <f t="shared" ref="C115" si="10">C114/(261*1.4)</f>
        <v>0</v>
      </c>
    </row>
    <row r="116" spans="1:3" ht="13" thickBot="1" x14ac:dyDescent="0.3">
      <c r="A116" s="193" t="s">
        <v>342</v>
      </c>
      <c r="B116" s="194"/>
      <c r="C116" s="200">
        <f t="shared" ref="C116" si="11">30*MIN(75%*C115,MAX(29.26*C113,40.4%*C115+12*C113,57%*C115))</f>
        <v>0</v>
      </c>
    </row>
    <row r="117" spans="1:3" x14ac:dyDescent="0.25">
      <c r="A117" s="10"/>
      <c r="B117" s="10"/>
      <c r="C117" s="296"/>
    </row>
    <row r="118" spans="1:3" ht="13.5" thickBot="1" x14ac:dyDescent="0.35">
      <c r="A118" s="295" t="s">
        <v>415</v>
      </c>
      <c r="B118" s="10"/>
      <c r="C118" s="296"/>
    </row>
    <row r="119" spans="1:3" ht="13" thickBot="1" x14ac:dyDescent="0.3">
      <c r="A119" s="330" t="s">
        <v>485</v>
      </c>
      <c r="B119" s="329"/>
      <c r="C119" s="347">
        <f>MAX(0,Coef_n_2*C$58-MAX(irpp_min_reduc_fp,MIN(irpp_max_reduc_fp,irpp_taux_reduc_fp*Coef_n_2*C$58)))
+MAX(0,12*C$52-MAX(irpp_min_reduc_pens,MIN(irpp_max_reduc_pens,irpp_taux_reduc_pens*12*C$52)))
 -12*C$53</f>
        <v>3230.1441640386711</v>
      </c>
    </row>
    <row r="120" spans="1:3" x14ac:dyDescent="0.25">
      <c r="A120" s="10"/>
      <c r="B120" s="10"/>
      <c r="C120" s="296"/>
    </row>
    <row r="121" spans="1:3" ht="13.5" thickBot="1" x14ac:dyDescent="0.35">
      <c r="A121" s="295" t="s">
        <v>484</v>
      </c>
      <c r="B121" s="10"/>
      <c r="C121" s="296"/>
    </row>
    <row r="122" spans="1:3" ht="13" thickBot="1" x14ac:dyDescent="0.3">
      <c r="A122" s="430" t="s">
        <v>495</v>
      </c>
      <c r="B122" s="329"/>
      <c r="C122" s="431">
        <f>(C$13&lt;&gt;"png")*C$97</f>
        <v>0</v>
      </c>
    </row>
    <row r="123" spans="1:3" ht="13" thickBot="1" x14ac:dyDescent="0.3">
      <c r="A123" s="430" t="s">
        <v>497</v>
      </c>
      <c r="B123" s="329"/>
      <c r="C123" s="431">
        <f>(C$13&lt;&gt;"png")*C$98</f>
        <v>0</v>
      </c>
    </row>
    <row r="124" spans="1:3" x14ac:dyDescent="0.25">
      <c r="A124" s="10"/>
      <c r="B124" s="5"/>
      <c r="C124" s="184"/>
    </row>
    <row r="125" spans="1:3" ht="13" x14ac:dyDescent="0.3">
      <c r="A125" s="295" t="s">
        <v>128</v>
      </c>
    </row>
    <row r="126" spans="1:3" ht="13.5" thickBot="1" x14ac:dyDescent="0.35">
      <c r="A126" s="295"/>
    </row>
    <row r="127" spans="1:3" x14ac:dyDescent="0.25">
      <c r="A127" s="117" t="s">
        <v>90</v>
      </c>
      <c r="B127" s="121"/>
      <c r="C127" s="123">
        <f>IF(C$122=2,af_2,0)+IF(C$122=3,af_3,0)+IF(C$122=4,af_4,0)+IF(C$122=5,af_5,0)+IF(C$122=6,af_6,0)</f>
        <v>0</v>
      </c>
    </row>
    <row r="128" spans="1:3" x14ac:dyDescent="0.25">
      <c r="A128" s="116" t="s">
        <v>91</v>
      </c>
      <c r="B128" s="5"/>
      <c r="C128" s="85">
        <f>(C$122&gt;=3)*C101*af_majo_âge+(C$122=2)*(MIN(C4,C5)&gt;=14)*af_majo_âge</f>
        <v>0</v>
      </c>
    </row>
    <row r="129" spans="1:3" x14ac:dyDescent="0.25">
      <c r="A129" s="116" t="s">
        <v>124</v>
      </c>
      <c r="B129" s="5"/>
      <c r="C129" s="85">
        <f>(C$122=C$123-1)*(C$123&gt;=3)*af_forfait</f>
        <v>0</v>
      </c>
    </row>
    <row r="130" spans="1:3" x14ac:dyDescent="0.25">
      <c r="A130" s="116" t="s">
        <v>129</v>
      </c>
      <c r="B130" s="5"/>
      <c r="C130" s="85">
        <f>(af_plaf1+MAX(0,C$122-2)*af_plaf_suppl_enf)</f>
        <v>74966</v>
      </c>
    </row>
    <row r="131" spans="1:3" x14ac:dyDescent="0.25">
      <c r="A131" s="116" t="s">
        <v>130</v>
      </c>
      <c r="B131" s="5"/>
      <c r="C131" s="85">
        <f>(af_plaf2+MAX(0,C$122-2)*af_plaf_suppl_enf)</f>
        <v>99922</v>
      </c>
    </row>
    <row r="132" spans="1:3" ht="13" thickBot="1" x14ac:dyDescent="0.3">
      <c r="A132" s="119" t="s">
        <v>140</v>
      </c>
      <c r="B132" s="122"/>
      <c r="C132" s="124">
        <f>(C$119&gt;C130)*(IF(C$119&gt;C131,(IF((C$119-C131&lt;(C127*0.25)),(C127*0.25+C131-C$119),0)),IF(C$119&gt;C130,IF(C$119-C130&lt;(C127*0.5),(C130+C127*0.5-C$119),0))))</f>
        <v>0</v>
      </c>
    </row>
    <row r="133" spans="1:3" x14ac:dyDescent="0.25">
      <c r="A133" s="4"/>
      <c r="B133" s="5"/>
      <c r="C133" s="201"/>
    </row>
    <row r="134" spans="1:3" ht="13.5" thickBot="1" x14ac:dyDescent="0.35">
      <c r="A134" s="295" t="s">
        <v>85</v>
      </c>
      <c r="C134" s="201"/>
    </row>
    <row r="135" spans="1:3" x14ac:dyDescent="0.25">
      <c r="A135" s="117" t="s">
        <v>120</v>
      </c>
      <c r="B135" s="121"/>
      <c r="C135" s="123">
        <f>IF(AND(C$122&gt;=3,C$100=0),1,0)*IF(OR(C$3="isolé",AND(Coef_n_2*C$38&gt;=cf_seuil_act,Coef_n_2*C$39&gt;=cf_seuil_act)),cf_plaf1_couple_biact_ou_iso_3_enf+(C$122-3)*cf_plaf1_sup_enf,cf_plaf1_couple_monoact_3_enf+(C$122-3)*cf_plaf1_sup_enf)</f>
        <v>0</v>
      </c>
    </row>
    <row r="136" spans="1:3" x14ac:dyDescent="0.25">
      <c r="A136" s="116" t="s">
        <v>121</v>
      </c>
      <c r="B136" s="5"/>
      <c r="C136" s="85">
        <f>IF(AND(C$122&gt;=3,C$100=0),1,0)*IF(OR(C$3="isolé",AND(Coef_n_2*C$38&gt;=cf_seuil_act,Coef_n_2*C$39&gt;=cf_seuil_act)),cf_plaf2_couple_biact_ou_iso_3_enf+(C$122-3)*cf_plaf2_sup_enf,cf_plaf2_couple_monoact_3_enf+(C$122-3)*cf_plaf2_sup_enf)</f>
        <v>0</v>
      </c>
    </row>
    <row r="137" spans="1:3" x14ac:dyDescent="0.25">
      <c r="A137" s="116" t="s">
        <v>132</v>
      </c>
      <c r="B137" s="5"/>
      <c r="C137" s="85">
        <f>(C$122&gt;=3)*(C$100=0)*(IF(C$119&lt;C$136,cf_base,IF(C$119&lt;C$136+12*cf_base,(C$136+12*cf_base-C$119)/12,0)))</f>
        <v>0</v>
      </c>
    </row>
    <row r="138" spans="1:3" ht="13" thickBot="1" x14ac:dyDescent="0.3">
      <c r="A138" s="119" t="s">
        <v>133</v>
      </c>
      <c r="B138" s="122"/>
      <c r="C138" s="124">
        <f>(C$123&gt;=3)*(C$100=0)*IF(C$119&lt;C135,cf_majoration,0)</f>
        <v>0</v>
      </c>
    </row>
    <row r="139" spans="1:3" x14ac:dyDescent="0.25">
      <c r="B139" s="255"/>
      <c r="C139" s="201"/>
    </row>
    <row r="140" spans="1:3" ht="13.5" thickBot="1" x14ac:dyDescent="0.35">
      <c r="A140" s="295" t="s">
        <v>86</v>
      </c>
      <c r="B140" s="255"/>
      <c r="C140" s="201"/>
    </row>
    <row r="141" spans="1:3" x14ac:dyDescent="0.25">
      <c r="A141" s="117" t="s">
        <v>67</v>
      </c>
      <c r="B141" s="121"/>
      <c r="C141" s="123">
        <f>IF(C$122&gt;0,ars_plaf_1_enf+ars_plaf_sup_enf*(C$122-1),0)</f>
        <v>0</v>
      </c>
    </row>
    <row r="142" spans="1:3" x14ac:dyDescent="0.25">
      <c r="A142" s="116" t="s">
        <v>82</v>
      </c>
      <c r="B142" s="255"/>
      <c r="C142" s="262">
        <f t="shared" ref="C142" si="12">((6&lt;=C$4)*(C$4&lt;=10)*ars_6_10+(11&lt;=C$4)*(C$4&lt;=14)*ars_11_14+(15&lt;=C$4)*(C$4&lt;=18)*ars_15_18)+((6&lt;=C$5)*(C$5&lt;=10)*ars_6_10+(11&lt;=C$5)*(C$5&lt;=14)*ars_11_14+(15&lt;=C$5)*(C$5&lt;=18)*ars_15_18)+((6&lt;=C$6)*(C$6&lt;=10)*ars_6_10+(11&lt;=C$6)*(C$6&lt;=14)*ars_11_14+(15&lt;=C$6)*(C$6&lt;=18)*ars_15_18)+((6&lt;=C$7)*(C$7&lt;=10)*ars_6_10+(11&lt;=C$7)*(C$7&lt;=14)*ars_11_14+(15&lt;=C$7)*(C$7&lt;=18)*ars_15_18)+((6&lt;=C$8)*(C$8&lt;=10)*ars_6_10+(11&lt;=C$8)*(C$8&lt;=14)*ars_11_14+(15&lt;=C$8)*(C$8&lt;=18)*ars_15_18)+((6&lt;=C$9)*(C$9&lt;=10)*ars_6_10+(11&lt;=C$9)*(C$9&lt;=14)*ars_11_14+(15&lt;=C$9)*(C$9&lt;=18)*ars_15_18)</f>
        <v>0</v>
      </c>
    </row>
    <row r="143" spans="1:3" ht="13" thickBot="1" x14ac:dyDescent="0.3">
      <c r="A143" s="127" t="s">
        <v>81</v>
      </c>
      <c r="B143" s="292"/>
      <c r="C143" s="293">
        <f>IF(C$119&lt;C$141,C142,IF(C$119&lt;C$141+C$142,C$141+C$142-C$119,0))</f>
        <v>0</v>
      </c>
    </row>
    <row r="145" spans="1:3" ht="12.65" customHeight="1" thickBot="1" x14ac:dyDescent="0.35">
      <c r="A145" s="295" t="s">
        <v>87</v>
      </c>
      <c r="B145" s="255"/>
      <c r="C145" s="201"/>
    </row>
    <row r="146" spans="1:3" ht="12.65" customHeight="1" x14ac:dyDescent="0.25">
      <c r="A146" s="117" t="s">
        <v>123</v>
      </c>
      <c r="B146" s="121"/>
      <c r="C146" s="123">
        <f>IF(C$100&gt;0,1,0)*IF(OR(C$3="isolé",AND(Coef_n_2*C$38&gt;=cf_seuil_act,Coef_n_2*C$39&gt;=cf_seuil_act)),(C$122=1)*ab_plaf1_couple_biact_ou_iso_1_enf+(C$122&gt;1)*(ab_plaf1_couple_biact_ou_iso_2_enf+(C$122-2)*ab_plaf1_sup_enf),(C$122=1)*ab_plaf1_couple_monoact_1_enf+(C$122&gt;1)*(ab_plaf1_couple_monact_2_enf+(C$122-2)*ab_plaf1_sup_enf))</f>
        <v>0</v>
      </c>
    </row>
    <row r="147" spans="1:3" ht="12.65" customHeight="1" thickBot="1" x14ac:dyDescent="0.3">
      <c r="A147" s="119" t="s">
        <v>122</v>
      </c>
      <c r="B147" s="122"/>
      <c r="C147" s="124">
        <f>IF(C$100&gt;0,1,0)*IF(OR(C$3="isolé",AND(Coef_n_2*C$38&gt;=cf_seuil_act,Coef_n_2*C$39&gt;=cf_seuil_act)),(C$122=1)*ab_plaf2_couple_biact_ou_iso_1_enf+(C$122&gt;1)*(ab_plaf2_couple_biact_ou_iso_2_enf+(C$122-2)*ab_plaf2_sup_enf),(C$122=1)*ab_plaf2_couple_monoact_1_enf+(C$122&gt;1)*(ab_plaf2_couple_monact_2_enf+(C$122-2)*ab_plaf2_sup_enf))</f>
        <v>0</v>
      </c>
    </row>
    <row r="148" spans="1:3" x14ac:dyDescent="0.25">
      <c r="B148" s="255"/>
      <c r="C148" s="201"/>
    </row>
    <row r="149" spans="1:3" ht="13.5" thickBot="1" x14ac:dyDescent="0.35">
      <c r="A149" s="295" t="s">
        <v>238</v>
      </c>
      <c r="B149" s="255"/>
      <c r="C149" s="201"/>
    </row>
    <row r="150" spans="1:3" x14ac:dyDescent="0.25">
      <c r="A150" s="282" t="s">
        <v>241</v>
      </c>
      <c r="B150" s="308"/>
      <c r="C150" s="273">
        <f>(C$100&gt;0)*(IF(C$25=0,clca_tp,IF(C$25&lt;=50%,clca_tr_1,IF(C$25&lt;=80%,clca_tr_2,0))))</f>
        <v>0</v>
      </c>
    </row>
    <row r="151" spans="1:3" x14ac:dyDescent="0.25">
      <c r="A151" s="275" t="s">
        <v>242</v>
      </c>
      <c r="B151" s="255"/>
      <c r="C151" s="262">
        <f>(C$3="couple")*(C$100&gt;0)*(IF(C$26=0,clca_tp,IF(C$26&lt;=50%,clca_tr_1,IF(C$26&lt;=80%,clca_tr_2,0))))</f>
        <v>0</v>
      </c>
    </row>
    <row r="152" spans="1:3" ht="13.5" thickBot="1" x14ac:dyDescent="0.35">
      <c r="A152" s="279" t="s">
        <v>243</v>
      </c>
      <c r="B152" s="309"/>
      <c r="C152" s="310">
        <f t="shared" ref="C152" si="13">MIN(C150+C151,clca_tp)</f>
        <v>0</v>
      </c>
    </row>
    <row r="153" spans="1:3" x14ac:dyDescent="0.25">
      <c r="C153" s="201"/>
    </row>
    <row r="154" spans="1:3" ht="13.5" thickBot="1" x14ac:dyDescent="0.35">
      <c r="A154" s="295" t="s">
        <v>244</v>
      </c>
      <c r="C154" s="201"/>
    </row>
    <row r="155" spans="1:3" x14ac:dyDescent="0.25">
      <c r="A155" s="282" t="s">
        <v>245</v>
      </c>
      <c r="B155" s="306"/>
      <c r="C155" s="284">
        <f t="shared" ref="C155" si="14">C$21*cmg_cout_net_assmat</f>
        <v>0</v>
      </c>
    </row>
    <row r="156" spans="1:3" x14ac:dyDescent="0.25">
      <c r="A156" s="275" t="s">
        <v>246</v>
      </c>
      <c r="B156" s="298"/>
      <c r="C156" s="263">
        <f t="shared" ref="C156" si="15">C$21*cmg_cotis_assmat</f>
        <v>0</v>
      </c>
    </row>
    <row r="157" spans="1:3" ht="13" thickBot="1" x14ac:dyDescent="0.3">
      <c r="A157" s="279" t="s">
        <v>247</v>
      </c>
      <c r="B157" s="307"/>
      <c r="C157" s="285">
        <f>MAX(0,C$21*irpp_cout_net_assmat-C$66)</f>
        <v>0</v>
      </c>
    </row>
    <row r="158" spans="1:3" x14ac:dyDescent="0.25">
      <c r="A158" s="10"/>
      <c r="B158" s="261"/>
      <c r="C158" s="201"/>
    </row>
    <row r="159" spans="1:3" ht="13.5" thickBot="1" x14ac:dyDescent="0.35">
      <c r="A159" s="295" t="s">
        <v>248</v>
      </c>
      <c r="B159" s="261"/>
      <c r="C159" s="303"/>
    </row>
    <row r="160" spans="1:3" x14ac:dyDescent="0.25">
      <c r="A160" s="282" t="s">
        <v>249</v>
      </c>
      <c r="B160" s="304"/>
      <c r="C160" s="284">
        <f t="shared" ref="C160" si="16">(C$22+C$23/2)*(cmg_cout_net_gdom+cmg_cotis_gdom)</f>
        <v>0</v>
      </c>
    </row>
    <row r="161" spans="1:3" x14ac:dyDescent="0.25">
      <c r="A161" s="275" t="s">
        <v>246</v>
      </c>
      <c r="B161" s="261"/>
      <c r="C161" s="263">
        <f t="shared" ref="C161" si="17">MIN(0.5*(C$22+C$23/2)*(cmg_cotis_gdom),cmg_max_pccs_gdom)</f>
        <v>0</v>
      </c>
    </row>
    <row r="162" spans="1:3" x14ac:dyDescent="0.25">
      <c r="A162" s="275" t="s">
        <v>250</v>
      </c>
      <c r="B162" s="261"/>
      <c r="C162" s="263">
        <f t="shared" ref="C162" si="18">(C$22+C$23/2)*(cmg_cout_net_gdom)</f>
        <v>0</v>
      </c>
    </row>
    <row r="163" spans="1:3" ht="13" thickBot="1" x14ac:dyDescent="0.3">
      <c r="A163" s="279" t="s">
        <v>247</v>
      </c>
      <c r="B163" s="305"/>
      <c r="C163" s="285">
        <f>MAX(0,C$160-C$161-C$66)</f>
        <v>0</v>
      </c>
    </row>
    <row r="164" spans="1:3" x14ac:dyDescent="0.25">
      <c r="A164" s="10"/>
      <c r="B164" s="261"/>
      <c r="C164" s="303"/>
    </row>
    <row r="165" spans="1:3" ht="13.5" thickBot="1" x14ac:dyDescent="0.35">
      <c r="A165" s="295" t="s">
        <v>291</v>
      </c>
      <c r="B165" s="261"/>
      <c r="C165" s="303"/>
    </row>
    <row r="166" spans="1:3" ht="13" thickBot="1" x14ac:dyDescent="0.3">
      <c r="A166" s="311" t="s">
        <v>289</v>
      </c>
      <c r="B166" s="312"/>
      <c r="C166" s="313">
        <f>(C$99&gt;0)*IF(C$3="isolé",(1+cmg_majo_plaf_isolé),1)*((C$122=1)*cmg_plaf_inter_1_enf+(C$122&gt;=2)*(cmg_plaf_inter_2_enf+cmg_plaf_inter_sup_enf*(C$122-2)))</f>
        <v>0</v>
      </c>
    </row>
    <row r="167" spans="1:3" x14ac:dyDescent="0.25">
      <c r="B167" s="261"/>
      <c r="C167" s="303"/>
    </row>
    <row r="168" spans="1:3" ht="13.5" thickBot="1" x14ac:dyDescent="0.35">
      <c r="A168" s="295" t="s">
        <v>273</v>
      </c>
      <c r="B168" s="261"/>
      <c r="C168" s="303"/>
    </row>
    <row r="169" spans="1:3" ht="13.5" thickBot="1" x14ac:dyDescent="0.35">
      <c r="A169" s="311" t="s">
        <v>290</v>
      </c>
      <c r="B169" s="314"/>
      <c r="C169" s="315">
        <f>(C$24*((C$122=1)*creche_coef_1_enf+(C$122=2)*creche_coef_2_enf+(C$122=3)*creche_coef_3_enf+(C$122&gt;3)*creche_coef_4_enf)*MAX(creche_plancher_ressource,MIN(creche_plafond_ressources,C$119/12)))/12</f>
        <v>0</v>
      </c>
    </row>
    <row r="170" spans="1:3" x14ac:dyDescent="0.25">
      <c r="A170" s="372" t="s">
        <v>499</v>
      </c>
      <c r="C170" s="201"/>
    </row>
    <row r="171" spans="1:3" ht="13.5" thickBot="1" x14ac:dyDescent="0.35">
      <c r="A171" s="295" t="s">
        <v>498</v>
      </c>
      <c r="B171" s="259"/>
    </row>
    <row r="172" spans="1:3" ht="13" x14ac:dyDescent="0.3">
      <c r="A172" s="286" t="s">
        <v>431</v>
      </c>
      <c r="B172" s="287"/>
      <c r="C172" s="432">
        <f>MAX(0,(Coef_impot/evol_smic)*C$58-MAX(irpp_min_reduc_fp,MIN(irpp_max_reduc_fp,irpp_taux_reduc_fp*(Coef_impot/evol_smic)*C$58)))
+(MAX(0,12*C$52-MAX(irpp_min_reduc_pens,MIN(irpp_max_reduc_pens,irpp_taux_reduc_pens*12*C$52)))
 -12*C$53)*(C$13&lt;&gt;"ga_m")*(C$13&lt;&gt;"ga_p")</f>
        <v>3476.8686971330667</v>
      </c>
    </row>
    <row r="173" spans="1:3" ht="13" x14ac:dyDescent="0.3">
      <c r="A173" s="276" t="s">
        <v>173</v>
      </c>
      <c r="B173" s="259"/>
      <c r="C173" s="262">
        <f>IF(C$30="plaf",C174,C$30)</f>
        <v>278.27999999999997</v>
      </c>
    </row>
    <row r="174" spans="1:3" x14ac:dyDescent="0.25">
      <c r="A174" s="274" t="s">
        <v>511</v>
      </c>
      <c r="B174" s="259"/>
      <c r="C174" s="262">
        <f>(C$29=1)*IF(C$98=0,IF(C$3="isolé",al_loy_plaf_I0_z1,al_loy_plaf_c0_z1),al_loy_plaf_1_pac_z1+al_loy_plaf_sup_pac_z1*(C$98-1))+(C$29=2)*IF(C$98=0,IF(C$3="isolé",al_loy_plaf_I0_z2,al_loy_plaf_C0_z2),al_loy_plaf_1_pac_z2+al_loy_plaf_sup_pac_z2*(C$98-1))+(C$29=3)*IF(C$98=0,IF(C$3="isolé",al_loy_plaf_I0_z3,al_loy_plaf_C0_z3),al_loy_plaf_1_pac_z3+al_loy_plaf_sup_pac_z3*(C$98-1))</f>
        <v>278.27999999999997</v>
      </c>
    </row>
    <row r="175" spans="1:3" x14ac:dyDescent="0.25">
      <c r="A175" s="274" t="s">
        <v>13</v>
      </c>
      <c r="B175" s="259"/>
      <c r="C175" s="262">
        <f>IF(C$98=0,al_forf_charges_0_pac,al_forf_charges_1_pac+(C$98-1)*al_forf_charges_sup_pac)</f>
        <v>58.08</v>
      </c>
    </row>
    <row r="176" spans="1:3" x14ac:dyDescent="0.25">
      <c r="A176" s="274" t="s">
        <v>175</v>
      </c>
      <c r="B176" s="259"/>
      <c r="C176" s="262">
        <f>MIN(C173,C174)+C175</f>
        <v>336.35999999999996</v>
      </c>
    </row>
    <row r="177" spans="1:3" x14ac:dyDescent="0.25">
      <c r="A177" s="275" t="s">
        <v>217</v>
      </c>
      <c r="B177" s="259"/>
      <c r="C177" s="262">
        <f>(C$98=0)*IF(C$3="isolé",al_R0_I0,al_R0_C0)
+(C$98=1)*al_R0_1pac+(C$98=2)*al_R0_2pac+(C$98=3)*al_R0_3pac+(C$98=4)*al_R0_4pac+(C$98=5)*al_R0_5pac
+(C$98&gt;=6)*(al_R0_6pac+(C$98-6)*al_R0_suppac)</f>
        <v>5186</v>
      </c>
    </row>
    <row r="178" spans="1:3" x14ac:dyDescent="0.25">
      <c r="A178" s="274" t="s">
        <v>195</v>
      </c>
      <c r="B178" s="259"/>
      <c r="C178" s="269">
        <f t="shared" ref="C178" si="19">ROUND(MAX(al_p0,al_p0_taux*C176),2)</f>
        <v>37.909999999999997</v>
      </c>
    </row>
    <row r="179" spans="1:3" x14ac:dyDescent="0.25">
      <c r="A179" s="275" t="s">
        <v>192</v>
      </c>
      <c r="B179" s="259"/>
      <c r="C179" s="270">
        <f>(C$98=0)*IF(C$3="isolé",al_tf_I0,al_tf_C0)
+(C$98=1)*al_tf_1pac+(C$98=2)*al_tf_2pac+(C$98=3)*al_tf_3pac+(C$98&gt;=4)*(al_tf_4pac+(C$98-4)*al_tf_suppac)</f>
        <v>2.8299999999999999E-2</v>
      </c>
    </row>
    <row r="180" spans="1:3" x14ac:dyDescent="0.25">
      <c r="A180" s="275" t="s">
        <v>193</v>
      </c>
      <c r="B180" s="259"/>
      <c r="C180" s="278">
        <f t="shared" ref="C180" si="20">(C$29=1)*al_tl_z1+(C$29=2)*al_tl_z2+(C$29=3)*al_tl_z3</f>
        <v>3.0500000000000006E-3</v>
      </c>
    </row>
    <row r="181" spans="1:3" x14ac:dyDescent="0.25">
      <c r="A181" s="275" t="s">
        <v>194</v>
      </c>
      <c r="B181" s="259"/>
      <c r="C181" s="271">
        <f t="shared" ref="C181" si="21">C178+(C179+C180)*MAX(0,C172-C177)</f>
        <v>37.909999999999997</v>
      </c>
    </row>
    <row r="182" spans="1:3" ht="13" x14ac:dyDescent="0.3">
      <c r="A182" s="275" t="s">
        <v>210</v>
      </c>
      <c r="C182" s="264">
        <f t="shared" ref="C182" si="22">MAX(C176-C181,0)</f>
        <v>298.44999999999993</v>
      </c>
    </row>
    <row r="183" spans="1:3" ht="13" x14ac:dyDescent="0.3">
      <c r="A183" s="275" t="s">
        <v>211</v>
      </c>
      <c r="C183" s="264">
        <f>(C$29=1)*(IF((C173/C174)&lt;al_seuil1_deg_z1,C182,IF((C173/C174)&lt;al_seuil2_deg_z1,(1-((C173/C174)-al_seuil1_deg_z1)/(al_seuil2_deg_z1-al_seuil1_deg_z1))*C182,0)))
+(C$29=2)*(IF((C173/C174)&lt;al_seuil1_deg_z2,C182,IF((C173/C174)&lt;al_seuil2_deg_z2,(1-((C173/C174)-al_seuil1_deg_z2)/(al_seuil2_deg_z2-al_seuil1_deg_z2))*C182,0)))
+(C$29=3)*(IF((C173/C174)&lt;al_seuil1_deg_z3,C182,IF((C173/C174)&lt;al_seuil2_deg_z3,(1-((C173/C174)-al_seuil1_deg_z3)/(al_seuil2_deg_z3-al_seuil1_deg_z3))*C182,0)))</f>
        <v>298.44999999999993</v>
      </c>
    </row>
    <row r="184" spans="1:3" ht="13" x14ac:dyDescent="0.3">
      <c r="A184" s="275" t="s">
        <v>212</v>
      </c>
      <c r="B184" s="10"/>
      <c r="C184" s="264">
        <f t="shared" ref="C184" si="23">C183-al_reduc</f>
        <v>293.44999999999993</v>
      </c>
    </row>
    <row r="185" spans="1:3" ht="13.5" thickBot="1" x14ac:dyDescent="0.35">
      <c r="A185" s="288" t="s">
        <v>213</v>
      </c>
      <c r="B185" s="290"/>
      <c r="C185" s="291">
        <f t="shared" ref="C185" si="24">IF(ROUNDDOWN(C184,0)&gt;=al_seuil_versement,C184,0)*(1-taux_CRDS)</f>
        <v>291.98274999999995</v>
      </c>
    </row>
    <row r="186" spans="1:3" ht="13.5" thickBot="1" x14ac:dyDescent="0.35">
      <c r="A186" s="295" t="s">
        <v>496</v>
      </c>
      <c r="C186" s="201"/>
    </row>
    <row r="187" spans="1:3" ht="13" x14ac:dyDescent="0.3">
      <c r="A187" s="286" t="s">
        <v>431</v>
      </c>
      <c r="B187" s="287"/>
      <c r="C187" s="432">
        <f>MAX(0,(Coef_impot/evol_smic)*C$58-MAX(irpp_min_reduc_fp,MIN(irpp_max_reduc_fp,irpp_taux_reduc_fp*(Coef_impot/evol_smic)*C$58)))
+(MAX(0,12*C$52-MAX(irpp_min_reduc_pens,MIN(irpp_max_reduc_pens,irpp_taux_reduc_pens*12*C$52)))
 -12*C$53)*(C$13&lt;&gt;"ga_m")*(C$13&lt;&gt;"ga_p")</f>
        <v>3476.8686971330667</v>
      </c>
    </row>
    <row r="188" spans="1:3" ht="13" x14ac:dyDescent="0.3">
      <c r="A188" s="276" t="s">
        <v>173</v>
      </c>
      <c r="B188" s="259"/>
      <c r="C188" s="262">
        <f>IF(C$30="plaf",C189,C$30)</f>
        <v>278.27999999999997</v>
      </c>
    </row>
    <row r="189" spans="1:3" x14ac:dyDescent="0.25">
      <c r="A189" s="274" t="s">
        <v>172</v>
      </c>
      <c r="B189" s="259"/>
      <c r="C189" s="262">
        <f>(C$29=1)*IF(C$3="isolé",al_loy_plaf_I0_z1,al_loy_plaf_c0_z1)+(C$29=2)*IF(C$3="isolé",al_loy_plaf_I0_z2,al_loy_plaf_C0_z2)+(C$29=3)*IF(C$3="isolé",al_loy_plaf_I0_z3,al_loy_plaf_C0_z3)</f>
        <v>278.27999999999997</v>
      </c>
    </row>
    <row r="190" spans="1:3" x14ac:dyDescent="0.25">
      <c r="A190" s="274" t="s">
        <v>13</v>
      </c>
      <c r="B190" s="259"/>
      <c r="C190" s="262">
        <f>al_forf_charges_0_pac</f>
        <v>58.08</v>
      </c>
    </row>
    <row r="191" spans="1:3" x14ac:dyDescent="0.25">
      <c r="A191" s="274" t="s">
        <v>175</v>
      </c>
      <c r="B191" s="259"/>
      <c r="C191" s="262">
        <f>MIN(C188,C189)+C190</f>
        <v>336.35999999999996</v>
      </c>
    </row>
    <row r="192" spans="1:3" x14ac:dyDescent="0.25">
      <c r="A192" s="275" t="s">
        <v>217</v>
      </c>
      <c r="B192" s="259"/>
      <c r="C192" s="262">
        <f>IF(C$3="isolé",al_R0_I0,al_R0_C0)</f>
        <v>5186</v>
      </c>
    </row>
    <row r="193" spans="1:3" x14ac:dyDescent="0.25">
      <c r="A193" s="274" t="s">
        <v>195</v>
      </c>
      <c r="B193" s="259"/>
      <c r="C193" s="269">
        <f t="shared" ref="C193" si="25">ROUND(MAX(al_p0,al_p0_taux*C191),2)</f>
        <v>37.909999999999997</v>
      </c>
    </row>
    <row r="194" spans="1:3" x14ac:dyDescent="0.25">
      <c r="A194" s="275" t="s">
        <v>192</v>
      </c>
      <c r="B194" s="259"/>
      <c r="C194" s="270">
        <f>IF(C$3="isolé",al_tf_I0,al_tf_C0)</f>
        <v>2.8299999999999999E-2</v>
      </c>
    </row>
    <row r="195" spans="1:3" x14ac:dyDescent="0.25">
      <c r="A195" s="275" t="s">
        <v>193</v>
      </c>
      <c r="B195" s="259"/>
      <c r="C195" s="278">
        <f t="shared" ref="C195" si="26">(C$29=1)*al_tl_z1+(C$29=2)*al_tl_z2+(C$29=3)*al_tl_z3</f>
        <v>3.0500000000000006E-3</v>
      </c>
    </row>
    <row r="196" spans="1:3" x14ac:dyDescent="0.25">
      <c r="A196" s="275" t="s">
        <v>194</v>
      </c>
      <c r="B196" s="259"/>
      <c r="C196" s="271">
        <f t="shared" ref="C196" si="27">C193+(C194+C195)*MAX(0,C187-C192)</f>
        <v>37.909999999999997</v>
      </c>
    </row>
    <row r="197" spans="1:3" ht="13" x14ac:dyDescent="0.3">
      <c r="A197" s="275" t="s">
        <v>210</v>
      </c>
      <c r="C197" s="264">
        <f t="shared" ref="C197" si="28">MAX(C191-C196,0)</f>
        <v>298.44999999999993</v>
      </c>
    </row>
    <row r="198" spans="1:3" ht="13" x14ac:dyDescent="0.3">
      <c r="A198" s="275" t="s">
        <v>211</v>
      </c>
      <c r="C198" s="264">
        <f>(C$29=1)*(IF((C188/C189)&lt;al_seuil1_deg_z1,C197,IF((C188/C189)&lt;al_seuil2_deg_z1,(1-((C188/C189)-al_seuil1_deg_z1)/(al_seuil2_deg_z1-al_seuil1_deg_z1))*C197,0)))
+(C$29=2)*(IF((C188/C189)&lt;al_seuil1_deg_z2,C197,IF((C188/C189)&lt;al_seuil2_deg_z2,(1-((C188/C189)-al_seuil1_deg_z2)/(al_seuil2_deg_z2-al_seuil1_deg_z2))*C197,0)))
+(C$29=3)*(IF((C188/C189)&lt;al_seuil1_deg_z3,C197,IF((C188/C189)&lt;al_seuil2_deg_z3,(1-((C188/C189)-al_seuil1_deg_z3)/(al_seuil2_deg_z3-al_seuil1_deg_z3))*C197,0)))</f>
        <v>298.44999999999993</v>
      </c>
    </row>
    <row r="199" spans="1:3" ht="13" x14ac:dyDescent="0.3">
      <c r="A199" s="275" t="s">
        <v>212</v>
      </c>
      <c r="B199" s="10"/>
      <c r="C199" s="264">
        <f t="shared" ref="C199" si="29">C198-al_reduc</f>
        <v>293.44999999999993</v>
      </c>
    </row>
    <row r="200" spans="1:3" ht="13.5" thickBot="1" x14ac:dyDescent="0.35">
      <c r="A200" s="288" t="s">
        <v>213</v>
      </c>
      <c r="B200" s="290"/>
      <c r="C200" s="291">
        <f t="shared" ref="C200" si="30">IF(ROUNDDOWN(C199,0)&gt;=al_seuil_versement,C199,0)*(1-taux_CRDS)</f>
        <v>291.98274999999995</v>
      </c>
    </row>
    <row r="201" spans="1:3" x14ac:dyDescent="0.25">
      <c r="C201" s="201"/>
    </row>
    <row r="202" spans="1:3" ht="13.5" thickBot="1" x14ac:dyDescent="0.35">
      <c r="A202" s="295" t="s">
        <v>335</v>
      </c>
      <c r="B202" s="89"/>
      <c r="C202" s="289"/>
    </row>
    <row r="203" spans="1:3" s="4" customFormat="1" x14ac:dyDescent="0.25">
      <c r="A203" s="282" t="s">
        <v>353</v>
      </c>
      <c r="B203" s="121"/>
      <c r="C203" s="123">
        <f>AAH_I0*(1+AAH_Sup_enf*C97)</f>
        <v>1016.05</v>
      </c>
    </row>
    <row r="204" spans="1:3" s="4" customFormat="1" x14ac:dyDescent="0.25">
      <c r="A204" s="275" t="s">
        <v>349</v>
      </c>
      <c r="B204" s="5"/>
      <c r="C204" s="85">
        <f>(Coef_n/12)*(C$52-C$53+C$46+C$111)+(1-AAH_taux_abat1)*MIN(C$38*(Coef_n/0.9/12),AAH_seuil_abat1)+(1-AAH_taux_abat2)*MAX(0,C$38*(Coef_n/0.9/12)-AAH_seuil_abat1)</f>
        <v>68.430220987335218</v>
      </c>
    </row>
    <row r="205" spans="1:3" s="4" customFormat="1" x14ac:dyDescent="0.25">
      <c r="A205" s="275" t="s">
        <v>350</v>
      </c>
      <c r="B205" s="5"/>
      <c r="C205" s="85">
        <f>MAX(0,MIN(AAH_I0,C$203-C204))</f>
        <v>947.61977901266471</v>
      </c>
    </row>
    <row r="206" spans="1:3" s="4" customFormat="1" x14ac:dyDescent="0.25">
      <c r="A206" s="275" t="s">
        <v>351</v>
      </c>
      <c r="B206" s="5"/>
      <c r="C206" s="85">
        <f>(((Coef_n/12)*(C$49+C$116)+(1-AAH_taux_abat1)*MIN(C$39*Coef_n/0.9/12,AAH_seuil_abat1)+(1-AAH_taux_abat2)*MAX(0,C$39*Coef_n/0.9/12-AAH_seuil_abat1)))</f>
        <v>0</v>
      </c>
    </row>
    <row r="207" spans="1:3" s="4" customFormat="1" x14ac:dyDescent="0.25">
      <c r="A207" s="275" t="s">
        <v>352</v>
      </c>
      <c r="B207" s="5"/>
      <c r="C207" s="85">
        <f>(C$3="couple")*(MAX(0,MIN(AAH_I0,C$203-C206)))</f>
        <v>0</v>
      </c>
    </row>
    <row r="210" spans="1:3" ht="13.5" thickBot="1" x14ac:dyDescent="0.35">
      <c r="A210" s="295" t="s">
        <v>500</v>
      </c>
      <c r="B210" s="89"/>
      <c r="C210" s="289"/>
    </row>
    <row r="211" spans="1:3" ht="13" thickBot="1" x14ac:dyDescent="0.3">
      <c r="A211" s="451" t="s">
        <v>501</v>
      </c>
      <c r="B211" s="452"/>
      <c r="C211" s="453">
        <f>(C13&lt;&gt;"png")*(C13&lt;&gt;"ga_p")*C$99</f>
        <v>0</v>
      </c>
    </row>
    <row r="212" spans="1:3" x14ac:dyDescent="0.25">
      <c r="C212" s="201"/>
    </row>
    <row r="213" spans="1:3" s="4" customFormat="1" ht="13.5" thickBot="1" x14ac:dyDescent="0.35">
      <c r="A213" s="295" t="s">
        <v>84</v>
      </c>
      <c r="B213" s="89"/>
      <c r="C213" s="289"/>
    </row>
    <row r="214" spans="1:3" s="4" customFormat="1" x14ac:dyDescent="0.25">
      <c r="A214" s="117" t="s">
        <v>0</v>
      </c>
      <c r="B214" s="121"/>
      <c r="C214" s="123">
        <f>IF(C$3="couple",(C$211=0)*rsa_C0+(C$211=1)*rsa_C1+(C$211&gt;=2)*(rsa_C2+(C$211-2)*rsa_sup_enf),0)+IF(C$3="isolé",(C19=0)*((C$211=0)*rsa_I0+(C$211=1)*rsa_I1+(C$211&gt;=2)*(rsa_I2+(C$211-2)*rsa_sup_enf))+(C19=1)*((C$211=0)*rsam_I0+(C$211=1)*rsam_I1+(C$211&gt;=2)*(rsam_I2+(C$211-2)*rsam_sup_enf)),0)</f>
        <v>635.71</v>
      </c>
    </row>
    <row r="215" spans="1:3" s="4" customFormat="1" x14ac:dyDescent="0.25">
      <c r="A215" s="275" t="s">
        <v>215</v>
      </c>
      <c r="B215" s="5"/>
      <c r="C215" s="85">
        <f>MIN(IF(C$3="isolé",(C$211=0)*rsa_fl_1+(C$211=1)*rsa_fl_2+(C$211&gt;1)*rsa_fl_3,(C$211=0)*rsa_fl_2+(C$211&gt;0)*rsa_fl_3),C$185)</f>
        <v>76.285200000000003</v>
      </c>
    </row>
    <row r="216" spans="1:3" s="4" customFormat="1" x14ac:dyDescent="0.25">
      <c r="A216" s="275" t="s">
        <v>209</v>
      </c>
      <c r="B216" s="5"/>
      <c r="C216" s="85">
        <f>(C$127+C$137+C$64)/(1-crds)+(C$62&gt;0)*MAX(0,(ASF_à_déduire_du_RSA/(1-crds))*C$97-C$52)</f>
        <v>0</v>
      </c>
    </row>
    <row r="217" spans="1:3" s="4" customFormat="1" x14ac:dyDescent="0.25">
      <c r="A217" s="275" t="s">
        <v>331</v>
      </c>
      <c r="B217" s="5"/>
      <c r="C217" s="85">
        <f>C$216+C$38+C$39+C$52+C$74+C$57</f>
        <v>330</v>
      </c>
    </row>
    <row r="218" spans="1:3" s="4" customFormat="1" ht="13" thickBot="1" x14ac:dyDescent="0.3">
      <c r="A218" s="127" t="s">
        <v>116</v>
      </c>
      <c r="B218" s="125"/>
      <c r="C218" s="126">
        <f>MAX(0,C$214-C$215-C$217)</f>
        <v>229.4248</v>
      </c>
    </row>
    <row r="219" spans="1:3" s="188" customFormat="1" x14ac:dyDescent="0.25">
      <c r="A219" s="4"/>
      <c r="B219" s="5"/>
      <c r="C219" s="189"/>
    </row>
    <row r="220" spans="1:3" s="4" customFormat="1" ht="15" customHeight="1" thickBot="1" x14ac:dyDescent="0.35">
      <c r="A220" s="295" t="s">
        <v>142</v>
      </c>
      <c r="B220" s="89"/>
      <c r="C220" s="289"/>
    </row>
    <row r="221" spans="1:3" s="4" customFormat="1" x14ac:dyDescent="0.25">
      <c r="A221" s="282" t="s">
        <v>214</v>
      </c>
      <c r="B221" s="121"/>
      <c r="C221" s="123">
        <f>IF(C$3="couple",(C$211=0)*pa_forf_c0+(C$211=1)*pa_forf_c1+(C$211&gt;=2)*(pa_forf_c2+(C$211-2)*pa_sup_enf),0)+IF(C$3="isolé",(C19=0)*((C$211=0)*pa_forf_I0+(C$211=1)*pa_forf_I1+(C$211&gt;=2)*(pa_forf_I2+(C$211-2)*pa_sup_enf))+(C19=1)*((C$211=0)*pa_forfm_I0+(C$211=1)*pa_forfm_I1+(C$211&gt;=2)*(pa_forfm_I2+(C$211-2)*pa_forfm_supenf)),0)</f>
        <v>622.63</v>
      </c>
    </row>
    <row r="222" spans="1:3" s="4" customFormat="1" x14ac:dyDescent="0.25">
      <c r="A222" s="275" t="s">
        <v>162</v>
      </c>
      <c r="B222" s="5"/>
      <c r="C222" s="85">
        <f>MIN(C$185,IF(C$3="isolé",(C$211=0)*pa_fl1+(C$211=1)*pa_fl2+(C$211&gt;1)*pa_fl3,(C$211=0)*pa_fl2+(C$211&gt;0)*pa_fl3))</f>
        <v>74.715599999999995</v>
      </c>
    </row>
    <row r="223" spans="1:3" s="4" customFormat="1" x14ac:dyDescent="0.25">
      <c r="A223" s="275" t="s">
        <v>526</v>
      </c>
      <c r="B223" s="5"/>
      <c r="C223" s="85">
        <f>(((C$38+C$32*IF(C$38&gt;=AAH_salmin_revact,C$205,0))/smic&gt;=pa_seuil1_BPA)*MIN(1,((C$38+C$32*IF(C$38&gt;=AAH_salmin_revact,C$205,0))/smic-pa_seuil1_BPA)/(pa_seuil2_BPA-pa_seuil1_BPA))*pa_max_BPA)</f>
        <v>0</v>
      </c>
    </row>
    <row r="224" spans="1:3" s="4" customFormat="1" x14ac:dyDescent="0.25">
      <c r="A224" s="275" t="s">
        <v>527</v>
      </c>
      <c r="B224" s="5"/>
      <c r="C224" s="85">
        <f>(C$3="couple")*(((C$39+C$33*IF(C$39&gt;=AAH_salmin_revact,C$207,0))/smic&gt;=pa_seuil1_BPA)*MIN(1,((C$39+C$33*IF(C$39&gt;=AAH_salmin_revact,C$207,0))/smic-pa_seuil1_BPA)/(pa_seuil2_BPA-pa_seuil1_BPA))*pa_max_BPA)</f>
        <v>0</v>
      </c>
    </row>
    <row r="225" spans="1:3" s="4" customFormat="1" x14ac:dyDescent="0.25">
      <c r="A225" s="116" t="s">
        <v>92</v>
      </c>
      <c r="B225" s="5"/>
      <c r="C225" s="85">
        <f>C$38+C$32*IF(C$38&gt;=AAH_salmin_revact,C$205,0)+(C$3="couple")*(C$39+C$33*IF(C$39&gt;=AAH_salmin_revact,C$207,0))</f>
        <v>330</v>
      </c>
    </row>
    <row r="226" spans="1:3" s="4" customFormat="1" x14ac:dyDescent="0.25">
      <c r="A226" s="275" t="s">
        <v>216</v>
      </c>
      <c r="B226" s="5"/>
      <c r="C226" s="85">
        <f>C$221+C223+C224+pa_taux_rev_act*C225</f>
        <v>823.93</v>
      </c>
    </row>
    <row r="227" spans="1:3" s="4" customFormat="1" x14ac:dyDescent="0.25">
      <c r="A227" s="275" t="s">
        <v>209</v>
      </c>
      <c r="B227" s="5"/>
      <c r="C227" s="85">
        <f>(C$127+C$137+C$64)/(1-crds)+(C$62&gt;0)*MAX(0,(ASF_à_déduire_du_RSA/(1-crds))*C$97-C$52)</f>
        <v>0</v>
      </c>
    </row>
    <row r="228" spans="1:3" x14ac:dyDescent="0.25">
      <c r="A228" s="275" t="s">
        <v>331</v>
      </c>
      <c r="B228" s="5"/>
      <c r="C228" s="85">
        <f>C$218+C$227+C$38+C$39+C$52+C$57+C$74</f>
        <v>559.4248</v>
      </c>
    </row>
    <row r="229" spans="1:3" ht="13" thickBot="1" x14ac:dyDescent="0.3">
      <c r="A229" s="288" t="s">
        <v>143</v>
      </c>
      <c r="B229" s="125"/>
      <c r="C229" s="126">
        <f>(C$225&gt;0)*MAX(0,C$226-C$222-C$228)</f>
        <v>189.78959999999995</v>
      </c>
    </row>
    <row r="230" spans="1:3" x14ac:dyDescent="0.25">
      <c r="C230" s="201"/>
    </row>
    <row r="231" spans="1:3" ht="13.5" hidden="1" thickBot="1" x14ac:dyDescent="0.35">
      <c r="A231" s="295" t="s">
        <v>420</v>
      </c>
    </row>
    <row r="232" spans="1:3" ht="13" hidden="1" thickBot="1" x14ac:dyDescent="0.3">
      <c r="A232" s="424" t="s">
        <v>483</v>
      </c>
      <c r="B232" s="425"/>
      <c r="C232" s="426">
        <f>(C$13&lt;&gt;"png")*C$96</f>
        <v>0</v>
      </c>
    </row>
    <row r="233" spans="1:3" hidden="1" x14ac:dyDescent="0.25">
      <c r="A233" s="274" t="s">
        <v>10</v>
      </c>
      <c r="B233" s="294"/>
      <c r="C233" s="436">
        <f>IF(C$3="isolé",1,2)+(C$232&gt;0)*(IF(C$3="isolé",0.5,0)*IF(AND(OR(C$13="ga_m",C$13="ga_p"),C$232=1),0.5,1)+(0.5*MIN(2,C$232)+1*MAX(0,C$232-2))*IF(OR(C$13="ga_m",C$13="ga_p"),0.5,1))</f>
        <v>1</v>
      </c>
    </row>
    <row r="234" spans="1:3" hidden="1" x14ac:dyDescent="0.25">
      <c r="A234" s="274" t="s">
        <v>58</v>
      </c>
      <c r="B234" s="255"/>
      <c r="C234" s="262">
        <f t="shared" ref="C234" si="31">IF(C$3="isolé",1,2)</f>
        <v>1</v>
      </c>
    </row>
    <row r="235" spans="1:3" hidden="1" x14ac:dyDescent="0.25">
      <c r="A235" s="275" t="s">
        <v>430</v>
      </c>
      <c r="B235" s="260"/>
      <c r="C235" s="265">
        <f>MAX(0,(Coef_impot/evol_smic)*C$58-MAX(irpp_min_reduc_fp,MIN(irpp_max_reduc_fp,irpp_taux_reduc_fp*(Coef_impot/evol_smic)*C$58)))
+(MAX(0,12*C$52-MAX(irpp_min_reduc_pens,MIN(irpp_max_reduc_pens,irpp_taux_reduc_pens*12*C$52)))
 -12*C$53)*(C$13&lt;&gt;"ga_m")*(C$13&lt;&gt;"ga_p")</f>
        <v>3476.8686971330667</v>
      </c>
    </row>
    <row r="236" spans="1:3" hidden="1" x14ac:dyDescent="0.25">
      <c r="A236" s="116" t="s">
        <v>93</v>
      </c>
      <c r="B236" s="260"/>
      <c r="C236" s="265">
        <f>C$235/C$233</f>
        <v>3476.8686971330667</v>
      </c>
    </row>
    <row r="237" spans="1:3" hidden="1" x14ac:dyDescent="0.25">
      <c r="A237" s="116" t="s">
        <v>94</v>
      </c>
      <c r="B237" s="260"/>
      <c r="C237" s="265">
        <f>C$235/C$234</f>
        <v>3476.8686971330667</v>
      </c>
    </row>
    <row r="238" spans="1:3" ht="13" hidden="1" x14ac:dyDescent="0.3">
      <c r="A238" s="276" t="s">
        <v>4</v>
      </c>
      <c r="B238" s="255"/>
      <c r="C238" s="262"/>
    </row>
    <row r="239" spans="1:3" hidden="1" x14ac:dyDescent="0.25">
      <c r="A239" s="274" t="s">
        <v>5</v>
      </c>
      <c r="B239" s="255"/>
      <c r="C239" s="262">
        <f>(C$236&gt;=irpp_seuil1)*(C$236&lt;irpp_seuil2)*(irpp_taux1*C$235-irpp_reduc1*C$233)+(C$236&gt;=irpp_seuil2)*(C$236&lt;irpp_seuil3)*(irpp_taux2*C$235-irpp_reduc2*C$233)+(C$236&gt;=irpp_seuil3)*(C$236&lt;irpp_seuil4)*(irpp_taux3*C$235-irpp_reduc3*C$233)+(C$236&gt;=irpp_seuil4)*(irpp_taux4*C$235-irpp_reduc4*C$233)</f>
        <v>0</v>
      </c>
    </row>
    <row r="240" spans="1:3" hidden="1" x14ac:dyDescent="0.25">
      <c r="A240" s="274" t="s">
        <v>6</v>
      </c>
      <c r="B240" s="255"/>
      <c r="C240" s="262">
        <f>(C$237&gt;=irpp_seuil1)*(C$237&lt;irpp_seuil2)*(irpp_taux1*C$235-irpp_reduc1*C$234)+(C$237&gt;=irpp_seuil2)*(C$237&lt;irpp_seuil3)*(irpp_taux2*C$235-irpp_reduc2*C$234)+(C$237&gt;=irpp_seuil3)*(C$237&lt;irpp_seuil4)*(irpp_taux3*C$235-irpp_reduc3*C$234)+(C$237&gt;=irpp_seuil4)*(irpp_taux4*C$235-irpp_reduc4*C$234)</f>
        <v>0</v>
      </c>
    </row>
    <row r="241" spans="1:3" hidden="1" x14ac:dyDescent="0.25">
      <c r="A241" s="433" t="s">
        <v>7</v>
      </c>
      <c r="B241" s="434"/>
      <c r="C241" s="435">
        <f>(C$3="isolé")*(C$232&gt;0)*(irpp_max_avqf_iso*IF(OR(C$13="ga_m",C$13="ga_p"),0.5,1)+irpp_max_avqf_couple*2*MAX(0,C$233-1-IF(OR(C$13="ga_m",C$13="ga_p"),0.5,1)))
+(C$3="couple")*(C$232&gt;0)*(irpp_max_avqf_couple*2*MAX(C$233-2))</f>
        <v>0</v>
      </c>
    </row>
    <row r="242" spans="1:3" hidden="1" x14ac:dyDescent="0.25">
      <c r="A242" s="116" t="s">
        <v>105</v>
      </c>
      <c r="B242" s="255"/>
      <c r="C242" s="262">
        <f>MIN(C$240-C$239,C$241)</f>
        <v>0</v>
      </c>
    </row>
    <row r="243" spans="1:3" hidden="1" x14ac:dyDescent="0.25">
      <c r="A243" s="274" t="s">
        <v>8</v>
      </c>
      <c r="B243" s="255"/>
      <c r="C243" s="262">
        <f>C$240-C$242</f>
        <v>0</v>
      </c>
    </row>
    <row r="244" spans="1:3" ht="13" hidden="1" x14ac:dyDescent="0.3">
      <c r="A244" s="276" t="s">
        <v>156</v>
      </c>
      <c r="B244" s="255"/>
      <c r="C244" s="262"/>
    </row>
    <row r="245" spans="1:3" hidden="1" x14ac:dyDescent="0.25">
      <c r="A245" s="274" t="s">
        <v>9</v>
      </c>
      <c r="B245" s="255"/>
      <c r="C245" s="262">
        <f>(C$243&gt;0)*IF(C$3="isolé",(MIN(C$243,IF(C$243&lt;irpp_plaf_decote,irpp_taux_decote*(irpp_plaf_decote-C$243),0))),(MIN(C$243,IF(C$243&lt;irpp_plaf_decote_couple,irpp_taux_decote*(irpp_plaf_decote_couple-C$243)))))</f>
        <v>0</v>
      </c>
    </row>
    <row r="246" spans="1:3" hidden="1" x14ac:dyDescent="0.25">
      <c r="A246" s="275" t="s">
        <v>157</v>
      </c>
      <c r="B246" s="255"/>
      <c r="C246" s="262">
        <f>C$243-C$245</f>
        <v>0</v>
      </c>
    </row>
    <row r="247" spans="1:3" hidden="1" x14ac:dyDescent="0.25">
      <c r="A247" s="274" t="s">
        <v>106</v>
      </c>
      <c r="B247" s="255"/>
      <c r="C247" s="262">
        <f>C$246</f>
        <v>0</v>
      </c>
    </row>
    <row r="248" spans="1:3" hidden="1" x14ac:dyDescent="0.25">
      <c r="A248" s="274" t="s">
        <v>107</v>
      </c>
      <c r="B248" s="255"/>
      <c r="C248" s="436">
        <f>(C$103*irpp_reduc_coll+C$104*irpp_reduc_lyc+C$10*irpp_reduc_es)*IF(OR(C$13="ga_m",C$13="ga_p"),0.5,IF(C$13="png",0,1))</f>
        <v>0</v>
      </c>
    </row>
    <row r="249" spans="1:3" hidden="1" x14ac:dyDescent="0.25">
      <c r="A249" s="10" t="s">
        <v>292</v>
      </c>
      <c r="B249" s="255"/>
      <c r="C249" s="262">
        <f>(C$21+C$24&gt;0)*irpp_part_fg_assmat*MIN(irpp_max_fg_assmat*IF(OR(C$13="ga_m",C$13="ga_p"),0.5,IF(C$13="png",0,1)),12*MAX(0,(C$157+C$169)))</f>
        <v>0</v>
      </c>
    </row>
    <row r="250" spans="1:3" hidden="1" x14ac:dyDescent="0.25">
      <c r="A250" t="s">
        <v>293</v>
      </c>
      <c r="B250" s="255"/>
      <c r="C250" s="436">
        <f>(C$22+C$23&gt;0)*MIN(irpp_max_fg_gdom,irpp_seuil1_fg_gdom+irpp_supp_enf_seuil_fg_gdom*C$232)*IF(OR(C$13="ga_m",C$13="ga_p"),0.5,IF(C$13="png",0,1))</f>
        <v>0</v>
      </c>
    </row>
    <row r="251" spans="1:3" ht="13.5" hidden="1" customHeight="1" x14ac:dyDescent="0.25">
      <c r="A251" t="s">
        <v>294</v>
      </c>
      <c r="B251" s="255"/>
      <c r="C251" s="262">
        <f>irpp_part_fg_gdom*MIN(C$250,12*MAX(0,C$163))</f>
        <v>0</v>
      </c>
    </row>
    <row r="252" spans="1:3" hidden="1" x14ac:dyDescent="0.25">
      <c r="A252" s="274" t="s">
        <v>112</v>
      </c>
      <c r="B252" s="255"/>
      <c r="C252" s="262">
        <f>MAX(0,C$247-C$248)-C249-C251</f>
        <v>0</v>
      </c>
    </row>
    <row r="253" spans="1:3" hidden="1" x14ac:dyDescent="0.25">
      <c r="A253" s="274" t="s">
        <v>170</v>
      </c>
      <c r="B253" s="255"/>
      <c r="C253" s="262">
        <f>IF(C$3="isolé",
IF(AND(C$235&gt;=irpp_seuil1_cont_excep,C$235&lt;irpp_seuil2_cont_excep),irpp_taux1_cont_excep*(C$235-irpp_seuil1_cont_excep),IF(C$235&gt;irpp_seuil2_cont_excep,irpp_taux2_cont_excep*(C$235-irpp_seuil2_cont_excep)+7500,0)),
IF(AND(C$235&gt;=2*irpp_seuil1_cont_excep,C$235&lt;2*irpp_seuil2_cont_excep),irpp_taux1_cont_excep*(C$235-2*irpp_seuil1_cont_excep),IF(C$235&gt;2*irpp_seuil2_cont_excep,irpp_taux2_cont_excep*(C$235-2*irpp_seuil2_cont_excep)+15000,0)))</f>
        <v>0</v>
      </c>
    </row>
    <row r="254" spans="1:3" ht="13" hidden="1" thickBot="1" x14ac:dyDescent="0.3">
      <c r="A254" s="279" t="s">
        <v>208</v>
      </c>
      <c r="B254" s="277"/>
      <c r="C254" s="266">
        <f>IF(C235&gt;0,((C252+C$253)/C235)*(MAX(0,(Coef_impot)*C$58-MAX(irpp_min_reduc_fp,MIN(irpp_max_reduc_fp,irpp_taux_reduc_fp*(Coef_impot)*C$58)))),0)</f>
        <v>0</v>
      </c>
    </row>
    <row r="255" spans="1:3" hidden="1" x14ac:dyDescent="0.25">
      <c r="C255" s="201"/>
    </row>
    <row r="256" spans="1:3" ht="13.5" hidden="1" thickBot="1" x14ac:dyDescent="0.35">
      <c r="A256" s="295" t="s">
        <v>332</v>
      </c>
      <c r="C256" s="201"/>
    </row>
    <row r="257" spans="1:3" ht="13.5" hidden="1" thickBot="1" x14ac:dyDescent="0.35">
      <c r="A257" s="286" t="s">
        <v>331</v>
      </c>
      <c r="B257" s="186"/>
      <c r="C257" s="347">
        <f>MAX(0,Coef_n_2*C$58-MAX(irpp_min_reduc_fp,MIN(irpp_max_reduc_fp,irpp_taux_reduc_fp*Coef_n_2*C$58)))
+12*C$52*(C13&lt;&gt;"ga_m")</f>
        <v>3230.1441640386711</v>
      </c>
    </row>
    <row r="258" spans="1:3" hidden="1" x14ac:dyDescent="0.25">
      <c r="A258" s="275" t="s">
        <v>321</v>
      </c>
      <c r="B258" s="185"/>
      <c r="C258" s="262">
        <f>(C$97=1)*IF(C$257&lt;blyc_1enf_seuil6,6,IF(C$257&lt;blyc_1enf_seuil5,5,IF(C$257&lt;blyc_1enf_seuil4,4,IF(C$257&lt;blyc_1enf_seuil3,3,IF(C$257&lt;blyc_1enf_seuil2,2,IF(C$257&lt;blyc_1enf_seuil1,1,0))))))
+(C$97=2)*IF(C$257&lt;blyc_2enf_seuil6,6,IF(C$257&lt;blyc_2enf_seuil5,5,IF(C$257&lt;blyc_2enf_seuil4,4,IF(C$257&lt;blyc_2enf_seuil3,3,IF(C$257&lt;blyc_2enf_seuil2,2,IF(C$257&lt;blyc_1enf_seuil1,1,0))))))
+(C$97=3)*IF(C$257&lt;blyc_3enf_seuil6,6,IF(C$257&lt;blyc_3enf_seuil5,5,IF(C$257&lt;blyc_3enf_seuil4,4,IF(C$257&lt;blyc_3enf_seuil3,3,IF(C$257&lt;blyc_3enf_seuil2,2,IF(C$257&lt;blyc_1enf_seuil1,1,0))))))
+(C$97=4)*IF(C$257&lt;blyc_4enf_seuil6,6,IF(C$257&lt;blyc_4enf_seuil5,5,IF(C$257&lt;blyc_4enf_seuil4,4,IF(C$257&lt;blyc_4enf_seuil3,3,IF(C$257&lt;blyc_4enf_seuil2,2,IF(C$257&lt;blyc_1enf_seuil1,1,0))))))
+(C$97=5)*IF(C$257&lt;blyc_5enf_seuil6,6,IF(C$257&lt;blyc_5enf_seuil5,5,IF(C$257&lt;blyc_5enf_seuil4,4,IF(C$257&lt;blyc_5enf_seuil3,3,IF(C$257&lt;blyc_1enf_seuil2,2,IF(C$257&lt;blyc_1enf_seuil1,1,0))))))
+(C$97=6)*IF(C$257&lt;blyc_6enf_seuil6,6,IF(C$257&lt;blyc_6enf_seuil5,5,IF(C$257&lt;blyc_6enf_seuil4,4,IF(C$257&lt;blyc_6enf_seuil3,3,IF(C$257&lt;blyc_6enf_seuil2,2,IF(C$257&lt;blyc_1enf_seuil1,1,0))))))</f>
        <v>0</v>
      </c>
    </row>
    <row r="259" spans="1:3" ht="13" hidden="1" thickBot="1" x14ac:dyDescent="0.3">
      <c r="A259" s="279" t="s">
        <v>320</v>
      </c>
      <c r="B259" s="277"/>
      <c r="C259" s="266">
        <f>(C258=1)*blyc_montant_ech1+(C258=2)*blyc_montant_ech2+(C258=3)*blyc_montant_ech3+(C258=4)*blyc_montant_ech4+(C258=5)*blyc_montant_ech5+(C258=6)*blyc_montant_ech6</f>
        <v>0</v>
      </c>
    </row>
    <row r="260" spans="1:3" hidden="1" x14ac:dyDescent="0.25">
      <c r="A260" s="4"/>
      <c r="B260" s="260"/>
      <c r="C260" s="184"/>
    </row>
    <row r="261" spans="1:3" ht="13.5" hidden="1" thickBot="1" x14ac:dyDescent="0.35">
      <c r="A261" s="295" t="s">
        <v>518</v>
      </c>
      <c r="C261" s="201"/>
    </row>
    <row r="262" spans="1:3" ht="13.5" hidden="1" thickBot="1" x14ac:dyDescent="0.35">
      <c r="A262" s="286" t="s">
        <v>331</v>
      </c>
      <c r="B262" s="186"/>
      <c r="C262" s="347">
        <f>C257</f>
        <v>3230.1441640386711</v>
      </c>
    </row>
    <row r="263" spans="1:3" hidden="1" x14ac:dyDescent="0.25">
      <c r="A263" s="275" t="s">
        <v>367</v>
      </c>
      <c r="C263" s="262">
        <f>MAX(0,C97-1)</f>
        <v>0</v>
      </c>
    </row>
    <row r="264" spans="1:3" hidden="1" x14ac:dyDescent="0.25">
      <c r="A264" s="275" t="s">
        <v>321</v>
      </c>
      <c r="B264" s="185"/>
      <c r="C264" s="262">
        <f>(C$263=0)*IF(C$262&lt;bs_pc0_seuil1,7,IF(C$262&lt;bs_pc0_seuil2,6,IF(C$262&lt;bs_pc0_seuil3,5,IF(C$262&lt;bs_pc0_seuil4,4,IF(C$262&lt;bs_pc0_seuil5,3,IF(C$262&lt;bs_pc0_seuil6,2,IF(C$262&lt;bs_pc0_seuil7,1,IF(C$262&lt;bs_pc0_seuil8,0.5,0))))))))
+(C$263=1)*IF(C$262&lt;bs_pc1_seuil1,7,IF(C$262&lt;bs_pc1_seuil2,6,IF(C$262&lt;bs_pc1_seuil3,5,IF(C$262&lt;bs_pc1_seuil4,4,IF(C$262&lt;bs_pc1_seuil5,3,IF(C$262&lt;bs_pc1_seuil6,2,IF(C$262&lt;bs_pc1_seuil7,1,IF(C$262&lt;bs_pc1_seuil8,0.5,0))))))))
+(C$263=2)*IF(C$262&lt;bs_pc2_seuil1,7,IF(C$262&lt;bs_pc2_seuil2,6,IF(C$262&lt;bs_pc2_seuil3,5,IF(C$262&lt;bs_pc2_seuil4,4,IF(C$262&lt;bs_pc2_seuil5,3,IF(C$262&lt;bs_pc2_seuil6,2,IF(C$262&lt;bs_pc2_seuil7,1,IF(C$262&lt;bs_pc2_seuil8,0.5,0))))))))
+(C$263=3)*IF(C$262&lt;bs_pc3_seuil1,7,IF(C$262&lt;bs_pc3_seuil2,6,IF(C$262&lt;bs_pc3_seuil3,5,IF(C$262&lt;bs_pc3_seuil4,4,IF(C$262&lt;bs_pc3_seuil5,3,IF(C$262&lt;bs_pc3_seuil6,2,IF(C$262&lt;bs_pc3_seuil7,1,IF(C$262&lt;bs_pc3_seuil8,0.5,0))))))))
+(C$263=4)*IF(C$262&lt;bs_pc4_seuil1,7,IF(C$262&lt;bs_pc4_seuil2,6,IF(C$262&lt;bs_pc4_seuil3,5,IF(C$262&lt;bs_pc4_seuil4,4,IF(C$262&lt;bs_pc4_seuil5,3,IF(C$262&lt;bs_pc4_seuil6,2,IF(C$262&lt;bs_pc4_seuil7,1,IF(C$262&lt;bs_pc4_seuil8,0.5,0))))))))
+(C$263=5)*IF(C$262&lt;bs_pc5_seuil1,7,IF(C$262&lt;bs_pc5_seuil2,6,IF(C$262&lt;bs_pc5_seuil3,5,IF(C$262&lt;bs_pc5_seuil4,4,IF(C$262&lt;bs_pc5_seuil5,3,IF(C$262&lt;bs_pc5_seuil6,2,IF(C$262&lt;bs_pc5_seuil7,1,IF(C$262&lt;bs_pc5_seuil8,0.5,0))))))))
+(C$263=6)*IF(C$262&lt;bs_pc6_seuil1,7,IF(C$262&lt;bs_pc6_seuil2,6,IF(C$262&lt;bs_pc6_seuil3,5,IF(C$262&lt;bs_pc6_seuil4,4,IF(C$262&lt;bs_pc6_seuil5,3,IF(C$262&lt;bs_pc6_seuil6,2,IF(C$262&lt;bs_pc6_seuil7,1,IF(C$262&lt;bs_pc6_seuil8,0.5,0))))))))
+(C$263=7)*IF(C$262&lt;bs_pc7_seuil1,7,IF(C$262&lt;bs_pc7_seuil2,6,IF(C$262&lt;bs_pc7_seuil3,5,IF(C$262&lt;bs_pc7_seuil4,4,IF(C$262&lt;bs_pc7_seuil5,3,IF(C$262&lt;bs_pc7_seuil6,2,IF(C$262&lt;bs_pc7_seuil7,1,IF(C$262&lt;bs_pc7_seuil8,0.5,0))))))))
+(C$263=8)*IF(C$262&lt;bs_pc8_seuil1,7,IF(C$262&lt;bs_pc8_seuil2,6,IF(C$262&lt;bs_pc8_seuil3,5,IF(C$262&lt;bs_pc8_seuil4,4,IF(C$262&lt;bs_pc8_seuil5,3,IF(C$262&lt;bs_pc8_seuil6,2,IF(C$262&lt;bs_pc8_seuil7,1,IF(C$262&lt;bs_pc8_seuil8,0.5,0))))))))
+(C$263=9)*IF(C$262&lt;bs_pc9_seuil1,7,IF(C$262&lt;bs_pc9_seuil2,6,IF(C$262&lt;bs_pc9_seuil3,5,IF(C$262&lt;bs_pc9_seuil4,4,IF(C$262&lt;bs_pc9_seuil5,3,IF(C$262&lt;bs_pc9_seuil6,2,IF(C$262&lt;bs_pc9_seuil7,1,IF(C$262&lt;bs_pc9_seuil8,0.5,0))))))))
+(C$263=10)*IF(C$262&lt;bs_pc10_seuil1,7,IF(C$262&lt;bs_pc10_seuil2,6,IF(C$262&lt;bs_pc10_seuil3,5,IF(C$262&lt;bs_pc10_seuil4,4,IF(C$262&lt;bs_pc10_seuil5,3,IF(C$262&lt;bs_pc10_seuil6,2,IF(C$262&lt;bs_pc10_seuil7,1,IF(C$262&lt;bs_pc10_seuil8,0.5,0))))))))
+(C$263=11)*IF(C$262&lt;bs_pc11_seuil1,7,IF(C$262&lt;bs_pc11_seuil2,6,IF(C$262&lt;bs_pc11_seuil3,5,IF(C$262&lt;bs_pc11_seuil4,4,IF(C$262&lt;bs_pc11_seuil5,3,IF(C$262&lt;bs_pc11_seuil6,2,IF(C$262&lt;bs_pc11_seuil7,1,IF(C$262&lt;bs_pc11_seuil8,0.5,0))))))))
+(C$263=12)*IF(C$262&lt;bs_pc12_seuil1,7,IF(C$262&lt;bs_pc12_seuil2,6,IF(C$262&lt;bs_pc12_seuil3,5,IF(C$262&lt;bs_pc12_seuil4,4,IF(C$262&lt;bs_pc12_seuil5,3,IF(C$262&lt;bs_pc12_seuil6,2,IF(C$262&lt;bs_pc12_seuil7,1,IF(C$262&lt;bs_pc12_seuil8,0.5,0))))))))
+(C$263=13)*IF(C$262&lt;bs_pc13_seuil1,7,IF(C$262&lt;bs_pc13_seuil2,6,IF(C$262&lt;bs_pc13_seuil3,5,IF(C$262&lt;bs_pc13_seuil4,4,IF(C$262&lt;bs_pc13_seuil5,3,IF(C$262&lt;bs_pc13_seuil6,2,IF(C$262&lt;bs_pc13_seuil7,1,IF(C$262&lt;bs_pc13_seuil8,0.5,0))))))))
+(C$263=14)*IF(C$262&lt;bs_pc14_seuil1,7,IF(C$262&lt;bs_pc14_seuil2,6,IF(C$262&lt;bs_pc14_seuil3,5,IF(C$262&lt;bs_pc14_seuil4,4,IF(C$262&lt;bs_pc14_seuil5,3,IF(C$262&lt;bs_pc14_seuil6,2,IF(C$262&lt;bs_pc14_seuil7,1,IF(C$262&lt;bs_pc14_seuil8,0.5,0))))))))
+(C$263=15)*IF(C$262&lt;bs_pc15_seuil1,7,IF(C$262&lt;bs_pc15_seuil2,6,IF(C$262&lt;bs_pc15_seuil3,5,IF(C$262&lt;bs_pc15_seuil4,4,IF(C$262&lt;bs_pc15_seuil5,3,IF(C$262&lt;bs_pc15_seuil6,2,IF(C$262&lt;bs_pc15_seuil7,1,IF(C$262&lt;bs_pc15_seuil8,0.5,0))))))))
+(C$263=16)*IF(C$262&lt;bs_pc16_seuil1,7,IF(C$262&lt;bs_pc16_seuil2,6,IF(C$262&lt;bs_pc16_seuil3,5,IF(C$262&lt;bs_pc16_seuil4,4,IF(C$262&lt;bs_pc16_seuil5,3,IF(C$262&lt;bs_pc16_seuil6,2,IF(C$262&lt;bs_pc16_seuil7,1,IF(C$262&lt;bs_pc16_seuil8,0.5,0))))))))
+(C$263=17)*IF(C$262&lt;bs_pc17_seuil1,7,IF(C$262&lt;bs_pc17_seuil2,6,IF(C$262&lt;bs_pc17_seuil3,5,IF(C$262&lt;bs_pc17_seuil4,4,IF(C$262&lt;bs_pc17_seuil5,3,IF(C$262&lt;bs_pc17_seuil6,2,IF(C$262&lt;bs_pc17_seuil7,1,IF(C$262&lt;bs_pc17_seuil8,0.5,0))))))))</f>
        <v>6</v>
      </c>
    </row>
    <row r="265" spans="1:3" ht="13" hidden="1" thickBot="1" x14ac:dyDescent="0.3">
      <c r="A265" s="279" t="s">
        <v>320</v>
      </c>
      <c r="B265" s="277"/>
      <c r="C265" s="266">
        <f>(C264=0.5)*bs_montant_ech0bis+(C264=1)*bs_montant_ech1+(C264=2)*bs_montant_ech2+(C264=3)*bs_montant_ech3+(C264=4)*bs_montant_ech4+(C264=5)*bs_montant_ech5+(C264=6)*bs_montant_ech6+(C264=7)*bs_montant_ech7</f>
        <v>5506</v>
      </c>
    </row>
    <row r="266" spans="1:3" hidden="1" x14ac:dyDescent="0.25"/>
    <row r="267" spans="1:3" hidden="1" x14ac:dyDescent="0.25"/>
    <row r="269" spans="1:3" s="4" customFormat="1" ht="15" customHeight="1" thickBot="1" x14ac:dyDescent="0.35">
      <c r="A269" s="295" t="s">
        <v>557</v>
      </c>
      <c r="B269" s="89"/>
      <c r="C269" s="289"/>
    </row>
    <row r="270" spans="1:3" s="4" customFormat="1" x14ac:dyDescent="0.25">
      <c r="A270" s="282" t="s">
        <v>214</v>
      </c>
      <c r="B270" s="121"/>
      <c r="C270" s="123">
        <f>IF(C$3="couple",(C$211=0)*pa_forf_c0+(C$211=1)*pa_forf_c1+(C$211&gt;=2)*(pa_forf_c2+(C$211-2)*pa_sup_enf),0)+IF(C$3="isolé",(C68=0)*((C$211=0)*pa_forf_I0+(C$211=1)*pa_forf_I1+(C$211&gt;=2)*(pa_forf_I2+(C$211-2)*pa_sup_enf))+(C68=1)*((C$211=0)*pa_forfm_I0+(C$211=1)*pa_forfm_I1+(C$211&gt;=2)*(pa_forfm_I2+(C$211-2)*pa_forfm_supenf)),0)</f>
        <v>622.63</v>
      </c>
    </row>
    <row r="271" spans="1:3" s="4" customFormat="1" x14ac:dyDescent="0.25">
      <c r="A271" s="275" t="s">
        <v>162</v>
      </c>
      <c r="B271" s="5"/>
      <c r="C271" s="85">
        <f>MIN(C$185,IF(C$3="isolé",(C$211=0)*pa_fl1+(C$211=1)*pa_fl2+(C$211&gt;1)*pa_fl3,(C$211=0)*pa_fl2+(C$211&gt;0)*pa_fl3))</f>
        <v>74.715599999999995</v>
      </c>
    </row>
    <row r="272" spans="1:3" s="4" customFormat="1" x14ac:dyDescent="0.25">
      <c r="A272" s="275" t="s">
        <v>526</v>
      </c>
      <c r="B272" s="5"/>
      <c r="C272" s="85">
        <v>0</v>
      </c>
    </row>
    <row r="273" spans="1:3" s="4" customFormat="1" x14ac:dyDescent="0.25">
      <c r="A273" s="275" t="s">
        <v>527</v>
      </c>
      <c r="B273" s="5"/>
      <c r="C273" s="85">
        <v>0</v>
      </c>
    </row>
    <row r="274" spans="1:3" s="4" customFormat="1" x14ac:dyDescent="0.25">
      <c r="A274" s="116" t="s">
        <v>92</v>
      </c>
      <c r="B274" s="5"/>
      <c r="C274" s="85">
        <f>C$38+C$32*IF(C$38&gt;=AAH_salmin_revact,C$205,0)+(C$3="couple")*(C$39+C$33*IF(C$39&gt;=AAH_salmin_revact,C$207,0))</f>
        <v>330</v>
      </c>
    </row>
    <row r="275" spans="1:3" s="4" customFormat="1" x14ac:dyDescent="0.25">
      <c r="A275" s="275" t="s">
        <v>216</v>
      </c>
      <c r="B275" s="5"/>
      <c r="C275" s="85">
        <f>C270+C272+C273+pa_taux_rev_act*C274</f>
        <v>823.93</v>
      </c>
    </row>
    <row r="276" spans="1:3" s="4" customFormat="1" x14ac:dyDescent="0.25">
      <c r="A276" s="275" t="s">
        <v>209</v>
      </c>
      <c r="B276" s="5"/>
      <c r="C276" s="85">
        <f>(C$127+C$137+C$64)/(1-crds)+(C$62&gt;0)*MAX(0,(ASF_à_déduire_du_RSA/(1-crds))*C$97-C$52)</f>
        <v>0</v>
      </c>
    </row>
    <row r="277" spans="1:3" x14ac:dyDescent="0.25">
      <c r="A277" s="275" t="s">
        <v>331</v>
      </c>
      <c r="B277" s="5"/>
      <c r="C277" s="85">
        <f>C$218+C$227+C$38+C$39+C$52+C$57+C$74</f>
        <v>559.4248</v>
      </c>
    </row>
    <row r="278" spans="1:3" ht="13" thickBot="1" x14ac:dyDescent="0.3">
      <c r="A278" s="288" t="s">
        <v>143</v>
      </c>
      <c r="B278" s="125"/>
      <c r="C278" s="126">
        <f>(C$225&gt;0)*MAX(0,C$226-C$222-C$228)</f>
        <v>189.78959999999995</v>
      </c>
    </row>
  </sheetData>
  <sheetProtection selectLockedCells="1" selectUnlockedCells="1"/>
  <mergeCells count="1">
    <mergeCell ref="B40:B41"/>
  </mergeCells>
  <pageMargins left="0.78740157499999996" right="0.78740157499999996" top="0.984251969" bottom="0.984251969" header="0.4921259845" footer="0.4921259845"/>
  <pageSetup paperSize="9" scale="16"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A70B8-E0D4-412F-B9B1-CC7F8C78C4F0}">
  <sheetPr>
    <tabColor theme="9" tint="-0.249977111117893"/>
    <pageSetUpPr fitToPage="1"/>
  </sheetPr>
  <dimension ref="A2:U279"/>
  <sheetViews>
    <sheetView topLeftCell="A114" zoomScale="85" zoomScaleNormal="85" workbookViewId="0">
      <selection activeCell="R279" sqref="R279:U279"/>
    </sheetView>
  </sheetViews>
  <sheetFormatPr baseColWidth="10" defaultColWidth="11.453125" defaultRowHeight="12.5" x14ac:dyDescent="0.25"/>
  <cols>
    <col min="1" max="1" width="73.26953125" customWidth="1"/>
    <col min="2" max="2" width="41.26953125" hidden="1" customWidth="1"/>
    <col min="3" max="6" width="10.1796875" style="202" customWidth="1"/>
    <col min="7" max="7" width="3.26953125" customWidth="1"/>
    <col min="8" max="11" width="10.1796875" style="202" customWidth="1"/>
    <col min="12" max="12" width="3.26953125" customWidth="1"/>
    <col min="13" max="16" width="10.1796875" style="202" customWidth="1"/>
    <col min="17" max="17" width="3.26953125" customWidth="1"/>
    <col min="18" max="21" width="10.1796875" style="202" customWidth="1"/>
  </cols>
  <sheetData>
    <row r="2" spans="1:21" ht="27" customHeight="1" thickBot="1" x14ac:dyDescent="0.35">
      <c r="A2" s="355" t="s">
        <v>387</v>
      </c>
      <c r="B2" s="356"/>
      <c r="C2" s="516" t="s">
        <v>531</v>
      </c>
      <c r="D2" s="516"/>
      <c r="E2" s="516"/>
      <c r="F2" s="516"/>
      <c r="H2" s="516" t="s">
        <v>532</v>
      </c>
      <c r="I2" s="516"/>
      <c r="J2" s="516"/>
      <c r="K2" s="516"/>
      <c r="M2" s="516" t="s">
        <v>533</v>
      </c>
      <c r="N2" s="516"/>
      <c r="O2" s="516"/>
      <c r="P2" s="516"/>
      <c r="R2" s="516" t="s">
        <v>537</v>
      </c>
      <c r="S2" s="516"/>
      <c r="T2" s="516"/>
      <c r="U2" s="516"/>
    </row>
    <row r="3" spans="1:21" ht="13" thickBot="1" x14ac:dyDescent="0.3">
      <c r="A3" s="1" t="s">
        <v>27</v>
      </c>
      <c r="B3" s="1" t="s">
        <v>59</v>
      </c>
      <c r="C3" s="332" t="s">
        <v>11</v>
      </c>
      <c r="D3" s="332" t="s">
        <v>11</v>
      </c>
      <c r="E3" s="332" t="s">
        <v>11</v>
      </c>
      <c r="F3" s="332" t="s">
        <v>11</v>
      </c>
      <c r="H3" s="332" t="s">
        <v>11</v>
      </c>
      <c r="I3" s="332" t="s">
        <v>11</v>
      </c>
      <c r="J3" s="332" t="s">
        <v>11</v>
      </c>
      <c r="K3" s="332" t="s">
        <v>11</v>
      </c>
      <c r="M3" s="332" t="s">
        <v>11</v>
      </c>
      <c r="N3" s="332" t="s">
        <v>11</v>
      </c>
      <c r="O3" s="332" t="s">
        <v>11</v>
      </c>
      <c r="P3" s="332" t="s">
        <v>11</v>
      </c>
      <c r="R3" s="332" t="s">
        <v>11</v>
      </c>
      <c r="S3" s="332" t="s">
        <v>11</v>
      </c>
      <c r="T3" s="332" t="s">
        <v>11</v>
      </c>
      <c r="U3" s="332" t="s">
        <v>11</v>
      </c>
    </row>
    <row r="4" spans="1:21" x14ac:dyDescent="0.25">
      <c r="A4" s="1" t="s">
        <v>98</v>
      </c>
      <c r="B4" s="256" t="s">
        <v>104</v>
      </c>
      <c r="C4" s="238">
        <v>-1</v>
      </c>
      <c r="D4" s="238">
        <v>-1</v>
      </c>
      <c r="E4" s="238">
        <v>-1</v>
      </c>
      <c r="F4" s="238">
        <v>-1</v>
      </c>
      <c r="H4" s="238">
        <v>5</v>
      </c>
      <c r="I4" s="238">
        <v>5</v>
      </c>
      <c r="J4" s="238">
        <v>5</v>
      </c>
      <c r="K4" s="238">
        <v>5</v>
      </c>
      <c r="M4" s="238">
        <v>5</v>
      </c>
      <c r="N4" s="238">
        <v>5</v>
      </c>
      <c r="O4" s="238">
        <v>5</v>
      </c>
      <c r="P4" s="238">
        <v>5</v>
      </c>
      <c r="R4" s="238">
        <v>5</v>
      </c>
      <c r="S4" s="238">
        <v>5</v>
      </c>
      <c r="T4" s="238">
        <v>5</v>
      </c>
      <c r="U4" s="238">
        <v>5</v>
      </c>
    </row>
    <row r="5" spans="1:21" x14ac:dyDescent="0.25">
      <c r="A5" s="2" t="s">
        <v>99</v>
      </c>
      <c r="B5" s="257" t="s">
        <v>414</v>
      </c>
      <c r="C5" s="239">
        <v>-1</v>
      </c>
      <c r="D5" s="239">
        <v>-1</v>
      </c>
      <c r="E5" s="239">
        <v>-1</v>
      </c>
      <c r="F5" s="239">
        <v>-1</v>
      </c>
      <c r="H5" s="239">
        <v>-1</v>
      </c>
      <c r="I5" s="239">
        <v>-1</v>
      </c>
      <c r="J5" s="239">
        <v>-1</v>
      </c>
      <c r="K5" s="239">
        <v>-1</v>
      </c>
      <c r="M5" s="239">
        <v>8</v>
      </c>
      <c r="N5" s="239">
        <v>8</v>
      </c>
      <c r="O5" s="239">
        <v>8</v>
      </c>
      <c r="P5" s="239">
        <v>8</v>
      </c>
      <c r="R5" s="239">
        <v>8</v>
      </c>
      <c r="S5" s="239">
        <v>8</v>
      </c>
      <c r="T5" s="239">
        <v>8</v>
      </c>
      <c r="U5" s="239">
        <v>8</v>
      </c>
    </row>
    <row r="6" spans="1:21" x14ac:dyDescent="0.25">
      <c r="A6" s="2" t="s">
        <v>100</v>
      </c>
      <c r="B6" s="2"/>
      <c r="C6" s="239">
        <v>-1</v>
      </c>
      <c r="D6" s="239">
        <v>-1</v>
      </c>
      <c r="E6" s="239">
        <v>-1</v>
      </c>
      <c r="F6" s="239">
        <v>-1</v>
      </c>
      <c r="H6" s="239">
        <v>-1</v>
      </c>
      <c r="I6" s="239">
        <v>-1</v>
      </c>
      <c r="J6" s="239">
        <v>-1</v>
      </c>
      <c r="K6" s="239">
        <v>-1</v>
      </c>
      <c r="M6" s="239">
        <v>-1</v>
      </c>
      <c r="N6" s="239">
        <v>-1</v>
      </c>
      <c r="O6" s="239">
        <v>-1</v>
      </c>
      <c r="P6" s="239">
        <v>-1</v>
      </c>
      <c r="R6" s="239">
        <v>10</v>
      </c>
      <c r="S6" s="239">
        <v>10</v>
      </c>
      <c r="T6" s="239">
        <v>10</v>
      </c>
      <c r="U6" s="239">
        <v>10</v>
      </c>
    </row>
    <row r="7" spans="1:21" x14ac:dyDescent="0.25">
      <c r="A7" s="2" t="s">
        <v>101</v>
      </c>
      <c r="B7" s="2"/>
      <c r="C7" s="239">
        <v>-1</v>
      </c>
      <c r="D7" s="239">
        <v>-1</v>
      </c>
      <c r="E7" s="239">
        <v>-1</v>
      </c>
      <c r="F7" s="239">
        <v>-1</v>
      </c>
      <c r="H7" s="239">
        <v>-1</v>
      </c>
      <c r="I7" s="239">
        <v>-1</v>
      </c>
      <c r="J7" s="239">
        <v>-1</v>
      </c>
      <c r="K7" s="239">
        <v>-1</v>
      </c>
      <c r="M7" s="239">
        <v>-1</v>
      </c>
      <c r="N7" s="239">
        <v>-1</v>
      </c>
      <c r="O7" s="239">
        <v>-1</v>
      </c>
      <c r="P7" s="239">
        <v>-1</v>
      </c>
      <c r="R7" s="239">
        <v>-1</v>
      </c>
      <c r="S7" s="239">
        <v>-1</v>
      </c>
      <c r="T7" s="239">
        <v>-1</v>
      </c>
      <c r="U7" s="239">
        <v>-1</v>
      </c>
    </row>
    <row r="8" spans="1:21" x14ac:dyDescent="0.25">
      <c r="A8" s="2" t="s">
        <v>102</v>
      </c>
      <c r="B8" s="2"/>
      <c r="C8" s="239">
        <v>-1</v>
      </c>
      <c r="D8" s="239">
        <v>-1</v>
      </c>
      <c r="E8" s="239">
        <v>-1</v>
      </c>
      <c r="F8" s="239">
        <v>-1</v>
      </c>
      <c r="H8" s="239">
        <v>-1</v>
      </c>
      <c r="I8" s="239">
        <v>-1</v>
      </c>
      <c r="J8" s="239">
        <v>-1</v>
      </c>
      <c r="K8" s="239">
        <v>-1</v>
      </c>
      <c r="M8" s="239">
        <v>-1</v>
      </c>
      <c r="N8" s="239">
        <v>-1</v>
      </c>
      <c r="O8" s="239">
        <v>-1</v>
      </c>
      <c r="P8" s="239">
        <v>-1</v>
      </c>
      <c r="R8" s="239">
        <v>-1</v>
      </c>
      <c r="S8" s="239">
        <v>-1</v>
      </c>
      <c r="T8" s="239">
        <v>-1</v>
      </c>
      <c r="U8" s="239">
        <v>-1</v>
      </c>
    </row>
    <row r="9" spans="1:21" ht="13" thickBot="1" x14ac:dyDescent="0.3">
      <c r="A9" s="3" t="s">
        <v>103</v>
      </c>
      <c r="B9" s="3"/>
      <c r="C9" s="239">
        <v>-1</v>
      </c>
      <c r="D9" s="239">
        <v>-1</v>
      </c>
      <c r="E9" s="239">
        <v>-1</v>
      </c>
      <c r="F9" s="239">
        <v>-1</v>
      </c>
      <c r="H9" s="239">
        <v>-1</v>
      </c>
      <c r="I9" s="239">
        <v>-1</v>
      </c>
      <c r="J9" s="239">
        <v>-1</v>
      </c>
      <c r="K9" s="239">
        <v>-1</v>
      </c>
      <c r="M9" s="239">
        <v>-1</v>
      </c>
      <c r="N9" s="239">
        <v>-1</v>
      </c>
      <c r="O9" s="239">
        <v>-1</v>
      </c>
      <c r="P9" s="239">
        <v>-1</v>
      </c>
      <c r="R9" s="239">
        <v>-1</v>
      </c>
      <c r="S9" s="239">
        <v>-1</v>
      </c>
      <c r="T9" s="239">
        <v>-1</v>
      </c>
      <c r="U9" s="239">
        <v>-1</v>
      </c>
    </row>
    <row r="10" spans="1:21" ht="13" thickBot="1" x14ac:dyDescent="0.3">
      <c r="A10" s="339" t="s">
        <v>388</v>
      </c>
      <c r="B10" s="339"/>
      <c r="C10" s="346">
        <f t="shared" ref="C10:U10" si="0">(C$4&gt;=18)+(C$5&gt;=18)+(C$6&gt;=18)+(C$7&gt;=18)+(C$8&gt;=18)+(C$9&gt;=18)</f>
        <v>0</v>
      </c>
      <c r="D10" s="346">
        <f t="shared" si="0"/>
        <v>0</v>
      </c>
      <c r="E10" s="346">
        <f t="shared" si="0"/>
        <v>0</v>
      </c>
      <c r="F10" s="346">
        <f t="shared" si="0"/>
        <v>0</v>
      </c>
      <c r="H10" s="346">
        <f t="shared" si="0"/>
        <v>0</v>
      </c>
      <c r="I10" s="346">
        <f t="shared" si="0"/>
        <v>0</v>
      </c>
      <c r="J10" s="346">
        <f t="shared" si="0"/>
        <v>0</v>
      </c>
      <c r="K10" s="346">
        <f t="shared" si="0"/>
        <v>0</v>
      </c>
      <c r="M10" s="346">
        <f t="shared" si="0"/>
        <v>0</v>
      </c>
      <c r="N10" s="346">
        <f t="shared" si="0"/>
        <v>0</v>
      </c>
      <c r="O10" s="346">
        <f t="shared" si="0"/>
        <v>0</v>
      </c>
      <c r="P10" s="346">
        <f t="shared" si="0"/>
        <v>0</v>
      </c>
      <c r="R10" s="346">
        <f t="shared" si="0"/>
        <v>0</v>
      </c>
      <c r="S10" s="346">
        <f t="shared" si="0"/>
        <v>0</v>
      </c>
      <c r="T10" s="346">
        <f t="shared" si="0"/>
        <v>0</v>
      </c>
      <c r="U10" s="346">
        <f t="shared" si="0"/>
        <v>0</v>
      </c>
    </row>
    <row r="11" spans="1:21" ht="37.5" x14ac:dyDescent="0.25">
      <c r="A11" s="437" t="s">
        <v>504</v>
      </c>
      <c r="B11" s="302"/>
      <c r="C11" s="327"/>
      <c r="D11" s="327"/>
      <c r="E11" s="327"/>
      <c r="F11" s="327"/>
      <c r="H11" s="327"/>
      <c r="I11" s="327"/>
      <c r="J11" s="327"/>
      <c r="K11" s="327"/>
      <c r="M11" s="327"/>
      <c r="N11" s="327"/>
      <c r="O11" s="327"/>
      <c r="P11" s="327"/>
      <c r="R11" s="327"/>
      <c r="S11" s="327"/>
      <c r="T11" s="327"/>
      <c r="U11" s="327"/>
    </row>
    <row r="12" spans="1:21" ht="13" thickBot="1" x14ac:dyDescent="0.3">
      <c r="A12" s="279" t="s">
        <v>423</v>
      </c>
      <c r="B12" s="250"/>
      <c r="C12" s="327"/>
      <c r="D12" s="327"/>
      <c r="E12" s="327"/>
      <c r="F12" s="327"/>
      <c r="H12" s="327"/>
      <c r="I12" s="327"/>
      <c r="J12" s="327"/>
      <c r="K12" s="327"/>
      <c r="M12" s="327"/>
      <c r="N12" s="327"/>
      <c r="O12" s="327"/>
      <c r="P12" s="327"/>
      <c r="R12" s="327"/>
      <c r="S12" s="327"/>
      <c r="T12" s="327"/>
      <c r="U12" s="327"/>
    </row>
    <row r="13" spans="1:21" x14ac:dyDescent="0.25">
      <c r="A13" s="256" t="s">
        <v>421</v>
      </c>
      <c r="B13" s="335" t="s">
        <v>424</v>
      </c>
      <c r="C13" s="246" t="s">
        <v>525</v>
      </c>
      <c r="D13" s="246" t="s">
        <v>525</v>
      </c>
      <c r="E13" s="246" t="s">
        <v>525</v>
      </c>
      <c r="F13" s="246" t="s">
        <v>525</v>
      </c>
      <c r="H13" s="246" t="s">
        <v>525</v>
      </c>
      <c r="I13" s="246" t="s">
        <v>525</v>
      </c>
      <c r="J13" s="246" t="s">
        <v>525</v>
      </c>
      <c r="K13" s="246" t="s">
        <v>525</v>
      </c>
      <c r="M13" s="246" t="s">
        <v>525</v>
      </c>
      <c r="N13" s="246" t="s">
        <v>525</v>
      </c>
      <c r="O13" s="246" t="s">
        <v>525</v>
      </c>
      <c r="P13" s="246" t="s">
        <v>525</v>
      </c>
      <c r="R13" s="246" t="s">
        <v>525</v>
      </c>
      <c r="S13" s="246" t="s">
        <v>525</v>
      </c>
      <c r="T13" s="246" t="s">
        <v>525</v>
      </c>
      <c r="U13" s="246" t="s">
        <v>525</v>
      </c>
    </row>
    <row r="14" spans="1:21" x14ac:dyDescent="0.25">
      <c r="A14" s="257" t="s">
        <v>426</v>
      </c>
      <c r="B14" s="257" t="s">
        <v>68</v>
      </c>
      <c r="C14" s="336">
        <f>2*smic</f>
        <v>2797.4</v>
      </c>
      <c r="D14" s="336">
        <f>2*smic</f>
        <v>2797.4</v>
      </c>
      <c r="E14" s="336">
        <f>2*smic</f>
        <v>2797.4</v>
      </c>
      <c r="F14" s="336">
        <f>2*smic</f>
        <v>2797.4</v>
      </c>
      <c r="H14" s="336">
        <f>2*smic</f>
        <v>2797.4</v>
      </c>
      <c r="I14" s="336">
        <f>2*smic</f>
        <v>2797.4</v>
      </c>
      <c r="J14" s="336">
        <f>2*smic</f>
        <v>2797.4</v>
      </c>
      <c r="K14" s="336">
        <f>2*smic</f>
        <v>2797.4</v>
      </c>
      <c r="M14" s="336">
        <f>2*smic</f>
        <v>2797.4</v>
      </c>
      <c r="N14" s="336">
        <f>2*smic</f>
        <v>2797.4</v>
      </c>
      <c r="O14" s="336">
        <f>2*smic</f>
        <v>2797.4</v>
      </c>
      <c r="P14" s="336">
        <f>2*smic</f>
        <v>2797.4</v>
      </c>
      <c r="R14" s="336">
        <f>2*smic</f>
        <v>2797.4</v>
      </c>
      <c r="S14" s="336">
        <f>2*smic</f>
        <v>2797.4</v>
      </c>
      <c r="T14" s="336">
        <f>2*smic</f>
        <v>2797.4</v>
      </c>
      <c r="U14" s="336">
        <f>2*smic</f>
        <v>2797.4</v>
      </c>
    </row>
    <row r="15" spans="1:21" x14ac:dyDescent="0.25">
      <c r="A15" s="257" t="s">
        <v>510</v>
      </c>
      <c r="B15" s="257"/>
      <c r="C15" s="336"/>
      <c r="D15" s="336"/>
      <c r="E15" s="336"/>
      <c r="F15" s="336"/>
      <c r="H15" s="336"/>
      <c r="I15" s="336"/>
      <c r="J15" s="336"/>
      <c r="K15" s="336"/>
      <c r="M15" s="336"/>
      <c r="N15" s="336"/>
      <c r="O15" s="336"/>
      <c r="P15" s="336"/>
      <c r="R15" s="336"/>
      <c r="S15" s="336"/>
      <c r="T15" s="336"/>
      <c r="U15" s="336"/>
    </row>
    <row r="16" spans="1:21" ht="13" thickBot="1" x14ac:dyDescent="0.3">
      <c r="A16" s="258" t="s">
        <v>425</v>
      </c>
      <c r="B16" s="337" t="s">
        <v>428</v>
      </c>
      <c r="C16" s="247">
        <v>2010</v>
      </c>
      <c r="D16" s="247">
        <v>2010</v>
      </c>
      <c r="E16" s="247">
        <v>2010</v>
      </c>
      <c r="F16" s="247">
        <v>2010</v>
      </c>
      <c r="H16" s="247">
        <v>2010</v>
      </c>
      <c r="I16" s="247">
        <v>2010</v>
      </c>
      <c r="J16" s="247">
        <v>2010</v>
      </c>
      <c r="K16" s="247">
        <v>2010</v>
      </c>
      <c r="M16" s="247">
        <v>2010</v>
      </c>
      <c r="N16" s="247">
        <v>2010</v>
      </c>
      <c r="O16" s="247">
        <v>2010</v>
      </c>
      <c r="P16" s="247">
        <v>2010</v>
      </c>
      <c r="R16" s="247">
        <v>2010</v>
      </c>
      <c r="S16" s="247">
        <v>2010</v>
      </c>
      <c r="T16" s="247">
        <v>2010</v>
      </c>
      <c r="U16" s="247">
        <v>2010</v>
      </c>
    </row>
    <row r="18" spans="1:21" ht="13" thickBot="1" x14ac:dyDescent="0.3">
      <c r="A18" s="1" t="s">
        <v>71</v>
      </c>
      <c r="B18" s="256" t="s">
        <v>72</v>
      </c>
      <c r="C18" s="238">
        <f>IF(AND(C3="isolé",OR(C13="pg",C13="solo",AND(C13="ga_m",C52&gt;0))),1,0)</f>
        <v>1</v>
      </c>
      <c r="D18" s="238">
        <f>IF(AND(D3="isolé",OR(D13="pg",D13="solo",AND(D13="ga_m",D52&gt;0))),1,0)</f>
        <v>1</v>
      </c>
      <c r="E18" s="238">
        <f>IF(AND(E3="isolé",OR(E13="pg",E13="solo",AND(E13="ga_m",E52&gt;0))),1,0)</f>
        <v>1</v>
      </c>
      <c r="F18" s="238">
        <f>IF(AND(F3="isolé",OR(F13="pg",F13="solo",AND(F13="ga_m",F52&gt;0))),1,0)</f>
        <v>1</v>
      </c>
      <c r="H18" s="238">
        <f>IF(AND(H3="isolé",OR(H13="pg",H13="solo",AND(H13="ga_m",H52&gt;0))),1,0)</f>
        <v>1</v>
      </c>
      <c r="I18" s="238">
        <f>IF(AND(I3="isolé",OR(I13="pg",I13="solo",AND(I13="ga_m",I52&gt;0))),1,0)</f>
        <v>1</v>
      </c>
      <c r="J18" s="238">
        <f>IF(AND(J3="isolé",OR(J13="pg",J13="solo",AND(J13="ga_m",J52&gt;0))),1,0)</f>
        <v>1</v>
      </c>
      <c r="K18" s="238">
        <f>IF(AND(K3="isolé",OR(K13="pg",K13="solo",AND(K13="ga_m",K52&gt;0))),1,0)</f>
        <v>1</v>
      </c>
      <c r="M18" s="238">
        <f>IF(AND(M3="isolé",OR(M13="pg",M13="solo",AND(M13="ga_m",M52&gt;0))),1,0)</f>
        <v>1</v>
      </c>
      <c r="N18" s="238">
        <f>IF(AND(N3="isolé",OR(N13="pg",N13="solo",AND(N13="ga_m",N52&gt;0))),1,0)</f>
        <v>1</v>
      </c>
      <c r="O18" s="238">
        <f>IF(AND(O3="isolé",OR(O13="pg",O13="solo",AND(O13="ga_m",O52&gt;0))),1,0)</f>
        <v>1</v>
      </c>
      <c r="P18" s="238">
        <f>IF(AND(P3="isolé",OR(P13="pg",P13="solo",AND(P13="ga_m",P52&gt;0))),1,0)</f>
        <v>1</v>
      </c>
      <c r="R18" s="238">
        <f>IF(AND(R3="isolé",OR(R13="pg",R13="solo",AND(R13="ga_m",R52&gt;0))),1,0)</f>
        <v>1</v>
      </c>
      <c r="S18" s="238">
        <f>IF(AND(S3="isolé",OR(S13="pg",S13="solo",AND(S13="ga_m",S52&gt;0))),1,0)</f>
        <v>1</v>
      </c>
      <c r="T18" s="238">
        <f>IF(AND(T3="isolé",OR(T13="pg",T13="solo",AND(T13="ga_m",T52&gt;0))),1,0)</f>
        <v>1</v>
      </c>
      <c r="U18" s="238">
        <f>IF(AND(U3="isolé",OR(U13="pg",U13="solo",AND(U13="ga_m",U52&gt;0))),1,0)</f>
        <v>1</v>
      </c>
    </row>
    <row r="19" spans="1:21" ht="13" thickBot="1" x14ac:dyDescent="0.3">
      <c r="A19" s="6" t="s">
        <v>88</v>
      </c>
      <c r="B19" s="6" t="s">
        <v>72</v>
      </c>
      <c r="C19" s="240">
        <v>0</v>
      </c>
      <c r="D19" s="240">
        <v>0</v>
      </c>
      <c r="E19" s="240">
        <v>0</v>
      </c>
      <c r="F19" s="240">
        <v>0</v>
      </c>
      <c r="H19" s="240">
        <v>0</v>
      </c>
      <c r="I19" s="240">
        <v>0</v>
      </c>
      <c r="J19" s="240">
        <v>0</v>
      </c>
      <c r="K19" s="240">
        <v>0</v>
      </c>
      <c r="M19" s="240">
        <v>0</v>
      </c>
      <c r="N19" s="240">
        <v>0</v>
      </c>
      <c r="O19" s="240">
        <v>0</v>
      </c>
      <c r="P19" s="240">
        <v>0</v>
      </c>
      <c r="R19" s="240">
        <v>0</v>
      </c>
      <c r="S19" s="240">
        <v>0</v>
      </c>
      <c r="T19" s="240">
        <v>0</v>
      </c>
      <c r="U19" s="240">
        <v>0</v>
      </c>
    </row>
    <row r="20" spans="1:21" ht="13" thickBot="1" x14ac:dyDescent="0.3">
      <c r="A20" s="4"/>
      <c r="B20" s="4"/>
      <c r="C20" s="139"/>
      <c r="D20" s="139"/>
      <c r="E20" s="139"/>
      <c r="F20" s="139"/>
      <c r="H20" s="139"/>
      <c r="I20" s="139"/>
      <c r="J20" s="139"/>
      <c r="K20" s="139"/>
      <c r="M20" s="139"/>
      <c r="N20" s="139"/>
      <c r="O20" s="139"/>
      <c r="P20" s="139"/>
      <c r="R20" s="139"/>
      <c r="S20" s="139"/>
      <c r="T20" s="139"/>
      <c r="U20" s="139"/>
    </row>
    <row r="21" spans="1:21" x14ac:dyDescent="0.25">
      <c r="A21" s="256" t="s">
        <v>233</v>
      </c>
      <c r="B21" s="300" t="s">
        <v>234</v>
      </c>
      <c r="C21" s="241">
        <v>0</v>
      </c>
      <c r="D21" s="241">
        <v>0</v>
      </c>
      <c r="E21" s="241">
        <v>0</v>
      </c>
      <c r="F21" s="241">
        <v>0</v>
      </c>
      <c r="H21" s="241">
        <v>0</v>
      </c>
      <c r="I21" s="241">
        <v>0</v>
      </c>
      <c r="J21" s="241">
        <v>0</v>
      </c>
      <c r="K21" s="241">
        <v>0</v>
      </c>
      <c r="M21" s="241">
        <v>0</v>
      </c>
      <c r="N21" s="241">
        <v>0</v>
      </c>
      <c r="O21" s="241">
        <v>0</v>
      </c>
      <c r="P21" s="241">
        <v>0</v>
      </c>
      <c r="R21" s="241">
        <v>0</v>
      </c>
      <c r="S21" s="241">
        <v>0</v>
      </c>
      <c r="T21" s="241">
        <v>0</v>
      </c>
      <c r="U21" s="241">
        <v>0</v>
      </c>
    </row>
    <row r="22" spans="1:21" x14ac:dyDescent="0.25">
      <c r="A22" s="257" t="s">
        <v>235</v>
      </c>
      <c r="B22" s="297"/>
      <c r="C22" s="242">
        <v>0</v>
      </c>
      <c r="D22" s="242">
        <v>0</v>
      </c>
      <c r="E22" s="242">
        <v>0</v>
      </c>
      <c r="F22" s="242">
        <v>0</v>
      </c>
      <c r="H22" s="242">
        <v>0</v>
      </c>
      <c r="I22" s="242">
        <v>0</v>
      </c>
      <c r="J22" s="242">
        <v>0</v>
      </c>
      <c r="K22" s="242">
        <v>0</v>
      </c>
      <c r="M22" s="242">
        <v>0</v>
      </c>
      <c r="N22" s="242">
        <v>0</v>
      </c>
      <c r="O22" s="242">
        <v>0</v>
      </c>
      <c r="P22" s="242">
        <v>0</v>
      </c>
      <c r="R22" s="242">
        <v>0</v>
      </c>
      <c r="S22" s="242">
        <v>0</v>
      </c>
      <c r="T22" s="242">
        <v>0</v>
      </c>
      <c r="U22" s="242">
        <v>0</v>
      </c>
    </row>
    <row r="23" spans="1:21" x14ac:dyDescent="0.25">
      <c r="A23" s="257" t="s">
        <v>236</v>
      </c>
      <c r="B23" s="297"/>
      <c r="C23" s="242">
        <v>0</v>
      </c>
      <c r="D23" s="242">
        <v>0</v>
      </c>
      <c r="E23" s="242">
        <v>0</v>
      </c>
      <c r="F23" s="242">
        <v>0</v>
      </c>
      <c r="H23" s="242">
        <v>0</v>
      </c>
      <c r="I23" s="242">
        <v>0</v>
      </c>
      <c r="J23" s="242">
        <v>0</v>
      </c>
      <c r="K23" s="242">
        <v>0</v>
      </c>
      <c r="M23" s="242">
        <v>0</v>
      </c>
      <c r="N23" s="242">
        <v>0</v>
      </c>
      <c r="O23" s="242">
        <v>0</v>
      </c>
      <c r="P23" s="242">
        <v>0</v>
      </c>
      <c r="R23" s="242">
        <v>0</v>
      </c>
      <c r="S23" s="242">
        <v>0</v>
      </c>
      <c r="T23" s="242">
        <v>0</v>
      </c>
      <c r="U23" s="242">
        <v>0</v>
      </c>
    </row>
    <row r="24" spans="1:21" ht="13" thickBot="1" x14ac:dyDescent="0.3">
      <c r="A24" s="258" t="s">
        <v>237</v>
      </c>
      <c r="B24" s="301"/>
      <c r="C24" s="243">
        <v>0</v>
      </c>
      <c r="D24" s="243">
        <v>0</v>
      </c>
      <c r="E24" s="243">
        <v>0</v>
      </c>
      <c r="F24" s="243">
        <v>0</v>
      </c>
      <c r="H24" s="243">
        <v>0</v>
      </c>
      <c r="I24" s="243">
        <v>0</v>
      </c>
      <c r="J24" s="243">
        <v>0</v>
      </c>
      <c r="K24" s="243">
        <v>0</v>
      </c>
      <c r="M24" s="243">
        <v>0</v>
      </c>
      <c r="N24" s="243">
        <v>0</v>
      </c>
      <c r="O24" s="243">
        <v>0</v>
      </c>
      <c r="P24" s="243">
        <v>0</v>
      </c>
      <c r="R24" s="243">
        <v>0</v>
      </c>
      <c r="S24" s="243">
        <v>0</v>
      </c>
      <c r="T24" s="243">
        <v>0</v>
      </c>
      <c r="U24" s="243">
        <v>0</v>
      </c>
    </row>
    <row r="25" spans="1:21" x14ac:dyDescent="0.25">
      <c r="A25" s="257" t="s">
        <v>309</v>
      </c>
      <c r="B25" s="257"/>
      <c r="C25" s="244">
        <v>1</v>
      </c>
      <c r="D25" s="244">
        <v>1</v>
      </c>
      <c r="E25" s="244">
        <v>1</v>
      </c>
      <c r="F25" s="244">
        <v>1</v>
      </c>
      <c r="H25" s="244">
        <v>1</v>
      </c>
      <c r="I25" s="244">
        <v>1</v>
      </c>
      <c r="J25" s="244">
        <v>1</v>
      </c>
      <c r="K25" s="244">
        <v>1</v>
      </c>
      <c r="M25" s="244">
        <v>1</v>
      </c>
      <c r="N25" s="244">
        <v>1</v>
      </c>
      <c r="O25" s="244">
        <v>1</v>
      </c>
      <c r="P25" s="244">
        <v>1</v>
      </c>
      <c r="R25" s="244">
        <v>1</v>
      </c>
      <c r="S25" s="244">
        <v>1</v>
      </c>
      <c r="T25" s="244">
        <v>1</v>
      </c>
      <c r="U25" s="244">
        <v>1</v>
      </c>
    </row>
    <row r="26" spans="1:21" ht="13" thickBot="1" x14ac:dyDescent="0.3">
      <c r="A26" s="258" t="s">
        <v>310</v>
      </c>
      <c r="B26" s="258"/>
      <c r="C26" s="245">
        <v>1</v>
      </c>
      <c r="D26" s="245">
        <v>1</v>
      </c>
      <c r="E26" s="245">
        <v>1</v>
      </c>
      <c r="F26" s="245">
        <v>1</v>
      </c>
      <c r="H26" s="245">
        <v>1</v>
      </c>
      <c r="I26" s="245">
        <v>1</v>
      </c>
      <c r="J26" s="245">
        <v>1</v>
      </c>
      <c r="K26" s="245">
        <v>1</v>
      </c>
      <c r="M26" s="245">
        <v>1</v>
      </c>
      <c r="N26" s="245">
        <v>1</v>
      </c>
      <c r="O26" s="245">
        <v>1</v>
      </c>
      <c r="P26" s="245">
        <v>1</v>
      </c>
      <c r="R26" s="245">
        <v>1</v>
      </c>
      <c r="S26" s="245">
        <v>1</v>
      </c>
      <c r="T26" s="245">
        <v>1</v>
      </c>
      <c r="U26" s="245">
        <v>1</v>
      </c>
    </row>
    <row r="27" spans="1:21" ht="13" thickBot="1" x14ac:dyDescent="0.3">
      <c r="A27" s="4"/>
      <c r="B27" s="4"/>
      <c r="C27" s="139"/>
      <c r="D27" s="139"/>
      <c r="E27" s="139"/>
      <c r="F27" s="139"/>
      <c r="H27" s="139"/>
      <c r="I27" s="139"/>
      <c r="J27" s="139"/>
      <c r="K27" s="139"/>
      <c r="M27" s="139"/>
      <c r="N27" s="139"/>
      <c r="O27" s="139"/>
      <c r="P27" s="139"/>
      <c r="R27" s="139"/>
      <c r="S27" s="139"/>
      <c r="T27" s="139"/>
      <c r="U27" s="139"/>
    </row>
    <row r="28" spans="1:21" x14ac:dyDescent="0.25">
      <c r="A28" s="256" t="s">
        <v>314</v>
      </c>
      <c r="B28" s="256"/>
      <c r="C28" s="246" t="s">
        <v>313</v>
      </c>
      <c r="D28" s="246" t="s">
        <v>313</v>
      </c>
      <c r="E28" s="246" t="s">
        <v>313</v>
      </c>
      <c r="F28" s="246" t="s">
        <v>313</v>
      </c>
      <c r="H28" s="246" t="s">
        <v>313</v>
      </c>
      <c r="I28" s="246" t="s">
        <v>313</v>
      </c>
      <c r="J28" s="246" t="s">
        <v>313</v>
      </c>
      <c r="K28" s="246" t="s">
        <v>313</v>
      </c>
      <c r="M28" s="246" t="s">
        <v>313</v>
      </c>
      <c r="N28" s="246" t="s">
        <v>313</v>
      </c>
      <c r="O28" s="246" t="s">
        <v>313</v>
      </c>
      <c r="P28" s="246" t="s">
        <v>313</v>
      </c>
      <c r="R28" s="246" t="s">
        <v>313</v>
      </c>
      <c r="S28" s="246" t="s">
        <v>313</v>
      </c>
      <c r="T28" s="246" t="s">
        <v>313</v>
      </c>
      <c r="U28" s="246" t="s">
        <v>313</v>
      </c>
    </row>
    <row r="29" spans="1:21" x14ac:dyDescent="0.25">
      <c r="A29" s="2" t="s">
        <v>64</v>
      </c>
      <c r="B29" s="2" t="s">
        <v>63</v>
      </c>
      <c r="C29" s="239">
        <v>2</v>
      </c>
      <c r="D29" s="239">
        <v>2</v>
      </c>
      <c r="E29" s="239">
        <v>2</v>
      </c>
      <c r="F29" s="239">
        <v>2</v>
      </c>
      <c r="H29" s="239">
        <v>2</v>
      </c>
      <c r="I29" s="239">
        <v>2</v>
      </c>
      <c r="J29" s="239">
        <v>2</v>
      </c>
      <c r="K29" s="239">
        <v>2</v>
      </c>
      <c r="M29" s="239">
        <v>2</v>
      </c>
      <c r="N29" s="239">
        <v>2</v>
      </c>
      <c r="O29" s="239">
        <v>2</v>
      </c>
      <c r="P29" s="239">
        <v>2</v>
      </c>
      <c r="R29" s="239">
        <v>2</v>
      </c>
      <c r="S29" s="239">
        <v>2</v>
      </c>
      <c r="T29" s="239">
        <v>2</v>
      </c>
      <c r="U29" s="239">
        <v>2</v>
      </c>
    </row>
    <row r="30" spans="1:21" ht="13" thickBot="1" x14ac:dyDescent="0.3">
      <c r="A30" s="258" t="s">
        <v>174</v>
      </c>
      <c r="B30" s="258" t="s">
        <v>171</v>
      </c>
      <c r="C30" s="247" t="s">
        <v>439</v>
      </c>
      <c r="D30" s="247" t="s">
        <v>439</v>
      </c>
      <c r="E30" s="247" t="s">
        <v>439</v>
      </c>
      <c r="F30" s="247" t="s">
        <v>439</v>
      </c>
      <c r="H30" s="247" t="s">
        <v>439</v>
      </c>
      <c r="I30" s="247" t="s">
        <v>439</v>
      </c>
      <c r="J30" s="247" t="s">
        <v>439</v>
      </c>
      <c r="K30" s="247" t="s">
        <v>439</v>
      </c>
      <c r="M30" s="247" t="s">
        <v>439</v>
      </c>
      <c r="N30" s="247" t="s">
        <v>439</v>
      </c>
      <c r="O30" s="247" t="s">
        <v>439</v>
      </c>
      <c r="P30" s="247" t="s">
        <v>439</v>
      </c>
      <c r="R30" s="247" t="s">
        <v>439</v>
      </c>
      <c r="S30" s="247" t="s">
        <v>439</v>
      </c>
      <c r="T30" s="247" t="s">
        <v>439</v>
      </c>
      <c r="U30" s="247" t="s">
        <v>439</v>
      </c>
    </row>
    <row r="31" spans="1:21" ht="13" thickBot="1" x14ac:dyDescent="0.3">
      <c r="A31" s="10"/>
      <c r="B31" s="10"/>
      <c r="C31" s="296"/>
      <c r="D31" s="296"/>
      <c r="E31" s="296"/>
      <c r="F31" s="296"/>
      <c r="H31" s="296"/>
      <c r="I31" s="296"/>
      <c r="J31" s="296"/>
      <c r="K31" s="296"/>
      <c r="M31" s="296"/>
      <c r="N31" s="296"/>
      <c r="O31" s="296"/>
      <c r="P31" s="296"/>
      <c r="R31" s="296"/>
      <c r="S31" s="296"/>
      <c r="T31" s="296"/>
      <c r="U31" s="296"/>
    </row>
    <row r="32" spans="1:21" x14ac:dyDescent="0.25">
      <c r="A32" s="256" t="s">
        <v>523</v>
      </c>
      <c r="B32" s="256" t="s">
        <v>345</v>
      </c>
      <c r="C32" s="246">
        <v>0</v>
      </c>
      <c r="D32" s="246">
        <v>0</v>
      </c>
      <c r="E32" s="246">
        <v>0</v>
      </c>
      <c r="F32" s="246">
        <v>0</v>
      </c>
      <c r="H32" s="246">
        <v>0</v>
      </c>
      <c r="I32" s="246">
        <v>0</v>
      </c>
      <c r="J32" s="246">
        <v>0</v>
      </c>
      <c r="K32" s="246">
        <v>0</v>
      </c>
      <c r="M32" s="246">
        <v>0</v>
      </c>
      <c r="N32" s="246">
        <v>0</v>
      </c>
      <c r="O32" s="246">
        <v>0</v>
      </c>
      <c r="P32" s="246">
        <v>0</v>
      </c>
      <c r="R32" s="246">
        <v>0</v>
      </c>
      <c r="S32" s="246">
        <v>0</v>
      </c>
      <c r="T32" s="246">
        <v>0</v>
      </c>
      <c r="U32" s="246">
        <v>0</v>
      </c>
    </row>
    <row r="33" spans="1:21" ht="13" thickBot="1" x14ac:dyDescent="0.3">
      <c r="A33" s="258" t="s">
        <v>344</v>
      </c>
      <c r="B33" s="258" t="s">
        <v>355</v>
      </c>
      <c r="C33" s="247">
        <v>0</v>
      </c>
      <c r="D33" s="247">
        <v>0</v>
      </c>
      <c r="E33" s="247">
        <v>0</v>
      </c>
      <c r="F33" s="247">
        <v>0</v>
      </c>
      <c r="H33" s="247">
        <v>0</v>
      </c>
      <c r="I33" s="247">
        <v>0</v>
      </c>
      <c r="J33" s="247">
        <v>0</v>
      </c>
      <c r="K33" s="247">
        <v>0</v>
      </c>
      <c r="M33" s="247">
        <v>0</v>
      </c>
      <c r="N33" s="247">
        <v>0</v>
      </c>
      <c r="O33" s="247">
        <v>0</v>
      </c>
      <c r="P33" s="247">
        <v>0</v>
      </c>
      <c r="R33" s="247">
        <v>0</v>
      </c>
      <c r="S33" s="247">
        <v>0</v>
      </c>
      <c r="T33" s="247">
        <v>0</v>
      </c>
      <c r="U33" s="247">
        <v>0</v>
      </c>
    </row>
    <row r="34" spans="1:21" ht="13" thickBot="1" x14ac:dyDescent="0.3">
      <c r="A34" s="10"/>
      <c r="B34" s="10"/>
      <c r="C34" s="296"/>
      <c r="D34" s="296"/>
      <c r="E34" s="296"/>
      <c r="F34" s="296"/>
      <c r="H34" s="296"/>
      <c r="I34" s="296"/>
      <c r="J34" s="296"/>
      <c r="K34" s="296"/>
      <c r="M34" s="296"/>
      <c r="N34" s="296"/>
      <c r="O34" s="296"/>
      <c r="P34" s="296"/>
      <c r="R34" s="296"/>
      <c r="S34" s="296"/>
      <c r="T34" s="296"/>
      <c r="U34" s="296"/>
    </row>
    <row r="35" spans="1:21" x14ac:dyDescent="0.25">
      <c r="A35" s="256" t="s">
        <v>343</v>
      </c>
      <c r="B35" s="256" t="s">
        <v>394</v>
      </c>
      <c r="C35" s="246" t="s">
        <v>334</v>
      </c>
      <c r="D35" s="246" t="s">
        <v>334</v>
      </c>
      <c r="E35" s="246" t="s">
        <v>334</v>
      </c>
      <c r="F35" s="246" t="s">
        <v>334</v>
      </c>
      <c r="H35" s="246" t="s">
        <v>334</v>
      </c>
      <c r="I35" s="246" t="s">
        <v>334</v>
      </c>
      <c r="J35" s="246" t="s">
        <v>334</v>
      </c>
      <c r="K35" s="246" t="s">
        <v>334</v>
      </c>
      <c r="M35" s="246" t="s">
        <v>334</v>
      </c>
      <c r="N35" s="246" t="s">
        <v>334</v>
      </c>
      <c r="O35" s="246" t="s">
        <v>334</v>
      </c>
      <c r="P35" s="246" t="s">
        <v>334</v>
      </c>
      <c r="R35" s="246" t="s">
        <v>334</v>
      </c>
      <c r="S35" s="246" t="s">
        <v>334</v>
      </c>
      <c r="T35" s="246" t="s">
        <v>334</v>
      </c>
      <c r="U35" s="246" t="s">
        <v>334</v>
      </c>
    </row>
    <row r="36" spans="1:21" ht="13" thickBot="1" x14ac:dyDescent="0.3">
      <c r="A36" s="258" t="s">
        <v>333</v>
      </c>
      <c r="B36" s="258"/>
      <c r="C36" s="247" t="s">
        <v>334</v>
      </c>
      <c r="D36" s="247" t="s">
        <v>334</v>
      </c>
      <c r="E36" s="247" t="s">
        <v>334</v>
      </c>
      <c r="F36" s="247" t="s">
        <v>334</v>
      </c>
      <c r="H36" s="247" t="s">
        <v>334</v>
      </c>
      <c r="I36" s="247" t="s">
        <v>334</v>
      </c>
      <c r="J36" s="247" t="s">
        <v>334</v>
      </c>
      <c r="K36" s="247" t="s">
        <v>334</v>
      </c>
      <c r="M36" s="247" t="s">
        <v>334</v>
      </c>
      <c r="N36" s="247" t="s">
        <v>334</v>
      </c>
      <c r="O36" s="247" t="s">
        <v>334</v>
      </c>
      <c r="P36" s="247" t="s">
        <v>334</v>
      </c>
      <c r="R36" s="247" t="s">
        <v>334</v>
      </c>
      <c r="S36" s="247" t="s">
        <v>334</v>
      </c>
      <c r="T36" s="247" t="s">
        <v>334</v>
      </c>
      <c r="U36" s="247" t="s">
        <v>334</v>
      </c>
    </row>
    <row r="37" spans="1:21" ht="13" thickBot="1" x14ac:dyDescent="0.3">
      <c r="A37" s="10"/>
      <c r="B37" s="10"/>
      <c r="C37" s="296"/>
      <c r="D37" s="296"/>
      <c r="E37" s="296"/>
      <c r="F37" s="296"/>
      <c r="H37" s="296"/>
      <c r="I37" s="296"/>
      <c r="J37" s="296"/>
      <c r="K37" s="296"/>
      <c r="M37" s="296"/>
      <c r="N37" s="296"/>
      <c r="O37" s="296"/>
      <c r="P37" s="296"/>
      <c r="R37" s="296"/>
      <c r="S37" s="296"/>
      <c r="T37" s="296"/>
      <c r="U37" s="296"/>
    </row>
    <row r="38" spans="1:21" x14ac:dyDescent="0.25">
      <c r="A38" s="256" t="s">
        <v>196</v>
      </c>
      <c r="B38" s="256" t="s">
        <v>68</v>
      </c>
      <c r="C38" s="248">
        <v>0</v>
      </c>
      <c r="D38" s="248">
        <f>0.5*smic</f>
        <v>699.35</v>
      </c>
      <c r="E38" s="248">
        <f>smic</f>
        <v>1398.7</v>
      </c>
      <c r="F38" s="248">
        <f>1.5*smic</f>
        <v>2098.0500000000002</v>
      </c>
      <c r="H38" s="248">
        <v>0</v>
      </c>
      <c r="I38" s="248">
        <f>0.5*smic</f>
        <v>699.35</v>
      </c>
      <c r="J38" s="248">
        <f>smic</f>
        <v>1398.7</v>
      </c>
      <c r="K38" s="248">
        <f>1.5*smic</f>
        <v>2098.0500000000002</v>
      </c>
      <c r="M38" s="248">
        <v>0</v>
      </c>
      <c r="N38" s="248">
        <f>0.5*smic</f>
        <v>699.35</v>
      </c>
      <c r="O38" s="248">
        <f>smic</f>
        <v>1398.7</v>
      </c>
      <c r="P38" s="248">
        <f>1.5*smic</f>
        <v>2098.0500000000002</v>
      </c>
      <c r="R38" s="248">
        <v>0</v>
      </c>
      <c r="S38" s="248">
        <f>0.5*smic</f>
        <v>699.35</v>
      </c>
      <c r="T38" s="248">
        <f>smic</f>
        <v>1398.7</v>
      </c>
      <c r="U38" s="248">
        <f>1.5*smic</f>
        <v>2098.0500000000002</v>
      </c>
    </row>
    <row r="39" spans="1:21" ht="13" thickBot="1" x14ac:dyDescent="0.3">
      <c r="A39" s="257" t="s">
        <v>197</v>
      </c>
      <c r="B39" s="257" t="s">
        <v>68</v>
      </c>
      <c r="C39" s="336">
        <v>0</v>
      </c>
      <c r="D39" s="336">
        <v>0</v>
      </c>
      <c r="E39" s="336">
        <v>0</v>
      </c>
      <c r="F39" s="336">
        <v>0</v>
      </c>
      <c r="H39" s="336">
        <v>0</v>
      </c>
      <c r="I39" s="336">
        <v>0</v>
      </c>
      <c r="J39" s="336">
        <v>0</v>
      </c>
      <c r="K39" s="336">
        <v>0</v>
      </c>
      <c r="M39" s="336">
        <v>0</v>
      </c>
      <c r="N39" s="336">
        <v>0</v>
      </c>
      <c r="O39" s="336">
        <v>0</v>
      </c>
      <c r="P39" s="336">
        <v>0</v>
      </c>
      <c r="R39" s="336">
        <v>0</v>
      </c>
      <c r="S39" s="336">
        <v>0</v>
      </c>
      <c r="T39" s="336">
        <v>0</v>
      </c>
      <c r="U39" s="336">
        <v>0</v>
      </c>
    </row>
    <row r="40" spans="1:21" x14ac:dyDescent="0.25">
      <c r="A40" s="341" t="s">
        <v>206</v>
      </c>
      <c r="B40" s="514" t="s">
        <v>389</v>
      </c>
      <c r="C40" s="342">
        <f t="shared" ref="C40:D41" si="1">MIN(100%,C38/smic)</f>
        <v>0</v>
      </c>
      <c r="D40" s="342">
        <f t="shared" si="1"/>
        <v>0.5</v>
      </c>
      <c r="E40" s="342">
        <f t="shared" ref="E40:F40" si="2">MIN(100%,E38/smic)</f>
        <v>1</v>
      </c>
      <c r="F40" s="342">
        <f t="shared" si="2"/>
        <v>1</v>
      </c>
      <c r="H40" s="342">
        <f t="shared" ref="H40:K40" si="3">MIN(100%,H38/smic)</f>
        <v>0</v>
      </c>
      <c r="I40" s="342">
        <f t="shared" si="3"/>
        <v>0.5</v>
      </c>
      <c r="J40" s="342">
        <f t="shared" si="3"/>
        <v>1</v>
      </c>
      <c r="K40" s="342">
        <f t="shared" si="3"/>
        <v>1</v>
      </c>
      <c r="M40" s="342">
        <f t="shared" ref="M40:P40" si="4">MIN(100%,M38/smic)</f>
        <v>0</v>
      </c>
      <c r="N40" s="342">
        <f t="shared" si="4"/>
        <v>0.5</v>
      </c>
      <c r="O40" s="342">
        <f t="shared" si="4"/>
        <v>1</v>
      </c>
      <c r="P40" s="342">
        <f t="shared" si="4"/>
        <v>1</v>
      </c>
      <c r="R40" s="342">
        <f t="shared" ref="R40:U40" si="5">MIN(100%,R38/smic)</f>
        <v>0</v>
      </c>
      <c r="S40" s="342">
        <f t="shared" si="5"/>
        <v>0.5</v>
      </c>
      <c r="T40" s="342">
        <f t="shared" si="5"/>
        <v>1</v>
      </c>
      <c r="U40" s="342">
        <f t="shared" si="5"/>
        <v>1</v>
      </c>
    </row>
    <row r="41" spans="1:21" ht="13" thickBot="1" x14ac:dyDescent="0.3">
      <c r="A41" s="343" t="s">
        <v>207</v>
      </c>
      <c r="B41" s="515"/>
      <c r="C41" s="344">
        <f t="shared" si="1"/>
        <v>0</v>
      </c>
      <c r="D41" s="344">
        <f t="shared" si="1"/>
        <v>0</v>
      </c>
      <c r="E41" s="344">
        <f t="shared" ref="E41:F41" si="6">MIN(100%,E39/smic)</f>
        <v>0</v>
      </c>
      <c r="F41" s="344">
        <f t="shared" si="6"/>
        <v>0</v>
      </c>
      <c r="H41" s="344">
        <f t="shared" ref="H41:K41" si="7">MIN(100%,H39/smic)</f>
        <v>0</v>
      </c>
      <c r="I41" s="344">
        <f t="shared" si="7"/>
        <v>0</v>
      </c>
      <c r="J41" s="344">
        <f t="shared" si="7"/>
        <v>0</v>
      </c>
      <c r="K41" s="344">
        <f t="shared" si="7"/>
        <v>0</v>
      </c>
      <c r="M41" s="344">
        <f t="shared" ref="M41:P41" si="8">MIN(100%,M39/smic)</f>
        <v>0</v>
      </c>
      <c r="N41" s="344">
        <f t="shared" si="8"/>
        <v>0</v>
      </c>
      <c r="O41" s="344">
        <f t="shared" si="8"/>
        <v>0</v>
      </c>
      <c r="P41" s="344">
        <f t="shared" si="8"/>
        <v>0</v>
      </c>
      <c r="R41" s="344">
        <f t="shared" ref="R41:U41" si="9">MIN(100%,R39/smic)</f>
        <v>0</v>
      </c>
      <c r="S41" s="344">
        <f t="shared" si="9"/>
        <v>0</v>
      </c>
      <c r="T41" s="344">
        <f t="shared" si="9"/>
        <v>0</v>
      </c>
      <c r="U41" s="344">
        <f t="shared" si="9"/>
        <v>0</v>
      </c>
    </row>
    <row r="42" spans="1:21" ht="13" thickBot="1" x14ac:dyDescent="0.3">
      <c r="A42" s="345" t="s">
        <v>288</v>
      </c>
      <c r="B42" s="339"/>
      <c r="C42" s="344">
        <f t="shared" ref="C42:D42" si="10">(C38+C39)/smic</f>
        <v>0</v>
      </c>
      <c r="D42" s="344">
        <f t="shared" si="10"/>
        <v>0.5</v>
      </c>
      <c r="E42" s="344">
        <f t="shared" ref="E42:F42" si="11">(E38+E39)/smic</f>
        <v>1</v>
      </c>
      <c r="F42" s="344">
        <f t="shared" si="11"/>
        <v>1.5</v>
      </c>
      <c r="H42" s="344">
        <f t="shared" ref="H42:K42" si="12">(H38+H39)/smic</f>
        <v>0</v>
      </c>
      <c r="I42" s="344">
        <f t="shared" si="12"/>
        <v>0.5</v>
      </c>
      <c r="J42" s="344">
        <f t="shared" si="12"/>
        <v>1</v>
      </c>
      <c r="K42" s="344">
        <f t="shared" si="12"/>
        <v>1.5</v>
      </c>
      <c r="M42" s="344">
        <f t="shared" ref="M42:P42" si="13">(M38+M39)/smic</f>
        <v>0</v>
      </c>
      <c r="N42" s="344">
        <f t="shared" si="13"/>
        <v>0.5</v>
      </c>
      <c r="O42" s="344">
        <f t="shared" si="13"/>
        <v>1</v>
      </c>
      <c r="P42" s="344">
        <f t="shared" si="13"/>
        <v>1.5</v>
      </c>
      <c r="R42" s="344">
        <f t="shared" ref="R42:U42" si="14">(R38+R39)/smic</f>
        <v>0</v>
      </c>
      <c r="S42" s="344">
        <f t="shared" si="14"/>
        <v>0.5</v>
      </c>
      <c r="T42" s="344">
        <f t="shared" si="14"/>
        <v>1</v>
      </c>
      <c r="U42" s="344">
        <f t="shared" si="14"/>
        <v>1.5</v>
      </c>
    </row>
    <row r="43" spans="1:21" s="463" customFormat="1" ht="13" x14ac:dyDescent="0.3">
      <c r="A43" s="462" t="s">
        <v>551</v>
      </c>
      <c r="C43" s="464" t="s">
        <v>556</v>
      </c>
      <c r="D43" s="464" t="s">
        <v>556</v>
      </c>
      <c r="E43" s="464" t="s">
        <v>556</v>
      </c>
      <c r="F43" s="464" t="s">
        <v>556</v>
      </c>
      <c r="H43" s="464" t="s">
        <v>556</v>
      </c>
      <c r="I43" s="464" t="s">
        <v>556</v>
      </c>
      <c r="J43" s="464" t="s">
        <v>556</v>
      </c>
      <c r="K43" s="464" t="s">
        <v>556</v>
      </c>
      <c r="M43" s="464" t="s">
        <v>556</v>
      </c>
      <c r="N43" s="464" t="s">
        <v>556</v>
      </c>
      <c r="O43" s="464" t="s">
        <v>556</v>
      </c>
      <c r="P43" s="464" t="s">
        <v>556</v>
      </c>
      <c r="R43" s="464" t="s">
        <v>556</v>
      </c>
      <c r="S43" s="464" t="s">
        <v>556</v>
      </c>
      <c r="T43" s="464" t="s">
        <v>556</v>
      </c>
      <c r="U43" s="464" t="s">
        <v>556</v>
      </c>
    </row>
    <row r="44" spans="1:21" ht="13" thickBot="1" x14ac:dyDescent="0.3">
      <c r="A44" s="283" t="s">
        <v>432</v>
      </c>
      <c r="B44" s="283"/>
      <c r="C44" s="187"/>
      <c r="D44" s="187"/>
      <c r="E44" s="187"/>
      <c r="F44" s="187"/>
      <c r="H44" s="187"/>
      <c r="I44" s="187"/>
      <c r="J44" s="187"/>
      <c r="K44" s="187"/>
      <c r="M44" s="187"/>
      <c r="N44" s="187"/>
      <c r="O44" s="187"/>
      <c r="P44" s="187"/>
      <c r="R44" s="187"/>
      <c r="S44" s="187"/>
      <c r="T44" s="187"/>
      <c r="U44" s="187"/>
    </row>
    <row r="45" spans="1:21" ht="13" x14ac:dyDescent="0.25">
      <c r="A45" s="348" t="s">
        <v>515</v>
      </c>
      <c r="B45" s="256" t="s">
        <v>433</v>
      </c>
      <c r="C45" s="248" t="s">
        <v>434</v>
      </c>
      <c r="D45" s="248" t="s">
        <v>434</v>
      </c>
      <c r="E45" s="248" t="s">
        <v>434</v>
      </c>
      <c r="F45" s="248" t="s">
        <v>434</v>
      </c>
      <c r="H45" s="248" t="s">
        <v>434</v>
      </c>
      <c r="I45" s="248" t="s">
        <v>434</v>
      </c>
      <c r="J45" s="248" t="s">
        <v>434</v>
      </c>
      <c r="K45" s="248" t="s">
        <v>434</v>
      </c>
      <c r="M45" s="248" t="s">
        <v>434</v>
      </c>
      <c r="N45" s="248" t="s">
        <v>434</v>
      </c>
      <c r="O45" s="248" t="s">
        <v>434</v>
      </c>
      <c r="P45" s="248" t="s">
        <v>434</v>
      </c>
      <c r="R45" s="248" t="s">
        <v>434</v>
      </c>
      <c r="S45" s="248" t="s">
        <v>434</v>
      </c>
      <c r="T45" s="248" t="s">
        <v>434</v>
      </c>
      <c r="U45" s="248" t="s">
        <v>434</v>
      </c>
    </row>
    <row r="46" spans="1:21" x14ac:dyDescent="0.25">
      <c r="A46" s="349" t="s">
        <v>435</v>
      </c>
      <c r="B46" s="2"/>
      <c r="C46" s="350">
        <v>0</v>
      </c>
      <c r="D46" s="350">
        <v>0</v>
      </c>
      <c r="E46" s="350">
        <v>0</v>
      </c>
      <c r="F46" s="350">
        <v>0</v>
      </c>
      <c r="H46" s="350">
        <v>0</v>
      </c>
      <c r="I46" s="350">
        <v>0</v>
      </c>
      <c r="J46" s="350">
        <v>0</v>
      </c>
      <c r="K46" s="350">
        <v>0</v>
      </c>
      <c r="M46" s="350">
        <v>0</v>
      </c>
      <c r="N46" s="350">
        <v>0</v>
      </c>
      <c r="O46" s="350">
        <v>0</v>
      </c>
      <c r="P46" s="350">
        <v>0</v>
      </c>
      <c r="R46" s="350">
        <v>0</v>
      </c>
      <c r="S46" s="350">
        <v>0</v>
      </c>
      <c r="T46" s="350">
        <v>0</v>
      </c>
      <c r="U46" s="350">
        <v>0</v>
      </c>
    </row>
    <row r="47" spans="1:21" x14ac:dyDescent="0.25">
      <c r="A47" s="349" t="s">
        <v>436</v>
      </c>
      <c r="B47" s="2"/>
      <c r="C47" s="350">
        <v>0</v>
      </c>
      <c r="D47" s="350">
        <v>0</v>
      </c>
      <c r="E47" s="350">
        <v>0</v>
      </c>
      <c r="F47" s="350">
        <v>0</v>
      </c>
      <c r="H47" s="350">
        <v>0</v>
      </c>
      <c r="I47" s="350">
        <v>0</v>
      </c>
      <c r="J47" s="350">
        <v>0</v>
      </c>
      <c r="K47" s="350">
        <v>0</v>
      </c>
      <c r="M47" s="350">
        <v>0</v>
      </c>
      <c r="N47" s="350">
        <v>0</v>
      </c>
      <c r="O47" s="350">
        <v>0</v>
      </c>
      <c r="P47" s="350">
        <v>0</v>
      </c>
      <c r="R47" s="350">
        <v>0</v>
      </c>
      <c r="S47" s="350">
        <v>0</v>
      </c>
      <c r="T47" s="350">
        <v>0</v>
      </c>
      <c r="U47" s="350">
        <v>0</v>
      </c>
    </row>
    <row r="48" spans="1:21" ht="13" x14ac:dyDescent="0.25">
      <c r="A48" s="349" t="s">
        <v>516</v>
      </c>
      <c r="B48" s="2"/>
      <c r="C48" s="336" t="s">
        <v>434</v>
      </c>
      <c r="D48" s="336" t="s">
        <v>434</v>
      </c>
      <c r="E48" s="336" t="s">
        <v>434</v>
      </c>
      <c r="F48" s="336" t="s">
        <v>434</v>
      </c>
      <c r="H48" s="336" t="s">
        <v>434</v>
      </c>
      <c r="I48" s="336" t="s">
        <v>434</v>
      </c>
      <c r="J48" s="336" t="s">
        <v>434</v>
      </c>
      <c r="K48" s="336" t="s">
        <v>434</v>
      </c>
      <c r="M48" s="336" t="s">
        <v>434</v>
      </c>
      <c r="N48" s="336" t="s">
        <v>434</v>
      </c>
      <c r="O48" s="336" t="s">
        <v>434</v>
      </c>
      <c r="P48" s="336" t="s">
        <v>434</v>
      </c>
      <c r="R48" s="336" t="s">
        <v>434</v>
      </c>
      <c r="S48" s="336" t="s">
        <v>434</v>
      </c>
      <c r="T48" s="336" t="s">
        <v>434</v>
      </c>
      <c r="U48" s="336" t="s">
        <v>434</v>
      </c>
    </row>
    <row r="49" spans="1:21" x14ac:dyDescent="0.25">
      <c r="A49" s="349" t="s">
        <v>438</v>
      </c>
      <c r="B49" s="2"/>
      <c r="C49" s="350">
        <v>0</v>
      </c>
      <c r="D49" s="350">
        <v>0</v>
      </c>
      <c r="E49" s="350">
        <v>0</v>
      </c>
      <c r="F49" s="350">
        <v>0</v>
      </c>
      <c r="H49" s="350">
        <v>0</v>
      </c>
      <c r="I49" s="350">
        <v>0</v>
      </c>
      <c r="J49" s="350">
        <v>0</v>
      </c>
      <c r="K49" s="350">
        <v>0</v>
      </c>
      <c r="M49" s="350">
        <v>0</v>
      </c>
      <c r="N49" s="350">
        <v>0</v>
      </c>
      <c r="O49" s="350">
        <v>0</v>
      </c>
      <c r="P49" s="350">
        <v>0</v>
      </c>
      <c r="R49" s="350">
        <v>0</v>
      </c>
      <c r="S49" s="350">
        <v>0</v>
      </c>
      <c r="T49" s="350">
        <v>0</v>
      </c>
      <c r="U49" s="350">
        <v>0</v>
      </c>
    </row>
    <row r="50" spans="1:21" ht="13" thickBot="1" x14ac:dyDescent="0.3">
      <c r="A50" s="351" t="s">
        <v>437</v>
      </c>
      <c r="B50" s="3"/>
      <c r="C50" s="352">
        <v>0</v>
      </c>
      <c r="D50" s="352">
        <v>0</v>
      </c>
      <c r="E50" s="352">
        <v>0</v>
      </c>
      <c r="F50" s="352">
        <v>0</v>
      </c>
      <c r="H50" s="352">
        <v>0</v>
      </c>
      <c r="I50" s="352">
        <v>0</v>
      </c>
      <c r="J50" s="352">
        <v>0</v>
      </c>
      <c r="K50" s="352">
        <v>0</v>
      </c>
      <c r="M50" s="352">
        <v>0</v>
      </c>
      <c r="N50" s="352">
        <v>0</v>
      </c>
      <c r="O50" s="352">
        <v>0</v>
      </c>
      <c r="P50" s="352">
        <v>0</v>
      </c>
      <c r="R50" s="352">
        <v>0</v>
      </c>
      <c r="S50" s="352">
        <v>0</v>
      </c>
      <c r="T50" s="352">
        <v>0</v>
      </c>
      <c r="U50" s="352">
        <v>0</v>
      </c>
    </row>
    <row r="51" spans="1:21" ht="13" thickBot="1" x14ac:dyDescent="0.3">
      <c r="A51" s="283"/>
      <c r="B51" s="283"/>
      <c r="C51" s="187"/>
      <c r="D51" s="187"/>
      <c r="E51" s="187"/>
      <c r="F51" s="187"/>
      <c r="H51" s="187"/>
      <c r="I51" s="187"/>
      <c r="J51" s="187"/>
      <c r="K51" s="187"/>
      <c r="M51" s="187"/>
      <c r="N51" s="187"/>
      <c r="O51" s="187"/>
      <c r="P51" s="187"/>
      <c r="R51" s="187"/>
      <c r="S51" s="187"/>
      <c r="T51" s="187"/>
      <c r="U51" s="187"/>
    </row>
    <row r="52" spans="1:21" ht="13" thickBot="1" x14ac:dyDescent="0.3">
      <c r="A52" s="338" t="s">
        <v>427</v>
      </c>
      <c r="B52" s="339"/>
      <c r="C52" s="340">
        <f>(C$3="isolé")*IF(C$13="pg",(
(C$16=2010)*(C$99*((C$99=1)*ceee_taux_1enf+(C$99=2)*ceee_taux_2enf+(C$99=3)*ceee_taux_3enf+(C$99=4)*ceee_taux_4enf+(C$99=5)*ceee_taux_5enf+(C$99=6)*ceee_taux_6enf)*MAX(C$14-ceee_abat,0))
+(C$16=2018)*MAX(0,(MIN(C$99*((C$99=1)*ceeeb_taux_1enf+(C$99=2)*ceeeb_taux_2enf+(C$99=3)*ceeeb_taux_3enf+(C$99=4)*ceeeb_taux_4enf+(C$99=5)*ceeeb_taux_5enf+(C$99=6)*ceeeb_taux_6enf)*C$14,C$14-ceeeb_reste_à_vivre)))
+(C$16="inter")*IF(C$14&lt;=ceee_inter_seuil1,
(C$99*((C$99=1)*ceee_taux_1enf+(C$99=2)*ceee_taux_2enf+(C$99=3)*ceee_taux_3enf+(C$99=4)*ceee_taux_4enf+(C$99=5)*ceee_taux_5enf+(C$99=6)*ceee_taux_6enf)*MAX(C$14-ceee_abat,0)),
IF(C$14&gt;=ceee_inter_seuil2,
(MIN(C$99*((C$99=1)*ceeeb_taux_1enf+(C$99=2)*ceeeb_taux_2enf+(C$99=3)*ceeeb_taux_3enf+(C$99=4)*ceeeb_taux_4enf+(C$99=5)*ceeeb_taux_5enf+(C$99=6)*ceeeb_taux_6enf)*C$14,C$14-ceeeb_reste_à_vivre)),
(C$99*((C$99=1)*ceeeb_taux_1enf+(C$99=2)*ceeeb_taux_2enf+(C$99=3)*ceeeb_taux_3enf+(C$99=4)*ceeeb_taux_4enf+(C$99=5)*ceeeb_taux_5enf+(C$99=6)*ceeeb_taux_6enf))*(ceee_inter_coef*C$14+(1-ceee_inter_coef)*ceee_inter_seuil2)
))
),0)*(C$14&gt;=700)
+(C$3="isolé")*IF(C$13="ga_m",(
(C$16=2010)*(C$99*((C$99=1)*ceee_taux_1enf_ga+(C$99=2)*ceee_taux_2enf_ga+(C$99=3)*ceee_taux_3enf_ga+(C$99=4)*ceee_taux_4enf_ga+(C$99=5)*ceee_taux_5enf_ga+(C$99=6)*ceee_taux_6enf_ga)*MAX(C$14-ceee_abat,0))
+(C$16=2018)*MAX(0,(MIN(C$99*((C$99=1)*ceeeb_taux_1enf_ga+(C$99=2)*ceeeb_taux_2enf_ga+(C$99=3)*ceeeb_taux_3enf_ga+(C$99=4)*ceeeb_taux_4enf_ga+(C$99=5)*ceeeb_taux_5enf_ga+(C$99=6)*ceeeb_taux_6enf_ga)*C$14,C$14-ceeeb_reste_à_vivre)))
+(C$16="inter")*IF(C$14&lt;=ceee_inter_seuil1,
(C$99*((C$99=1)*ceee_taux_1enf_ga+(C$99=2)*ceee_taux_2enf_ga+(C$99=3)*ceee_taux_3enf_ga+(C$99=4)*ceee_taux_4enf_ga+(C$99=5)*ceee_taux_5enf_ga+(C$99=6)*ceee_taux_6enf_ga)*MAX(C$14-ceee_abat,0)),
IF(C$14&gt;=ceee_inter_seuil2,
(MIN(C$99*((C$99=1)*ceeeb_taux_1enf_ga+(C$99=2)*ceeeb_taux_2enf_ga+(C$99=3)*ceeeb_taux_3enf_ga+(C$99=4)*ceeeb_taux_4enf_ga+(C$99=5)*ceeeb_taux_5enf_ga+(C$99=6)*ceeeb_taux_6enf_ga)*C$14,C$14-ceeeb_reste_à_vivre)),
(C$99*((C$99=1)*ceeeb_taux_1enf_ga+(C$99=2)*ceeeb_taux_2enf_ga+(C$99=3)*ceeeb_taux_3enf_ga+(C$99=4)*ceeeb_taux_4enf_ga+(C$99=5)*ceeeb_taux_5enf_ga+(C$99=6)*ceeeb_taux_6enf_ga))*(ceee_inter_coef*C$14+(1-ceee_inter_coef)*ceee_inter_seuil2)
))
),0)*(C$14&gt;=700)</f>
        <v>0</v>
      </c>
      <c r="D52" s="340">
        <f>(D$3="isolé")*IF(D$13="pg",(
(D$16=2010)*(D$99*((D$99=1)*ceee_taux_1enf+(D$99=2)*ceee_taux_2enf+(D$99=3)*ceee_taux_3enf+(D$99=4)*ceee_taux_4enf+(D$99=5)*ceee_taux_5enf+(D$99=6)*ceee_taux_6enf)*MAX(D$14-ceee_abat,0))
+(D$16=2018)*MAX(0,(MIN(D$99*((D$99=1)*ceeeb_taux_1enf+(D$99=2)*ceeeb_taux_2enf+(D$99=3)*ceeeb_taux_3enf+(D$99=4)*ceeeb_taux_4enf+(D$99=5)*ceeeb_taux_5enf+(D$99=6)*ceeeb_taux_6enf)*D$14,D$14-ceeeb_reste_à_vivre)))
+(D$16="inter")*IF(D$14&lt;=ceee_inter_seuil1,
(D$99*((D$99=1)*ceee_taux_1enf+(D$99=2)*ceee_taux_2enf+(D$99=3)*ceee_taux_3enf+(D$99=4)*ceee_taux_4enf+(D$99=5)*ceee_taux_5enf+(D$99=6)*ceee_taux_6enf)*MAX(D$14-ceee_abat,0)),
IF(D$14&gt;=ceee_inter_seuil2,
(MIN(D$99*((D$99=1)*ceeeb_taux_1enf+(D$99=2)*ceeeb_taux_2enf+(D$99=3)*ceeeb_taux_3enf+(D$99=4)*ceeeb_taux_4enf+(D$99=5)*ceeeb_taux_5enf+(D$99=6)*ceeeb_taux_6enf)*D$14,D$14-ceeeb_reste_à_vivre)),
(D$99*((D$99=1)*ceeeb_taux_1enf+(D$99=2)*ceeeb_taux_2enf+(D$99=3)*ceeeb_taux_3enf+(D$99=4)*ceeeb_taux_4enf+(D$99=5)*ceeeb_taux_5enf+(D$99=6)*ceeeb_taux_6enf))*(ceee_inter_coef*D$14+(1-ceee_inter_coef)*ceee_inter_seuil2)
))
),0)*(D$14&gt;=700)
+(D$3="isolé")*IF(D$13="ga_m",(
(D$16=2010)*(D$99*((D$99=1)*ceee_taux_1enf_ga+(D$99=2)*ceee_taux_2enf_ga+(D$99=3)*ceee_taux_3enf_ga+(D$99=4)*ceee_taux_4enf_ga+(D$99=5)*ceee_taux_5enf_ga+(D$99=6)*ceee_taux_6enf_ga)*MAX(D$14-ceee_abat,0))
+(D$16=2018)*MAX(0,(MIN(D$99*((D$99=1)*ceeeb_taux_1enf_ga+(D$99=2)*ceeeb_taux_2enf_ga+(D$99=3)*ceeeb_taux_3enf_ga+(D$99=4)*ceeeb_taux_4enf_ga+(D$99=5)*ceeeb_taux_5enf_ga+(D$99=6)*ceeeb_taux_6enf_ga)*D$14,D$14-ceeeb_reste_à_vivre)))
+(D$16="inter")*IF(D$14&lt;=ceee_inter_seuil1,
(D$99*((D$99=1)*ceee_taux_1enf_ga+(D$99=2)*ceee_taux_2enf_ga+(D$99=3)*ceee_taux_3enf_ga+(D$99=4)*ceee_taux_4enf_ga+(D$99=5)*ceee_taux_5enf_ga+(D$99=6)*ceee_taux_6enf_ga)*MAX(D$14-ceee_abat,0)),
IF(D$14&gt;=ceee_inter_seuil2,
(MIN(D$99*((D$99=1)*ceeeb_taux_1enf_ga+(D$99=2)*ceeeb_taux_2enf_ga+(D$99=3)*ceeeb_taux_3enf_ga+(D$99=4)*ceeeb_taux_4enf_ga+(D$99=5)*ceeeb_taux_5enf_ga+(D$99=6)*ceeeb_taux_6enf_ga)*D$14,D$14-ceeeb_reste_à_vivre)),
(D$99*((D$99=1)*ceeeb_taux_1enf_ga+(D$99=2)*ceeeb_taux_2enf_ga+(D$99=3)*ceeeb_taux_3enf_ga+(D$99=4)*ceeeb_taux_4enf_ga+(D$99=5)*ceeeb_taux_5enf_ga+(D$99=6)*ceeeb_taux_6enf_ga))*(ceee_inter_coef*D$14+(1-ceee_inter_coef)*ceee_inter_seuil2)
))
),0)*(D$14&gt;=700)</f>
        <v>0</v>
      </c>
      <c r="E52" s="340">
        <f>(E$3="isolé")*IF(E$13="pg",(
(E$16=2010)*(E$99*((E$99=1)*ceee_taux_1enf+(E$99=2)*ceee_taux_2enf+(E$99=3)*ceee_taux_3enf+(E$99=4)*ceee_taux_4enf+(E$99=5)*ceee_taux_5enf+(E$99=6)*ceee_taux_6enf)*MAX(E$14-ceee_abat,0))
+(E$16=2018)*MAX(0,(MIN(E$99*((E$99=1)*ceeeb_taux_1enf+(E$99=2)*ceeeb_taux_2enf+(E$99=3)*ceeeb_taux_3enf+(E$99=4)*ceeeb_taux_4enf+(E$99=5)*ceeeb_taux_5enf+(E$99=6)*ceeeb_taux_6enf)*E$14,E$14-ceeeb_reste_à_vivre)))
+(E$16="inter")*IF(E$14&lt;=ceee_inter_seuil1,
(E$99*((E$99=1)*ceee_taux_1enf+(E$99=2)*ceee_taux_2enf+(E$99=3)*ceee_taux_3enf+(E$99=4)*ceee_taux_4enf+(E$99=5)*ceee_taux_5enf+(E$99=6)*ceee_taux_6enf)*MAX(E$14-ceee_abat,0)),
IF(E$14&gt;=ceee_inter_seuil2,
(MIN(E$99*((E$99=1)*ceeeb_taux_1enf+(E$99=2)*ceeeb_taux_2enf+(E$99=3)*ceeeb_taux_3enf+(E$99=4)*ceeeb_taux_4enf+(E$99=5)*ceeeb_taux_5enf+(E$99=6)*ceeeb_taux_6enf)*E$14,E$14-ceeeb_reste_à_vivre)),
(E$99*((E$99=1)*ceeeb_taux_1enf+(E$99=2)*ceeeb_taux_2enf+(E$99=3)*ceeeb_taux_3enf+(E$99=4)*ceeeb_taux_4enf+(E$99=5)*ceeeb_taux_5enf+(E$99=6)*ceeeb_taux_6enf))*(ceee_inter_coef*E$14+(1-ceee_inter_coef)*ceee_inter_seuil2)
))
),0)*(E$14&gt;=700)
+(E$3="isolé")*IF(E$13="ga_m",(
(E$16=2010)*(E$99*((E$99=1)*ceee_taux_1enf_ga+(E$99=2)*ceee_taux_2enf_ga+(E$99=3)*ceee_taux_3enf_ga+(E$99=4)*ceee_taux_4enf_ga+(E$99=5)*ceee_taux_5enf_ga+(E$99=6)*ceee_taux_6enf_ga)*MAX(E$14-ceee_abat,0))
+(E$16=2018)*MAX(0,(MIN(E$99*((E$99=1)*ceeeb_taux_1enf_ga+(E$99=2)*ceeeb_taux_2enf_ga+(E$99=3)*ceeeb_taux_3enf_ga+(E$99=4)*ceeeb_taux_4enf_ga+(E$99=5)*ceeeb_taux_5enf_ga+(E$99=6)*ceeeb_taux_6enf_ga)*E$14,E$14-ceeeb_reste_à_vivre)))
+(E$16="inter")*IF(E$14&lt;=ceee_inter_seuil1,
(E$99*((E$99=1)*ceee_taux_1enf_ga+(E$99=2)*ceee_taux_2enf_ga+(E$99=3)*ceee_taux_3enf_ga+(E$99=4)*ceee_taux_4enf_ga+(E$99=5)*ceee_taux_5enf_ga+(E$99=6)*ceee_taux_6enf_ga)*MAX(E$14-ceee_abat,0)),
IF(E$14&gt;=ceee_inter_seuil2,
(MIN(E$99*((E$99=1)*ceeeb_taux_1enf_ga+(E$99=2)*ceeeb_taux_2enf_ga+(E$99=3)*ceeeb_taux_3enf_ga+(E$99=4)*ceeeb_taux_4enf_ga+(E$99=5)*ceeeb_taux_5enf_ga+(E$99=6)*ceeeb_taux_6enf_ga)*E$14,E$14-ceeeb_reste_à_vivre)),
(E$99*((E$99=1)*ceeeb_taux_1enf_ga+(E$99=2)*ceeeb_taux_2enf_ga+(E$99=3)*ceeeb_taux_3enf_ga+(E$99=4)*ceeeb_taux_4enf_ga+(E$99=5)*ceeeb_taux_5enf_ga+(E$99=6)*ceeeb_taux_6enf_ga))*(ceee_inter_coef*E$14+(1-ceee_inter_coef)*ceee_inter_seuil2)
))
),0)*(E$14&gt;=700)</f>
        <v>0</v>
      </c>
      <c r="F52" s="340">
        <f>(F$3="isolé")*IF(F$13="pg",(
(F$16=2010)*(F$99*((F$99=1)*ceee_taux_1enf+(F$99=2)*ceee_taux_2enf+(F$99=3)*ceee_taux_3enf+(F$99=4)*ceee_taux_4enf+(F$99=5)*ceee_taux_5enf+(F$99=6)*ceee_taux_6enf)*MAX(F$14-ceee_abat,0))
+(F$16=2018)*MAX(0,(MIN(F$99*((F$99=1)*ceeeb_taux_1enf+(F$99=2)*ceeeb_taux_2enf+(F$99=3)*ceeeb_taux_3enf+(F$99=4)*ceeeb_taux_4enf+(F$99=5)*ceeeb_taux_5enf+(F$99=6)*ceeeb_taux_6enf)*F$14,F$14-ceeeb_reste_à_vivre)))
+(F$16="inter")*IF(F$14&lt;=ceee_inter_seuil1,
(F$99*((F$99=1)*ceee_taux_1enf+(F$99=2)*ceee_taux_2enf+(F$99=3)*ceee_taux_3enf+(F$99=4)*ceee_taux_4enf+(F$99=5)*ceee_taux_5enf+(F$99=6)*ceee_taux_6enf)*MAX(F$14-ceee_abat,0)),
IF(F$14&gt;=ceee_inter_seuil2,
(MIN(F$99*((F$99=1)*ceeeb_taux_1enf+(F$99=2)*ceeeb_taux_2enf+(F$99=3)*ceeeb_taux_3enf+(F$99=4)*ceeeb_taux_4enf+(F$99=5)*ceeeb_taux_5enf+(F$99=6)*ceeeb_taux_6enf)*F$14,F$14-ceeeb_reste_à_vivre)),
(F$99*((F$99=1)*ceeeb_taux_1enf+(F$99=2)*ceeeb_taux_2enf+(F$99=3)*ceeeb_taux_3enf+(F$99=4)*ceeeb_taux_4enf+(F$99=5)*ceeeb_taux_5enf+(F$99=6)*ceeeb_taux_6enf))*(ceee_inter_coef*F$14+(1-ceee_inter_coef)*ceee_inter_seuil2)
))
),0)*(F$14&gt;=700)
+(F$3="isolé")*IF(F$13="ga_m",(
(F$16=2010)*(F$99*((F$99=1)*ceee_taux_1enf_ga+(F$99=2)*ceee_taux_2enf_ga+(F$99=3)*ceee_taux_3enf_ga+(F$99=4)*ceee_taux_4enf_ga+(F$99=5)*ceee_taux_5enf_ga+(F$99=6)*ceee_taux_6enf_ga)*MAX(F$14-ceee_abat,0))
+(F$16=2018)*MAX(0,(MIN(F$99*((F$99=1)*ceeeb_taux_1enf_ga+(F$99=2)*ceeeb_taux_2enf_ga+(F$99=3)*ceeeb_taux_3enf_ga+(F$99=4)*ceeeb_taux_4enf_ga+(F$99=5)*ceeeb_taux_5enf_ga+(F$99=6)*ceeeb_taux_6enf_ga)*F$14,F$14-ceeeb_reste_à_vivre)))
+(F$16="inter")*IF(F$14&lt;=ceee_inter_seuil1,
(F$99*((F$99=1)*ceee_taux_1enf_ga+(F$99=2)*ceee_taux_2enf_ga+(F$99=3)*ceee_taux_3enf_ga+(F$99=4)*ceee_taux_4enf_ga+(F$99=5)*ceee_taux_5enf_ga+(F$99=6)*ceee_taux_6enf_ga)*MAX(F$14-ceee_abat,0)),
IF(F$14&gt;=ceee_inter_seuil2,
(MIN(F$99*((F$99=1)*ceeeb_taux_1enf_ga+(F$99=2)*ceeeb_taux_2enf_ga+(F$99=3)*ceeeb_taux_3enf_ga+(F$99=4)*ceeeb_taux_4enf_ga+(F$99=5)*ceeeb_taux_5enf_ga+(F$99=6)*ceeeb_taux_6enf_ga)*F$14,F$14-ceeeb_reste_à_vivre)),
(F$99*((F$99=1)*ceeeb_taux_1enf_ga+(F$99=2)*ceeeb_taux_2enf_ga+(F$99=3)*ceeeb_taux_3enf_ga+(F$99=4)*ceeeb_taux_4enf_ga+(F$99=5)*ceeeb_taux_5enf_ga+(F$99=6)*ceeeb_taux_6enf_ga))*(ceee_inter_coef*F$14+(1-ceee_inter_coef)*ceee_inter_seuil2)
))
),0)*(F$14&gt;=700)</f>
        <v>0</v>
      </c>
      <c r="H52" s="340">
        <f>(H$3="isolé")*IF(H$13="pg",(
(H$16=2010)*(H$99*((H$99=1)*ceee_taux_1enf+(H$99=2)*ceee_taux_2enf+(H$99=3)*ceee_taux_3enf+(H$99=4)*ceee_taux_4enf+(H$99=5)*ceee_taux_5enf+(H$99=6)*ceee_taux_6enf)*MAX(H$14-ceee_abat,0))
+(H$16=2018)*MAX(0,(MIN(H$99*((H$99=1)*ceeeb_taux_1enf+(H$99=2)*ceeeb_taux_2enf+(H$99=3)*ceeeb_taux_3enf+(H$99=4)*ceeeb_taux_4enf+(H$99=5)*ceeeb_taux_5enf+(H$99=6)*ceeeb_taux_6enf)*H$14,H$14-ceeeb_reste_à_vivre)))
+(H$16="inter")*IF(H$14&lt;=ceee_inter_seuil1,
(H$99*((H$99=1)*ceee_taux_1enf+(H$99=2)*ceee_taux_2enf+(H$99=3)*ceee_taux_3enf+(H$99=4)*ceee_taux_4enf+(H$99=5)*ceee_taux_5enf+(H$99=6)*ceee_taux_6enf)*MAX(H$14-ceee_abat,0)),
IF(H$14&gt;=ceee_inter_seuil2,
(MIN(H$99*((H$99=1)*ceeeb_taux_1enf+(H$99=2)*ceeeb_taux_2enf+(H$99=3)*ceeeb_taux_3enf+(H$99=4)*ceeeb_taux_4enf+(H$99=5)*ceeeb_taux_5enf+(H$99=6)*ceeeb_taux_6enf)*H$14,H$14-ceeeb_reste_à_vivre)),
(H$99*((H$99=1)*ceeeb_taux_1enf+(H$99=2)*ceeeb_taux_2enf+(H$99=3)*ceeeb_taux_3enf+(H$99=4)*ceeeb_taux_4enf+(H$99=5)*ceeeb_taux_5enf+(H$99=6)*ceeeb_taux_6enf))*(ceee_inter_coef*H$14+(1-ceee_inter_coef)*ceee_inter_seuil2)
))
),0)*(H$14&gt;=700)
+(H$3="isolé")*IF(H$13="ga_m",(
(H$16=2010)*(H$99*((H$99=1)*ceee_taux_1enf_ga+(H$99=2)*ceee_taux_2enf_ga+(H$99=3)*ceee_taux_3enf_ga+(H$99=4)*ceee_taux_4enf_ga+(H$99=5)*ceee_taux_5enf_ga+(H$99=6)*ceee_taux_6enf_ga)*MAX(H$14-ceee_abat,0))
+(H$16=2018)*MAX(0,(MIN(H$99*((H$99=1)*ceeeb_taux_1enf_ga+(H$99=2)*ceeeb_taux_2enf_ga+(H$99=3)*ceeeb_taux_3enf_ga+(H$99=4)*ceeeb_taux_4enf_ga+(H$99=5)*ceeeb_taux_5enf_ga+(H$99=6)*ceeeb_taux_6enf_ga)*H$14,H$14-ceeeb_reste_à_vivre)))
+(H$16="inter")*IF(H$14&lt;=ceee_inter_seuil1,
(H$99*((H$99=1)*ceee_taux_1enf_ga+(H$99=2)*ceee_taux_2enf_ga+(H$99=3)*ceee_taux_3enf_ga+(H$99=4)*ceee_taux_4enf_ga+(H$99=5)*ceee_taux_5enf_ga+(H$99=6)*ceee_taux_6enf_ga)*MAX(H$14-ceee_abat,0)),
IF(H$14&gt;=ceee_inter_seuil2,
(MIN(H$99*((H$99=1)*ceeeb_taux_1enf_ga+(H$99=2)*ceeeb_taux_2enf_ga+(H$99=3)*ceeeb_taux_3enf_ga+(H$99=4)*ceeeb_taux_4enf_ga+(H$99=5)*ceeeb_taux_5enf_ga+(H$99=6)*ceeeb_taux_6enf_ga)*H$14,H$14-ceeeb_reste_à_vivre)),
(H$99*((H$99=1)*ceeeb_taux_1enf_ga+(H$99=2)*ceeeb_taux_2enf_ga+(H$99=3)*ceeeb_taux_3enf_ga+(H$99=4)*ceeeb_taux_4enf_ga+(H$99=5)*ceeeb_taux_5enf_ga+(H$99=6)*ceeeb_taux_6enf_ga))*(ceee_inter_coef*H$14+(1-ceee_inter_coef)*ceee_inter_seuil2)
))
),0)*(H$14&gt;=700)</f>
        <v>0</v>
      </c>
      <c r="I52" s="340">
        <f>(I$3="isolé")*IF(I$13="pg",(
(I$16=2010)*(I$99*((I$99=1)*ceee_taux_1enf+(I$99=2)*ceee_taux_2enf+(I$99=3)*ceee_taux_3enf+(I$99=4)*ceee_taux_4enf+(I$99=5)*ceee_taux_5enf+(I$99=6)*ceee_taux_6enf)*MAX(I$14-ceee_abat,0))
+(I$16=2018)*MAX(0,(MIN(I$99*((I$99=1)*ceeeb_taux_1enf+(I$99=2)*ceeeb_taux_2enf+(I$99=3)*ceeeb_taux_3enf+(I$99=4)*ceeeb_taux_4enf+(I$99=5)*ceeeb_taux_5enf+(I$99=6)*ceeeb_taux_6enf)*I$14,I$14-ceeeb_reste_à_vivre)))
+(I$16="inter")*IF(I$14&lt;=ceee_inter_seuil1,
(I$99*((I$99=1)*ceee_taux_1enf+(I$99=2)*ceee_taux_2enf+(I$99=3)*ceee_taux_3enf+(I$99=4)*ceee_taux_4enf+(I$99=5)*ceee_taux_5enf+(I$99=6)*ceee_taux_6enf)*MAX(I$14-ceee_abat,0)),
IF(I$14&gt;=ceee_inter_seuil2,
(MIN(I$99*((I$99=1)*ceeeb_taux_1enf+(I$99=2)*ceeeb_taux_2enf+(I$99=3)*ceeeb_taux_3enf+(I$99=4)*ceeeb_taux_4enf+(I$99=5)*ceeeb_taux_5enf+(I$99=6)*ceeeb_taux_6enf)*I$14,I$14-ceeeb_reste_à_vivre)),
(I$99*((I$99=1)*ceeeb_taux_1enf+(I$99=2)*ceeeb_taux_2enf+(I$99=3)*ceeeb_taux_3enf+(I$99=4)*ceeeb_taux_4enf+(I$99=5)*ceeeb_taux_5enf+(I$99=6)*ceeeb_taux_6enf))*(ceee_inter_coef*I$14+(1-ceee_inter_coef)*ceee_inter_seuil2)
))
),0)*(I$14&gt;=700)
+(I$3="isolé")*IF(I$13="ga_m",(
(I$16=2010)*(I$99*((I$99=1)*ceee_taux_1enf_ga+(I$99=2)*ceee_taux_2enf_ga+(I$99=3)*ceee_taux_3enf_ga+(I$99=4)*ceee_taux_4enf_ga+(I$99=5)*ceee_taux_5enf_ga+(I$99=6)*ceee_taux_6enf_ga)*MAX(I$14-ceee_abat,0))
+(I$16=2018)*MAX(0,(MIN(I$99*((I$99=1)*ceeeb_taux_1enf_ga+(I$99=2)*ceeeb_taux_2enf_ga+(I$99=3)*ceeeb_taux_3enf_ga+(I$99=4)*ceeeb_taux_4enf_ga+(I$99=5)*ceeeb_taux_5enf_ga+(I$99=6)*ceeeb_taux_6enf_ga)*I$14,I$14-ceeeb_reste_à_vivre)))
+(I$16="inter")*IF(I$14&lt;=ceee_inter_seuil1,
(I$99*((I$99=1)*ceee_taux_1enf_ga+(I$99=2)*ceee_taux_2enf_ga+(I$99=3)*ceee_taux_3enf_ga+(I$99=4)*ceee_taux_4enf_ga+(I$99=5)*ceee_taux_5enf_ga+(I$99=6)*ceee_taux_6enf_ga)*MAX(I$14-ceee_abat,0)),
IF(I$14&gt;=ceee_inter_seuil2,
(MIN(I$99*((I$99=1)*ceeeb_taux_1enf_ga+(I$99=2)*ceeeb_taux_2enf_ga+(I$99=3)*ceeeb_taux_3enf_ga+(I$99=4)*ceeeb_taux_4enf_ga+(I$99=5)*ceeeb_taux_5enf_ga+(I$99=6)*ceeeb_taux_6enf_ga)*I$14,I$14-ceeeb_reste_à_vivre)),
(I$99*((I$99=1)*ceeeb_taux_1enf_ga+(I$99=2)*ceeeb_taux_2enf_ga+(I$99=3)*ceeeb_taux_3enf_ga+(I$99=4)*ceeeb_taux_4enf_ga+(I$99=5)*ceeeb_taux_5enf_ga+(I$99=6)*ceeeb_taux_6enf_ga))*(ceee_inter_coef*I$14+(1-ceee_inter_coef)*ceee_inter_seuil2)
))
),0)*(I$14&gt;=700)</f>
        <v>0</v>
      </c>
      <c r="J52" s="340">
        <f>(J$3="isolé")*IF(J$13="pg",(
(J$16=2010)*(J$99*((J$99=1)*ceee_taux_1enf+(J$99=2)*ceee_taux_2enf+(J$99=3)*ceee_taux_3enf+(J$99=4)*ceee_taux_4enf+(J$99=5)*ceee_taux_5enf+(J$99=6)*ceee_taux_6enf)*MAX(J$14-ceee_abat,0))
+(J$16=2018)*MAX(0,(MIN(J$99*((J$99=1)*ceeeb_taux_1enf+(J$99=2)*ceeeb_taux_2enf+(J$99=3)*ceeeb_taux_3enf+(J$99=4)*ceeeb_taux_4enf+(J$99=5)*ceeeb_taux_5enf+(J$99=6)*ceeeb_taux_6enf)*J$14,J$14-ceeeb_reste_à_vivre)))
+(J$16="inter")*IF(J$14&lt;=ceee_inter_seuil1,
(J$99*((J$99=1)*ceee_taux_1enf+(J$99=2)*ceee_taux_2enf+(J$99=3)*ceee_taux_3enf+(J$99=4)*ceee_taux_4enf+(J$99=5)*ceee_taux_5enf+(J$99=6)*ceee_taux_6enf)*MAX(J$14-ceee_abat,0)),
IF(J$14&gt;=ceee_inter_seuil2,
(MIN(J$99*((J$99=1)*ceeeb_taux_1enf+(J$99=2)*ceeeb_taux_2enf+(J$99=3)*ceeeb_taux_3enf+(J$99=4)*ceeeb_taux_4enf+(J$99=5)*ceeeb_taux_5enf+(J$99=6)*ceeeb_taux_6enf)*J$14,J$14-ceeeb_reste_à_vivre)),
(J$99*((J$99=1)*ceeeb_taux_1enf+(J$99=2)*ceeeb_taux_2enf+(J$99=3)*ceeeb_taux_3enf+(J$99=4)*ceeeb_taux_4enf+(J$99=5)*ceeeb_taux_5enf+(J$99=6)*ceeeb_taux_6enf))*(ceee_inter_coef*J$14+(1-ceee_inter_coef)*ceee_inter_seuil2)
))
),0)*(J$14&gt;=700)
+(J$3="isolé")*IF(J$13="ga_m",(
(J$16=2010)*(J$99*((J$99=1)*ceee_taux_1enf_ga+(J$99=2)*ceee_taux_2enf_ga+(J$99=3)*ceee_taux_3enf_ga+(J$99=4)*ceee_taux_4enf_ga+(J$99=5)*ceee_taux_5enf_ga+(J$99=6)*ceee_taux_6enf_ga)*MAX(J$14-ceee_abat,0))
+(J$16=2018)*MAX(0,(MIN(J$99*((J$99=1)*ceeeb_taux_1enf_ga+(J$99=2)*ceeeb_taux_2enf_ga+(J$99=3)*ceeeb_taux_3enf_ga+(J$99=4)*ceeeb_taux_4enf_ga+(J$99=5)*ceeeb_taux_5enf_ga+(J$99=6)*ceeeb_taux_6enf_ga)*J$14,J$14-ceeeb_reste_à_vivre)))
+(J$16="inter")*IF(J$14&lt;=ceee_inter_seuil1,
(J$99*((J$99=1)*ceee_taux_1enf_ga+(J$99=2)*ceee_taux_2enf_ga+(J$99=3)*ceee_taux_3enf_ga+(J$99=4)*ceee_taux_4enf_ga+(J$99=5)*ceee_taux_5enf_ga+(J$99=6)*ceee_taux_6enf_ga)*MAX(J$14-ceee_abat,0)),
IF(J$14&gt;=ceee_inter_seuil2,
(MIN(J$99*((J$99=1)*ceeeb_taux_1enf_ga+(J$99=2)*ceeeb_taux_2enf_ga+(J$99=3)*ceeeb_taux_3enf_ga+(J$99=4)*ceeeb_taux_4enf_ga+(J$99=5)*ceeeb_taux_5enf_ga+(J$99=6)*ceeeb_taux_6enf_ga)*J$14,J$14-ceeeb_reste_à_vivre)),
(J$99*((J$99=1)*ceeeb_taux_1enf_ga+(J$99=2)*ceeeb_taux_2enf_ga+(J$99=3)*ceeeb_taux_3enf_ga+(J$99=4)*ceeeb_taux_4enf_ga+(J$99=5)*ceeeb_taux_5enf_ga+(J$99=6)*ceeeb_taux_6enf_ga))*(ceee_inter_coef*J$14+(1-ceee_inter_coef)*ceee_inter_seuil2)
))
),0)*(J$14&gt;=700)</f>
        <v>0</v>
      </c>
      <c r="K52" s="340">
        <f>(K$3="isolé")*IF(K$13="pg",(
(K$16=2010)*(K$99*((K$99=1)*ceee_taux_1enf+(K$99=2)*ceee_taux_2enf+(K$99=3)*ceee_taux_3enf+(K$99=4)*ceee_taux_4enf+(K$99=5)*ceee_taux_5enf+(K$99=6)*ceee_taux_6enf)*MAX(K$14-ceee_abat,0))
+(K$16=2018)*MAX(0,(MIN(K$99*((K$99=1)*ceeeb_taux_1enf+(K$99=2)*ceeeb_taux_2enf+(K$99=3)*ceeeb_taux_3enf+(K$99=4)*ceeeb_taux_4enf+(K$99=5)*ceeeb_taux_5enf+(K$99=6)*ceeeb_taux_6enf)*K$14,K$14-ceeeb_reste_à_vivre)))
+(K$16="inter")*IF(K$14&lt;=ceee_inter_seuil1,
(K$99*((K$99=1)*ceee_taux_1enf+(K$99=2)*ceee_taux_2enf+(K$99=3)*ceee_taux_3enf+(K$99=4)*ceee_taux_4enf+(K$99=5)*ceee_taux_5enf+(K$99=6)*ceee_taux_6enf)*MAX(K$14-ceee_abat,0)),
IF(K$14&gt;=ceee_inter_seuil2,
(MIN(K$99*((K$99=1)*ceeeb_taux_1enf+(K$99=2)*ceeeb_taux_2enf+(K$99=3)*ceeeb_taux_3enf+(K$99=4)*ceeeb_taux_4enf+(K$99=5)*ceeeb_taux_5enf+(K$99=6)*ceeeb_taux_6enf)*K$14,K$14-ceeeb_reste_à_vivre)),
(K$99*((K$99=1)*ceeeb_taux_1enf+(K$99=2)*ceeeb_taux_2enf+(K$99=3)*ceeeb_taux_3enf+(K$99=4)*ceeeb_taux_4enf+(K$99=5)*ceeeb_taux_5enf+(K$99=6)*ceeeb_taux_6enf))*(ceee_inter_coef*K$14+(1-ceee_inter_coef)*ceee_inter_seuil2)
))
),0)*(K$14&gt;=700)
+(K$3="isolé")*IF(K$13="ga_m",(
(K$16=2010)*(K$99*((K$99=1)*ceee_taux_1enf_ga+(K$99=2)*ceee_taux_2enf_ga+(K$99=3)*ceee_taux_3enf_ga+(K$99=4)*ceee_taux_4enf_ga+(K$99=5)*ceee_taux_5enf_ga+(K$99=6)*ceee_taux_6enf_ga)*MAX(K$14-ceee_abat,0))
+(K$16=2018)*MAX(0,(MIN(K$99*((K$99=1)*ceeeb_taux_1enf_ga+(K$99=2)*ceeeb_taux_2enf_ga+(K$99=3)*ceeeb_taux_3enf_ga+(K$99=4)*ceeeb_taux_4enf_ga+(K$99=5)*ceeeb_taux_5enf_ga+(K$99=6)*ceeeb_taux_6enf_ga)*K$14,K$14-ceeeb_reste_à_vivre)))
+(K$16="inter")*IF(K$14&lt;=ceee_inter_seuil1,
(K$99*((K$99=1)*ceee_taux_1enf_ga+(K$99=2)*ceee_taux_2enf_ga+(K$99=3)*ceee_taux_3enf_ga+(K$99=4)*ceee_taux_4enf_ga+(K$99=5)*ceee_taux_5enf_ga+(K$99=6)*ceee_taux_6enf_ga)*MAX(K$14-ceee_abat,0)),
IF(K$14&gt;=ceee_inter_seuil2,
(MIN(K$99*((K$99=1)*ceeeb_taux_1enf_ga+(K$99=2)*ceeeb_taux_2enf_ga+(K$99=3)*ceeeb_taux_3enf_ga+(K$99=4)*ceeeb_taux_4enf_ga+(K$99=5)*ceeeb_taux_5enf_ga+(K$99=6)*ceeeb_taux_6enf_ga)*K$14,K$14-ceeeb_reste_à_vivre)),
(K$99*((K$99=1)*ceeeb_taux_1enf_ga+(K$99=2)*ceeeb_taux_2enf_ga+(K$99=3)*ceeeb_taux_3enf_ga+(K$99=4)*ceeeb_taux_4enf_ga+(K$99=5)*ceeeb_taux_5enf_ga+(K$99=6)*ceeeb_taux_6enf_ga))*(ceee_inter_coef*K$14+(1-ceee_inter_coef)*ceee_inter_seuil2)
))
),0)*(K$14&gt;=700)</f>
        <v>0</v>
      </c>
      <c r="M52" s="340">
        <f>(M$3="isolé")*IF(M$13="pg",(
(M$16=2010)*(M$99*((M$99=1)*ceee_taux_1enf+(M$99=2)*ceee_taux_2enf+(M$99=3)*ceee_taux_3enf+(M$99=4)*ceee_taux_4enf+(M$99=5)*ceee_taux_5enf+(M$99=6)*ceee_taux_6enf)*MAX(M$14-ceee_abat,0))
+(M$16=2018)*MAX(0,(MIN(M$99*((M$99=1)*ceeeb_taux_1enf+(M$99=2)*ceeeb_taux_2enf+(M$99=3)*ceeeb_taux_3enf+(M$99=4)*ceeeb_taux_4enf+(M$99=5)*ceeeb_taux_5enf+(M$99=6)*ceeeb_taux_6enf)*M$14,M$14-ceeeb_reste_à_vivre)))
+(M$16="inter")*IF(M$14&lt;=ceee_inter_seuil1,
(M$99*((M$99=1)*ceee_taux_1enf+(M$99=2)*ceee_taux_2enf+(M$99=3)*ceee_taux_3enf+(M$99=4)*ceee_taux_4enf+(M$99=5)*ceee_taux_5enf+(M$99=6)*ceee_taux_6enf)*MAX(M$14-ceee_abat,0)),
IF(M$14&gt;=ceee_inter_seuil2,
(MIN(M$99*((M$99=1)*ceeeb_taux_1enf+(M$99=2)*ceeeb_taux_2enf+(M$99=3)*ceeeb_taux_3enf+(M$99=4)*ceeeb_taux_4enf+(M$99=5)*ceeeb_taux_5enf+(M$99=6)*ceeeb_taux_6enf)*M$14,M$14-ceeeb_reste_à_vivre)),
(M$99*((M$99=1)*ceeeb_taux_1enf+(M$99=2)*ceeeb_taux_2enf+(M$99=3)*ceeeb_taux_3enf+(M$99=4)*ceeeb_taux_4enf+(M$99=5)*ceeeb_taux_5enf+(M$99=6)*ceeeb_taux_6enf))*(ceee_inter_coef*M$14+(1-ceee_inter_coef)*ceee_inter_seuil2)
))
),0)*(M$14&gt;=700)
+(M$3="isolé")*IF(M$13="ga_m",(
(M$16=2010)*(M$99*((M$99=1)*ceee_taux_1enf_ga+(M$99=2)*ceee_taux_2enf_ga+(M$99=3)*ceee_taux_3enf_ga+(M$99=4)*ceee_taux_4enf_ga+(M$99=5)*ceee_taux_5enf_ga+(M$99=6)*ceee_taux_6enf_ga)*MAX(M$14-ceee_abat,0))
+(M$16=2018)*MAX(0,(MIN(M$99*((M$99=1)*ceeeb_taux_1enf_ga+(M$99=2)*ceeeb_taux_2enf_ga+(M$99=3)*ceeeb_taux_3enf_ga+(M$99=4)*ceeeb_taux_4enf_ga+(M$99=5)*ceeeb_taux_5enf_ga+(M$99=6)*ceeeb_taux_6enf_ga)*M$14,M$14-ceeeb_reste_à_vivre)))
+(M$16="inter")*IF(M$14&lt;=ceee_inter_seuil1,
(M$99*((M$99=1)*ceee_taux_1enf_ga+(M$99=2)*ceee_taux_2enf_ga+(M$99=3)*ceee_taux_3enf_ga+(M$99=4)*ceee_taux_4enf_ga+(M$99=5)*ceee_taux_5enf_ga+(M$99=6)*ceee_taux_6enf_ga)*MAX(M$14-ceee_abat,0)),
IF(M$14&gt;=ceee_inter_seuil2,
(MIN(M$99*((M$99=1)*ceeeb_taux_1enf_ga+(M$99=2)*ceeeb_taux_2enf_ga+(M$99=3)*ceeeb_taux_3enf_ga+(M$99=4)*ceeeb_taux_4enf_ga+(M$99=5)*ceeeb_taux_5enf_ga+(M$99=6)*ceeeb_taux_6enf_ga)*M$14,M$14-ceeeb_reste_à_vivre)),
(M$99*((M$99=1)*ceeeb_taux_1enf_ga+(M$99=2)*ceeeb_taux_2enf_ga+(M$99=3)*ceeeb_taux_3enf_ga+(M$99=4)*ceeeb_taux_4enf_ga+(M$99=5)*ceeeb_taux_5enf_ga+(M$99=6)*ceeeb_taux_6enf_ga))*(ceee_inter_coef*M$14+(1-ceee_inter_coef)*ceee_inter_seuil2)
))
),0)*(M$14&gt;=700)</f>
        <v>0</v>
      </c>
      <c r="N52" s="340">
        <f>(N$3="isolé")*IF(N$13="pg",(
(N$16=2010)*(N$99*((N$99=1)*ceee_taux_1enf+(N$99=2)*ceee_taux_2enf+(N$99=3)*ceee_taux_3enf+(N$99=4)*ceee_taux_4enf+(N$99=5)*ceee_taux_5enf+(N$99=6)*ceee_taux_6enf)*MAX(N$14-ceee_abat,0))
+(N$16=2018)*MAX(0,(MIN(N$99*((N$99=1)*ceeeb_taux_1enf+(N$99=2)*ceeeb_taux_2enf+(N$99=3)*ceeeb_taux_3enf+(N$99=4)*ceeeb_taux_4enf+(N$99=5)*ceeeb_taux_5enf+(N$99=6)*ceeeb_taux_6enf)*N$14,N$14-ceeeb_reste_à_vivre)))
+(N$16="inter")*IF(N$14&lt;=ceee_inter_seuil1,
(N$99*((N$99=1)*ceee_taux_1enf+(N$99=2)*ceee_taux_2enf+(N$99=3)*ceee_taux_3enf+(N$99=4)*ceee_taux_4enf+(N$99=5)*ceee_taux_5enf+(N$99=6)*ceee_taux_6enf)*MAX(N$14-ceee_abat,0)),
IF(N$14&gt;=ceee_inter_seuil2,
(MIN(N$99*((N$99=1)*ceeeb_taux_1enf+(N$99=2)*ceeeb_taux_2enf+(N$99=3)*ceeeb_taux_3enf+(N$99=4)*ceeeb_taux_4enf+(N$99=5)*ceeeb_taux_5enf+(N$99=6)*ceeeb_taux_6enf)*N$14,N$14-ceeeb_reste_à_vivre)),
(N$99*((N$99=1)*ceeeb_taux_1enf+(N$99=2)*ceeeb_taux_2enf+(N$99=3)*ceeeb_taux_3enf+(N$99=4)*ceeeb_taux_4enf+(N$99=5)*ceeeb_taux_5enf+(N$99=6)*ceeeb_taux_6enf))*(ceee_inter_coef*N$14+(1-ceee_inter_coef)*ceee_inter_seuil2)
))
),0)*(N$14&gt;=700)
+(N$3="isolé")*IF(N$13="ga_m",(
(N$16=2010)*(N$99*((N$99=1)*ceee_taux_1enf_ga+(N$99=2)*ceee_taux_2enf_ga+(N$99=3)*ceee_taux_3enf_ga+(N$99=4)*ceee_taux_4enf_ga+(N$99=5)*ceee_taux_5enf_ga+(N$99=6)*ceee_taux_6enf_ga)*MAX(N$14-ceee_abat,0))
+(N$16=2018)*MAX(0,(MIN(N$99*((N$99=1)*ceeeb_taux_1enf_ga+(N$99=2)*ceeeb_taux_2enf_ga+(N$99=3)*ceeeb_taux_3enf_ga+(N$99=4)*ceeeb_taux_4enf_ga+(N$99=5)*ceeeb_taux_5enf_ga+(N$99=6)*ceeeb_taux_6enf_ga)*N$14,N$14-ceeeb_reste_à_vivre)))
+(N$16="inter")*IF(N$14&lt;=ceee_inter_seuil1,
(N$99*((N$99=1)*ceee_taux_1enf_ga+(N$99=2)*ceee_taux_2enf_ga+(N$99=3)*ceee_taux_3enf_ga+(N$99=4)*ceee_taux_4enf_ga+(N$99=5)*ceee_taux_5enf_ga+(N$99=6)*ceee_taux_6enf_ga)*MAX(N$14-ceee_abat,0)),
IF(N$14&gt;=ceee_inter_seuil2,
(MIN(N$99*((N$99=1)*ceeeb_taux_1enf_ga+(N$99=2)*ceeeb_taux_2enf_ga+(N$99=3)*ceeeb_taux_3enf_ga+(N$99=4)*ceeeb_taux_4enf_ga+(N$99=5)*ceeeb_taux_5enf_ga+(N$99=6)*ceeeb_taux_6enf_ga)*N$14,N$14-ceeeb_reste_à_vivre)),
(N$99*((N$99=1)*ceeeb_taux_1enf_ga+(N$99=2)*ceeeb_taux_2enf_ga+(N$99=3)*ceeeb_taux_3enf_ga+(N$99=4)*ceeeb_taux_4enf_ga+(N$99=5)*ceeeb_taux_5enf_ga+(N$99=6)*ceeeb_taux_6enf_ga))*(ceee_inter_coef*N$14+(1-ceee_inter_coef)*ceee_inter_seuil2)
))
),0)*(N$14&gt;=700)</f>
        <v>0</v>
      </c>
      <c r="O52" s="340">
        <f>(O$3="isolé")*IF(O$13="pg",(
(O$16=2010)*(O$99*((O$99=1)*ceee_taux_1enf+(O$99=2)*ceee_taux_2enf+(O$99=3)*ceee_taux_3enf+(O$99=4)*ceee_taux_4enf+(O$99=5)*ceee_taux_5enf+(O$99=6)*ceee_taux_6enf)*MAX(O$14-ceee_abat,0))
+(O$16=2018)*MAX(0,(MIN(O$99*((O$99=1)*ceeeb_taux_1enf+(O$99=2)*ceeeb_taux_2enf+(O$99=3)*ceeeb_taux_3enf+(O$99=4)*ceeeb_taux_4enf+(O$99=5)*ceeeb_taux_5enf+(O$99=6)*ceeeb_taux_6enf)*O$14,O$14-ceeeb_reste_à_vivre)))
+(O$16="inter")*IF(O$14&lt;=ceee_inter_seuil1,
(O$99*((O$99=1)*ceee_taux_1enf+(O$99=2)*ceee_taux_2enf+(O$99=3)*ceee_taux_3enf+(O$99=4)*ceee_taux_4enf+(O$99=5)*ceee_taux_5enf+(O$99=6)*ceee_taux_6enf)*MAX(O$14-ceee_abat,0)),
IF(O$14&gt;=ceee_inter_seuil2,
(MIN(O$99*((O$99=1)*ceeeb_taux_1enf+(O$99=2)*ceeeb_taux_2enf+(O$99=3)*ceeeb_taux_3enf+(O$99=4)*ceeeb_taux_4enf+(O$99=5)*ceeeb_taux_5enf+(O$99=6)*ceeeb_taux_6enf)*O$14,O$14-ceeeb_reste_à_vivre)),
(O$99*((O$99=1)*ceeeb_taux_1enf+(O$99=2)*ceeeb_taux_2enf+(O$99=3)*ceeeb_taux_3enf+(O$99=4)*ceeeb_taux_4enf+(O$99=5)*ceeeb_taux_5enf+(O$99=6)*ceeeb_taux_6enf))*(ceee_inter_coef*O$14+(1-ceee_inter_coef)*ceee_inter_seuil2)
))
),0)*(O$14&gt;=700)
+(O$3="isolé")*IF(O$13="ga_m",(
(O$16=2010)*(O$99*((O$99=1)*ceee_taux_1enf_ga+(O$99=2)*ceee_taux_2enf_ga+(O$99=3)*ceee_taux_3enf_ga+(O$99=4)*ceee_taux_4enf_ga+(O$99=5)*ceee_taux_5enf_ga+(O$99=6)*ceee_taux_6enf_ga)*MAX(O$14-ceee_abat,0))
+(O$16=2018)*MAX(0,(MIN(O$99*((O$99=1)*ceeeb_taux_1enf_ga+(O$99=2)*ceeeb_taux_2enf_ga+(O$99=3)*ceeeb_taux_3enf_ga+(O$99=4)*ceeeb_taux_4enf_ga+(O$99=5)*ceeeb_taux_5enf_ga+(O$99=6)*ceeeb_taux_6enf_ga)*O$14,O$14-ceeeb_reste_à_vivre)))
+(O$16="inter")*IF(O$14&lt;=ceee_inter_seuil1,
(O$99*((O$99=1)*ceee_taux_1enf_ga+(O$99=2)*ceee_taux_2enf_ga+(O$99=3)*ceee_taux_3enf_ga+(O$99=4)*ceee_taux_4enf_ga+(O$99=5)*ceee_taux_5enf_ga+(O$99=6)*ceee_taux_6enf_ga)*MAX(O$14-ceee_abat,0)),
IF(O$14&gt;=ceee_inter_seuil2,
(MIN(O$99*((O$99=1)*ceeeb_taux_1enf_ga+(O$99=2)*ceeeb_taux_2enf_ga+(O$99=3)*ceeeb_taux_3enf_ga+(O$99=4)*ceeeb_taux_4enf_ga+(O$99=5)*ceeeb_taux_5enf_ga+(O$99=6)*ceeeb_taux_6enf_ga)*O$14,O$14-ceeeb_reste_à_vivre)),
(O$99*((O$99=1)*ceeeb_taux_1enf_ga+(O$99=2)*ceeeb_taux_2enf_ga+(O$99=3)*ceeeb_taux_3enf_ga+(O$99=4)*ceeeb_taux_4enf_ga+(O$99=5)*ceeeb_taux_5enf_ga+(O$99=6)*ceeeb_taux_6enf_ga))*(ceee_inter_coef*O$14+(1-ceee_inter_coef)*ceee_inter_seuil2)
))
),0)*(O$14&gt;=700)</f>
        <v>0</v>
      </c>
      <c r="P52" s="340">
        <f>(P$3="isolé")*IF(P$13="pg",(
(P$16=2010)*(P$99*((P$99=1)*ceee_taux_1enf+(P$99=2)*ceee_taux_2enf+(P$99=3)*ceee_taux_3enf+(P$99=4)*ceee_taux_4enf+(P$99=5)*ceee_taux_5enf+(P$99=6)*ceee_taux_6enf)*MAX(P$14-ceee_abat,0))
+(P$16=2018)*MAX(0,(MIN(P$99*((P$99=1)*ceeeb_taux_1enf+(P$99=2)*ceeeb_taux_2enf+(P$99=3)*ceeeb_taux_3enf+(P$99=4)*ceeeb_taux_4enf+(P$99=5)*ceeeb_taux_5enf+(P$99=6)*ceeeb_taux_6enf)*P$14,P$14-ceeeb_reste_à_vivre)))
+(P$16="inter")*IF(P$14&lt;=ceee_inter_seuil1,
(P$99*((P$99=1)*ceee_taux_1enf+(P$99=2)*ceee_taux_2enf+(P$99=3)*ceee_taux_3enf+(P$99=4)*ceee_taux_4enf+(P$99=5)*ceee_taux_5enf+(P$99=6)*ceee_taux_6enf)*MAX(P$14-ceee_abat,0)),
IF(P$14&gt;=ceee_inter_seuil2,
(MIN(P$99*((P$99=1)*ceeeb_taux_1enf+(P$99=2)*ceeeb_taux_2enf+(P$99=3)*ceeeb_taux_3enf+(P$99=4)*ceeeb_taux_4enf+(P$99=5)*ceeeb_taux_5enf+(P$99=6)*ceeeb_taux_6enf)*P$14,P$14-ceeeb_reste_à_vivre)),
(P$99*((P$99=1)*ceeeb_taux_1enf+(P$99=2)*ceeeb_taux_2enf+(P$99=3)*ceeeb_taux_3enf+(P$99=4)*ceeeb_taux_4enf+(P$99=5)*ceeeb_taux_5enf+(P$99=6)*ceeeb_taux_6enf))*(ceee_inter_coef*P$14+(1-ceee_inter_coef)*ceee_inter_seuil2)
))
),0)*(P$14&gt;=700)
+(P$3="isolé")*IF(P$13="ga_m",(
(P$16=2010)*(P$99*((P$99=1)*ceee_taux_1enf_ga+(P$99=2)*ceee_taux_2enf_ga+(P$99=3)*ceee_taux_3enf_ga+(P$99=4)*ceee_taux_4enf_ga+(P$99=5)*ceee_taux_5enf_ga+(P$99=6)*ceee_taux_6enf_ga)*MAX(P$14-ceee_abat,0))
+(P$16=2018)*MAX(0,(MIN(P$99*((P$99=1)*ceeeb_taux_1enf_ga+(P$99=2)*ceeeb_taux_2enf_ga+(P$99=3)*ceeeb_taux_3enf_ga+(P$99=4)*ceeeb_taux_4enf_ga+(P$99=5)*ceeeb_taux_5enf_ga+(P$99=6)*ceeeb_taux_6enf_ga)*P$14,P$14-ceeeb_reste_à_vivre)))
+(P$16="inter")*IF(P$14&lt;=ceee_inter_seuil1,
(P$99*((P$99=1)*ceee_taux_1enf_ga+(P$99=2)*ceee_taux_2enf_ga+(P$99=3)*ceee_taux_3enf_ga+(P$99=4)*ceee_taux_4enf_ga+(P$99=5)*ceee_taux_5enf_ga+(P$99=6)*ceee_taux_6enf_ga)*MAX(P$14-ceee_abat,0)),
IF(P$14&gt;=ceee_inter_seuil2,
(MIN(P$99*((P$99=1)*ceeeb_taux_1enf_ga+(P$99=2)*ceeeb_taux_2enf_ga+(P$99=3)*ceeeb_taux_3enf_ga+(P$99=4)*ceeeb_taux_4enf_ga+(P$99=5)*ceeeb_taux_5enf_ga+(P$99=6)*ceeeb_taux_6enf_ga)*P$14,P$14-ceeeb_reste_à_vivre)),
(P$99*((P$99=1)*ceeeb_taux_1enf_ga+(P$99=2)*ceeeb_taux_2enf_ga+(P$99=3)*ceeeb_taux_3enf_ga+(P$99=4)*ceeeb_taux_4enf_ga+(P$99=5)*ceeeb_taux_5enf_ga+(P$99=6)*ceeeb_taux_6enf_ga))*(ceee_inter_coef*P$14+(1-ceee_inter_coef)*ceee_inter_seuil2)
))
),0)*(P$14&gt;=700)</f>
        <v>0</v>
      </c>
      <c r="R52" s="340">
        <f>(R$3="isolé")*IF(R$13="pg",(
(R$16=2010)*(R$99*((R$99=1)*ceee_taux_1enf+(R$99=2)*ceee_taux_2enf+(R$99=3)*ceee_taux_3enf+(R$99=4)*ceee_taux_4enf+(R$99=5)*ceee_taux_5enf+(R$99=6)*ceee_taux_6enf)*MAX(R$14-ceee_abat,0))
+(R$16=2018)*MAX(0,(MIN(R$99*((R$99=1)*ceeeb_taux_1enf+(R$99=2)*ceeeb_taux_2enf+(R$99=3)*ceeeb_taux_3enf+(R$99=4)*ceeeb_taux_4enf+(R$99=5)*ceeeb_taux_5enf+(R$99=6)*ceeeb_taux_6enf)*R$14,R$14-ceeeb_reste_à_vivre)))
+(R$16="inter")*IF(R$14&lt;=ceee_inter_seuil1,
(R$99*((R$99=1)*ceee_taux_1enf+(R$99=2)*ceee_taux_2enf+(R$99=3)*ceee_taux_3enf+(R$99=4)*ceee_taux_4enf+(R$99=5)*ceee_taux_5enf+(R$99=6)*ceee_taux_6enf)*MAX(R$14-ceee_abat,0)),
IF(R$14&gt;=ceee_inter_seuil2,
(MIN(R$99*((R$99=1)*ceeeb_taux_1enf+(R$99=2)*ceeeb_taux_2enf+(R$99=3)*ceeeb_taux_3enf+(R$99=4)*ceeeb_taux_4enf+(R$99=5)*ceeeb_taux_5enf+(R$99=6)*ceeeb_taux_6enf)*R$14,R$14-ceeeb_reste_à_vivre)),
(R$99*((R$99=1)*ceeeb_taux_1enf+(R$99=2)*ceeeb_taux_2enf+(R$99=3)*ceeeb_taux_3enf+(R$99=4)*ceeeb_taux_4enf+(R$99=5)*ceeeb_taux_5enf+(R$99=6)*ceeeb_taux_6enf))*(ceee_inter_coef*R$14+(1-ceee_inter_coef)*ceee_inter_seuil2)
))
),0)*(R$14&gt;=700)
+(R$3="isolé")*IF(R$13="ga_m",(
(R$16=2010)*(R$99*((R$99=1)*ceee_taux_1enf_ga+(R$99=2)*ceee_taux_2enf_ga+(R$99=3)*ceee_taux_3enf_ga+(R$99=4)*ceee_taux_4enf_ga+(R$99=5)*ceee_taux_5enf_ga+(R$99=6)*ceee_taux_6enf_ga)*MAX(R$14-ceee_abat,0))
+(R$16=2018)*MAX(0,(MIN(R$99*((R$99=1)*ceeeb_taux_1enf_ga+(R$99=2)*ceeeb_taux_2enf_ga+(R$99=3)*ceeeb_taux_3enf_ga+(R$99=4)*ceeeb_taux_4enf_ga+(R$99=5)*ceeeb_taux_5enf_ga+(R$99=6)*ceeeb_taux_6enf_ga)*R$14,R$14-ceeeb_reste_à_vivre)))
+(R$16="inter")*IF(R$14&lt;=ceee_inter_seuil1,
(R$99*((R$99=1)*ceee_taux_1enf_ga+(R$99=2)*ceee_taux_2enf_ga+(R$99=3)*ceee_taux_3enf_ga+(R$99=4)*ceee_taux_4enf_ga+(R$99=5)*ceee_taux_5enf_ga+(R$99=6)*ceee_taux_6enf_ga)*MAX(R$14-ceee_abat,0)),
IF(R$14&gt;=ceee_inter_seuil2,
(MIN(R$99*((R$99=1)*ceeeb_taux_1enf_ga+(R$99=2)*ceeeb_taux_2enf_ga+(R$99=3)*ceeeb_taux_3enf_ga+(R$99=4)*ceeeb_taux_4enf_ga+(R$99=5)*ceeeb_taux_5enf_ga+(R$99=6)*ceeeb_taux_6enf_ga)*R$14,R$14-ceeeb_reste_à_vivre)),
(R$99*((R$99=1)*ceeeb_taux_1enf_ga+(R$99=2)*ceeeb_taux_2enf_ga+(R$99=3)*ceeeb_taux_3enf_ga+(R$99=4)*ceeeb_taux_4enf_ga+(R$99=5)*ceeeb_taux_5enf_ga+(R$99=6)*ceeeb_taux_6enf_ga))*(ceee_inter_coef*R$14+(1-ceee_inter_coef)*ceee_inter_seuil2)
))
),0)*(R$14&gt;=700)</f>
        <v>0</v>
      </c>
      <c r="S52" s="340">
        <f>(S$3="isolé")*IF(S$13="pg",(
(S$16=2010)*(S$99*((S$99=1)*ceee_taux_1enf+(S$99=2)*ceee_taux_2enf+(S$99=3)*ceee_taux_3enf+(S$99=4)*ceee_taux_4enf+(S$99=5)*ceee_taux_5enf+(S$99=6)*ceee_taux_6enf)*MAX(S$14-ceee_abat,0))
+(S$16=2018)*MAX(0,(MIN(S$99*((S$99=1)*ceeeb_taux_1enf+(S$99=2)*ceeeb_taux_2enf+(S$99=3)*ceeeb_taux_3enf+(S$99=4)*ceeeb_taux_4enf+(S$99=5)*ceeeb_taux_5enf+(S$99=6)*ceeeb_taux_6enf)*S$14,S$14-ceeeb_reste_à_vivre)))
+(S$16="inter")*IF(S$14&lt;=ceee_inter_seuil1,
(S$99*((S$99=1)*ceee_taux_1enf+(S$99=2)*ceee_taux_2enf+(S$99=3)*ceee_taux_3enf+(S$99=4)*ceee_taux_4enf+(S$99=5)*ceee_taux_5enf+(S$99=6)*ceee_taux_6enf)*MAX(S$14-ceee_abat,0)),
IF(S$14&gt;=ceee_inter_seuil2,
(MIN(S$99*((S$99=1)*ceeeb_taux_1enf+(S$99=2)*ceeeb_taux_2enf+(S$99=3)*ceeeb_taux_3enf+(S$99=4)*ceeeb_taux_4enf+(S$99=5)*ceeeb_taux_5enf+(S$99=6)*ceeeb_taux_6enf)*S$14,S$14-ceeeb_reste_à_vivre)),
(S$99*((S$99=1)*ceeeb_taux_1enf+(S$99=2)*ceeeb_taux_2enf+(S$99=3)*ceeeb_taux_3enf+(S$99=4)*ceeeb_taux_4enf+(S$99=5)*ceeeb_taux_5enf+(S$99=6)*ceeeb_taux_6enf))*(ceee_inter_coef*S$14+(1-ceee_inter_coef)*ceee_inter_seuil2)
))
),0)*(S$14&gt;=700)
+(S$3="isolé")*IF(S$13="ga_m",(
(S$16=2010)*(S$99*((S$99=1)*ceee_taux_1enf_ga+(S$99=2)*ceee_taux_2enf_ga+(S$99=3)*ceee_taux_3enf_ga+(S$99=4)*ceee_taux_4enf_ga+(S$99=5)*ceee_taux_5enf_ga+(S$99=6)*ceee_taux_6enf_ga)*MAX(S$14-ceee_abat,0))
+(S$16=2018)*MAX(0,(MIN(S$99*((S$99=1)*ceeeb_taux_1enf_ga+(S$99=2)*ceeeb_taux_2enf_ga+(S$99=3)*ceeeb_taux_3enf_ga+(S$99=4)*ceeeb_taux_4enf_ga+(S$99=5)*ceeeb_taux_5enf_ga+(S$99=6)*ceeeb_taux_6enf_ga)*S$14,S$14-ceeeb_reste_à_vivre)))
+(S$16="inter")*IF(S$14&lt;=ceee_inter_seuil1,
(S$99*((S$99=1)*ceee_taux_1enf_ga+(S$99=2)*ceee_taux_2enf_ga+(S$99=3)*ceee_taux_3enf_ga+(S$99=4)*ceee_taux_4enf_ga+(S$99=5)*ceee_taux_5enf_ga+(S$99=6)*ceee_taux_6enf_ga)*MAX(S$14-ceee_abat,0)),
IF(S$14&gt;=ceee_inter_seuil2,
(MIN(S$99*((S$99=1)*ceeeb_taux_1enf_ga+(S$99=2)*ceeeb_taux_2enf_ga+(S$99=3)*ceeeb_taux_3enf_ga+(S$99=4)*ceeeb_taux_4enf_ga+(S$99=5)*ceeeb_taux_5enf_ga+(S$99=6)*ceeeb_taux_6enf_ga)*S$14,S$14-ceeeb_reste_à_vivre)),
(S$99*((S$99=1)*ceeeb_taux_1enf_ga+(S$99=2)*ceeeb_taux_2enf_ga+(S$99=3)*ceeeb_taux_3enf_ga+(S$99=4)*ceeeb_taux_4enf_ga+(S$99=5)*ceeeb_taux_5enf_ga+(S$99=6)*ceeeb_taux_6enf_ga))*(ceee_inter_coef*S$14+(1-ceee_inter_coef)*ceee_inter_seuil2)
))
),0)*(S$14&gt;=700)</f>
        <v>0</v>
      </c>
      <c r="T52" s="340">
        <f>(T$3="isolé")*IF(T$13="pg",(
(T$16=2010)*(T$99*((T$99=1)*ceee_taux_1enf+(T$99=2)*ceee_taux_2enf+(T$99=3)*ceee_taux_3enf+(T$99=4)*ceee_taux_4enf+(T$99=5)*ceee_taux_5enf+(T$99=6)*ceee_taux_6enf)*MAX(T$14-ceee_abat,0))
+(T$16=2018)*MAX(0,(MIN(T$99*((T$99=1)*ceeeb_taux_1enf+(T$99=2)*ceeeb_taux_2enf+(T$99=3)*ceeeb_taux_3enf+(T$99=4)*ceeeb_taux_4enf+(T$99=5)*ceeeb_taux_5enf+(T$99=6)*ceeeb_taux_6enf)*T$14,T$14-ceeeb_reste_à_vivre)))
+(T$16="inter")*IF(T$14&lt;=ceee_inter_seuil1,
(T$99*((T$99=1)*ceee_taux_1enf+(T$99=2)*ceee_taux_2enf+(T$99=3)*ceee_taux_3enf+(T$99=4)*ceee_taux_4enf+(T$99=5)*ceee_taux_5enf+(T$99=6)*ceee_taux_6enf)*MAX(T$14-ceee_abat,0)),
IF(T$14&gt;=ceee_inter_seuil2,
(MIN(T$99*((T$99=1)*ceeeb_taux_1enf+(T$99=2)*ceeeb_taux_2enf+(T$99=3)*ceeeb_taux_3enf+(T$99=4)*ceeeb_taux_4enf+(T$99=5)*ceeeb_taux_5enf+(T$99=6)*ceeeb_taux_6enf)*T$14,T$14-ceeeb_reste_à_vivre)),
(T$99*((T$99=1)*ceeeb_taux_1enf+(T$99=2)*ceeeb_taux_2enf+(T$99=3)*ceeeb_taux_3enf+(T$99=4)*ceeeb_taux_4enf+(T$99=5)*ceeeb_taux_5enf+(T$99=6)*ceeeb_taux_6enf))*(ceee_inter_coef*T$14+(1-ceee_inter_coef)*ceee_inter_seuil2)
))
),0)*(T$14&gt;=700)
+(T$3="isolé")*IF(T$13="ga_m",(
(T$16=2010)*(T$99*((T$99=1)*ceee_taux_1enf_ga+(T$99=2)*ceee_taux_2enf_ga+(T$99=3)*ceee_taux_3enf_ga+(T$99=4)*ceee_taux_4enf_ga+(T$99=5)*ceee_taux_5enf_ga+(T$99=6)*ceee_taux_6enf_ga)*MAX(T$14-ceee_abat,0))
+(T$16=2018)*MAX(0,(MIN(T$99*((T$99=1)*ceeeb_taux_1enf_ga+(T$99=2)*ceeeb_taux_2enf_ga+(T$99=3)*ceeeb_taux_3enf_ga+(T$99=4)*ceeeb_taux_4enf_ga+(T$99=5)*ceeeb_taux_5enf_ga+(T$99=6)*ceeeb_taux_6enf_ga)*T$14,T$14-ceeeb_reste_à_vivre)))
+(T$16="inter")*IF(T$14&lt;=ceee_inter_seuil1,
(T$99*((T$99=1)*ceee_taux_1enf_ga+(T$99=2)*ceee_taux_2enf_ga+(T$99=3)*ceee_taux_3enf_ga+(T$99=4)*ceee_taux_4enf_ga+(T$99=5)*ceee_taux_5enf_ga+(T$99=6)*ceee_taux_6enf_ga)*MAX(T$14-ceee_abat,0)),
IF(T$14&gt;=ceee_inter_seuil2,
(MIN(T$99*((T$99=1)*ceeeb_taux_1enf_ga+(T$99=2)*ceeeb_taux_2enf_ga+(T$99=3)*ceeeb_taux_3enf_ga+(T$99=4)*ceeeb_taux_4enf_ga+(T$99=5)*ceeeb_taux_5enf_ga+(T$99=6)*ceeeb_taux_6enf_ga)*T$14,T$14-ceeeb_reste_à_vivre)),
(T$99*((T$99=1)*ceeeb_taux_1enf_ga+(T$99=2)*ceeeb_taux_2enf_ga+(T$99=3)*ceeeb_taux_3enf_ga+(T$99=4)*ceeeb_taux_4enf_ga+(T$99=5)*ceeeb_taux_5enf_ga+(T$99=6)*ceeeb_taux_6enf_ga))*(ceee_inter_coef*T$14+(1-ceee_inter_coef)*ceee_inter_seuil2)
))
),0)*(T$14&gt;=700)</f>
        <v>0</v>
      </c>
      <c r="U52" s="340">
        <f>(U$3="isolé")*IF(U$13="pg",(
(U$16=2010)*(U$99*((U$99=1)*ceee_taux_1enf+(U$99=2)*ceee_taux_2enf+(U$99=3)*ceee_taux_3enf+(U$99=4)*ceee_taux_4enf+(U$99=5)*ceee_taux_5enf+(U$99=6)*ceee_taux_6enf)*MAX(U$14-ceee_abat,0))
+(U$16=2018)*MAX(0,(MIN(U$99*((U$99=1)*ceeeb_taux_1enf+(U$99=2)*ceeeb_taux_2enf+(U$99=3)*ceeeb_taux_3enf+(U$99=4)*ceeeb_taux_4enf+(U$99=5)*ceeeb_taux_5enf+(U$99=6)*ceeeb_taux_6enf)*U$14,U$14-ceeeb_reste_à_vivre)))
+(U$16="inter")*IF(U$14&lt;=ceee_inter_seuil1,
(U$99*((U$99=1)*ceee_taux_1enf+(U$99=2)*ceee_taux_2enf+(U$99=3)*ceee_taux_3enf+(U$99=4)*ceee_taux_4enf+(U$99=5)*ceee_taux_5enf+(U$99=6)*ceee_taux_6enf)*MAX(U$14-ceee_abat,0)),
IF(U$14&gt;=ceee_inter_seuil2,
(MIN(U$99*((U$99=1)*ceeeb_taux_1enf+(U$99=2)*ceeeb_taux_2enf+(U$99=3)*ceeeb_taux_3enf+(U$99=4)*ceeeb_taux_4enf+(U$99=5)*ceeeb_taux_5enf+(U$99=6)*ceeeb_taux_6enf)*U$14,U$14-ceeeb_reste_à_vivre)),
(U$99*((U$99=1)*ceeeb_taux_1enf+(U$99=2)*ceeeb_taux_2enf+(U$99=3)*ceeeb_taux_3enf+(U$99=4)*ceeeb_taux_4enf+(U$99=5)*ceeeb_taux_5enf+(U$99=6)*ceeeb_taux_6enf))*(ceee_inter_coef*U$14+(1-ceee_inter_coef)*ceee_inter_seuil2)
))
),0)*(U$14&gt;=700)
+(U$3="isolé")*IF(U$13="ga_m",(
(U$16=2010)*(U$99*((U$99=1)*ceee_taux_1enf_ga+(U$99=2)*ceee_taux_2enf_ga+(U$99=3)*ceee_taux_3enf_ga+(U$99=4)*ceee_taux_4enf_ga+(U$99=5)*ceee_taux_5enf_ga+(U$99=6)*ceee_taux_6enf_ga)*MAX(U$14-ceee_abat,0))
+(U$16=2018)*MAX(0,(MIN(U$99*((U$99=1)*ceeeb_taux_1enf_ga+(U$99=2)*ceeeb_taux_2enf_ga+(U$99=3)*ceeeb_taux_3enf_ga+(U$99=4)*ceeeb_taux_4enf_ga+(U$99=5)*ceeeb_taux_5enf_ga+(U$99=6)*ceeeb_taux_6enf_ga)*U$14,U$14-ceeeb_reste_à_vivre)))
+(U$16="inter")*IF(U$14&lt;=ceee_inter_seuil1,
(U$99*((U$99=1)*ceee_taux_1enf_ga+(U$99=2)*ceee_taux_2enf_ga+(U$99=3)*ceee_taux_3enf_ga+(U$99=4)*ceee_taux_4enf_ga+(U$99=5)*ceee_taux_5enf_ga+(U$99=6)*ceee_taux_6enf_ga)*MAX(U$14-ceee_abat,0)),
IF(U$14&gt;=ceee_inter_seuil2,
(MIN(U$99*((U$99=1)*ceeeb_taux_1enf_ga+(U$99=2)*ceeeb_taux_2enf_ga+(U$99=3)*ceeeb_taux_3enf_ga+(U$99=4)*ceeeb_taux_4enf_ga+(U$99=5)*ceeeb_taux_5enf_ga+(U$99=6)*ceeeb_taux_6enf_ga)*U$14,U$14-ceeeb_reste_à_vivre)),
(U$99*((U$99=1)*ceeeb_taux_1enf_ga+(U$99=2)*ceeeb_taux_2enf_ga+(U$99=3)*ceeeb_taux_3enf_ga+(U$99=4)*ceeeb_taux_4enf_ga+(U$99=5)*ceeeb_taux_5enf_ga+(U$99=6)*ceeeb_taux_6enf_ga))*(ceee_inter_coef*U$14+(1-ceee_inter_coef)*ceee_inter_seuil2)
))
),0)*(U$14&gt;=700)</f>
        <v>0</v>
      </c>
    </row>
    <row r="53" spans="1:21" ht="13" thickBot="1" x14ac:dyDescent="0.3">
      <c r="A53" s="338" t="s">
        <v>422</v>
      </c>
      <c r="B53" s="339"/>
      <c r="C53" s="340">
        <f>(C$3="isolé")*IF(C$13="png",(
(C$16=2010)*(C$99*((C$99=1)*ceee_taux_1enf+(C$99=2)*ceee_taux_2enf+(C$99=3)*ceee_taux_3enf+(C$99=4)*ceee_taux_4enf+(C$99=5)*ceee_taux_5enf+(C$99=6)*ceee_taux_6enf)*MAX(C$58-ceee_abat,0))
+(C$16=2018)*MAX(0,(MIN(C$99*((C$99=1)*ceeeb_taux_1enf+(C$99=2)*ceeeb_taux_2enf+(C$99=3)*ceeeb_taux_3enf+(C$99=4)*ceeeb_taux_4enf+(C$99=5)*ceeeb_taux_5enf+(C$99=6)*ceeeb_taux_6enf)*MAX(C$58,1.035*C$214),C$58-ceeeb_reste_à_vivre)))
+(C$16="inter")*IF(C$58&lt;=ceee_inter_seuil1,
(C$99*((C$99=1)*ceee_taux_1enf+(C$99=2)*ceee_taux_2enf+(C$99=3)*ceee_taux_3enf+(C$99=4)*ceee_taux_4enf+(C$99=5)*ceee_taux_5enf+(C$99=6)*ceee_taux_6enf)*MAX(C$58-ceee_abat,0)),
IF(C$58&gt;=ceee_inter_seuil2,
(MIN(C$99*((C$99=1)*ceeeb_taux_1enf+(C$99=2)*ceeeb_taux_2enf+(C$99=3)*ceeeb_taux_3enf+(C$99=4)*ceeeb_taux_4enf+(C$99=5)*ceeeb_taux_5enf+(C$99=6)*ceeeb_taux_6enf)*C$58,C$58-ceeeb_reste_à_vivre)),
(C$99*((C$99=1)*ceeeb_taux_1enf+(C$99=2)*ceeeb_taux_2enf+(C$99=3)*ceeeb_taux_3enf+(C$99=4)*ceeeb_taux_4enf+(C$99=5)*ceeeb_taux_5enf+(C$99=6)*ceeeb_taux_6enf))*(ceee_inter_coef*C$58+(1-ceee_inter_coef)*ceee_inter_seuil2)
))),0)*(C$58&gt;=700)+
(C$3="isolé")*IF(C$13="ga_p",(
(C$16=2010)*(C$99*((C$99=1)*ceee_taux_1enf_ga+(C$99=2)*ceee_taux_2enf_ga+(C$99=3)*ceee_taux_3enf_ga+(C$99=4)*ceee_taux_4enf_ga+(C$99=5)*ceee_taux_5enf_ga+(C$99=6)*ceee_taux_6enf_ga)*MAX(C$58-ceee_abat,0))
+(C$16=2018)*MAX(0,(MIN(C$99*((C$99=1)*ceeeb_taux_1enf_ga+(C$99=2)*ceeeb_taux_2enf_ga+(C$99=3)*ceeeb_taux_3enf_ga+(C$99=4)*ceeeb_taux_4enf_ga+(C$99=5)*ceeeb_taux_5enf_ga+(C$99=6)*ceeeb_taux_6enf_ga)*C$58,C$58-ceeeb_reste_à_vivre)))
+(C$16="inter")*IF(C$58&lt;=ceee_inter_seuil1,
(C$99*((C$99=1)*ceee_taux_1enf_ga+(C$99=2)*ceee_taux_2enf_ga+(C$99=3)*ceee_taux_3enf_ga+(C$99=4)*ceee_taux_4enf_ga+(C$99=5)*ceee_taux_5enf_ga+(C$99=6)*ceee_taux_6enf_ga)*MAX(C$58-ceee_abat,0)),
IF(C$58&gt;=ceee_inter_seuil2,
(MIN(C$99*((C$99=1)*ceeeb_taux_1enf_ga+(C$99=2)*ceeeb_taux_2enf_ga+(C$99=3)*ceeeb_taux_3enf_ga+(C$99=4)*ceeeb_taux_4enf_ga+(C$99=5)*ceeeb_taux_5enf_ga+(C$99=6)*ceeeb_taux_6enf_ga)*C$58,C$58-ceeeb_reste_à_vivre)),
(C$99*((C$99=1)*ceeeb_taux_1enf_ga+(C$99=2)*ceeeb_taux_2enf_ga+(C$99=3)*ceeeb_taux_3enf_ga+(C$99=4)*ceeeb_taux_4enf_ga+(C$99=5)*ceeeb_taux_5enf_ga+(C$99=6)*ceeeb_taux_6enf_ga))*(ceee_inter_coef*C$58+(1-ceee_inter_coef)*ceee_inter_seuil2)
))),0)*(C$58&gt;=700)</f>
        <v>0</v>
      </c>
      <c r="D53" s="340">
        <f>(D$3="isolé")*IF(D$13="png",(
(D$16=2010)*(D$99*((D$99=1)*ceee_taux_1enf+(D$99=2)*ceee_taux_2enf+(D$99=3)*ceee_taux_3enf+(D$99=4)*ceee_taux_4enf+(D$99=5)*ceee_taux_5enf+(D$99=6)*ceee_taux_6enf)*MAX(D$58-ceee_abat,0))
+(D$16=2018)*MAX(0,(MIN(D$99*((D$99=1)*ceeeb_taux_1enf+(D$99=2)*ceeeb_taux_2enf+(D$99=3)*ceeeb_taux_3enf+(D$99=4)*ceeeb_taux_4enf+(D$99=5)*ceeeb_taux_5enf+(D$99=6)*ceeeb_taux_6enf)*MAX(D$58,1.035*D$214),D$58-ceeeb_reste_à_vivre)))
+(D$16="inter")*IF(D$58&lt;=ceee_inter_seuil1,
(D$99*((D$99=1)*ceee_taux_1enf+(D$99=2)*ceee_taux_2enf+(D$99=3)*ceee_taux_3enf+(D$99=4)*ceee_taux_4enf+(D$99=5)*ceee_taux_5enf+(D$99=6)*ceee_taux_6enf)*MAX(D$58-ceee_abat,0)),
IF(D$58&gt;=ceee_inter_seuil2,
(MIN(D$99*((D$99=1)*ceeeb_taux_1enf+(D$99=2)*ceeeb_taux_2enf+(D$99=3)*ceeeb_taux_3enf+(D$99=4)*ceeeb_taux_4enf+(D$99=5)*ceeeb_taux_5enf+(D$99=6)*ceeeb_taux_6enf)*D$58,D$58-ceeeb_reste_à_vivre)),
(D$99*((D$99=1)*ceeeb_taux_1enf+(D$99=2)*ceeeb_taux_2enf+(D$99=3)*ceeeb_taux_3enf+(D$99=4)*ceeeb_taux_4enf+(D$99=5)*ceeeb_taux_5enf+(D$99=6)*ceeeb_taux_6enf))*(ceee_inter_coef*D$58+(1-ceee_inter_coef)*ceee_inter_seuil2)
))),0)*(D$58&gt;=700)+
(D$3="isolé")*IF(D$13="ga_p",(
(D$16=2010)*(D$99*((D$99=1)*ceee_taux_1enf_ga+(D$99=2)*ceee_taux_2enf_ga+(D$99=3)*ceee_taux_3enf_ga+(D$99=4)*ceee_taux_4enf_ga+(D$99=5)*ceee_taux_5enf_ga+(D$99=6)*ceee_taux_6enf_ga)*MAX(D$58-ceee_abat,0))
+(D$16=2018)*MAX(0,(MIN(D$99*((D$99=1)*ceeeb_taux_1enf_ga+(D$99=2)*ceeeb_taux_2enf_ga+(D$99=3)*ceeeb_taux_3enf_ga+(D$99=4)*ceeeb_taux_4enf_ga+(D$99=5)*ceeeb_taux_5enf_ga+(D$99=6)*ceeeb_taux_6enf_ga)*D$58,D$58-ceeeb_reste_à_vivre)))
+(D$16="inter")*IF(D$58&lt;=ceee_inter_seuil1,
(D$99*((D$99=1)*ceee_taux_1enf_ga+(D$99=2)*ceee_taux_2enf_ga+(D$99=3)*ceee_taux_3enf_ga+(D$99=4)*ceee_taux_4enf_ga+(D$99=5)*ceee_taux_5enf_ga+(D$99=6)*ceee_taux_6enf_ga)*MAX(D$58-ceee_abat,0)),
IF(D$58&gt;=ceee_inter_seuil2,
(MIN(D$99*((D$99=1)*ceeeb_taux_1enf_ga+(D$99=2)*ceeeb_taux_2enf_ga+(D$99=3)*ceeeb_taux_3enf_ga+(D$99=4)*ceeeb_taux_4enf_ga+(D$99=5)*ceeeb_taux_5enf_ga+(D$99=6)*ceeeb_taux_6enf_ga)*D$58,D$58-ceeeb_reste_à_vivre)),
(D$99*((D$99=1)*ceeeb_taux_1enf_ga+(D$99=2)*ceeeb_taux_2enf_ga+(D$99=3)*ceeeb_taux_3enf_ga+(D$99=4)*ceeeb_taux_4enf_ga+(D$99=5)*ceeeb_taux_5enf_ga+(D$99=6)*ceeeb_taux_6enf_ga))*(ceee_inter_coef*D$58+(1-ceee_inter_coef)*ceee_inter_seuil2)
))),0)*(D$58&gt;=700)</f>
        <v>0</v>
      </c>
      <c r="E53" s="340">
        <f>(E$3="isolé")*IF(E$13="png",(
(E$16=2010)*(E$99*((E$99=1)*ceee_taux_1enf+(E$99=2)*ceee_taux_2enf+(E$99=3)*ceee_taux_3enf+(E$99=4)*ceee_taux_4enf+(E$99=5)*ceee_taux_5enf+(E$99=6)*ceee_taux_6enf)*MAX(E$58-ceee_abat,0))
+(E$16=2018)*MAX(0,(MIN(E$99*((E$99=1)*ceeeb_taux_1enf+(E$99=2)*ceeeb_taux_2enf+(E$99=3)*ceeeb_taux_3enf+(E$99=4)*ceeeb_taux_4enf+(E$99=5)*ceeeb_taux_5enf+(E$99=6)*ceeeb_taux_6enf)*MAX(E$58,1.035*E$214),E$58-ceeeb_reste_à_vivre)))
+(E$16="inter")*IF(E$58&lt;=ceee_inter_seuil1,
(E$99*((E$99=1)*ceee_taux_1enf+(E$99=2)*ceee_taux_2enf+(E$99=3)*ceee_taux_3enf+(E$99=4)*ceee_taux_4enf+(E$99=5)*ceee_taux_5enf+(E$99=6)*ceee_taux_6enf)*MAX(E$58-ceee_abat,0)),
IF(E$58&gt;=ceee_inter_seuil2,
(MIN(E$99*((E$99=1)*ceeeb_taux_1enf+(E$99=2)*ceeeb_taux_2enf+(E$99=3)*ceeeb_taux_3enf+(E$99=4)*ceeeb_taux_4enf+(E$99=5)*ceeeb_taux_5enf+(E$99=6)*ceeeb_taux_6enf)*E$58,E$58-ceeeb_reste_à_vivre)),
(E$99*((E$99=1)*ceeeb_taux_1enf+(E$99=2)*ceeeb_taux_2enf+(E$99=3)*ceeeb_taux_3enf+(E$99=4)*ceeeb_taux_4enf+(E$99=5)*ceeeb_taux_5enf+(E$99=6)*ceeeb_taux_6enf))*(ceee_inter_coef*E$58+(1-ceee_inter_coef)*ceee_inter_seuil2)
))),0)*(E$58&gt;=700)+
(E$3="isolé")*IF(E$13="ga_p",(
(E$16=2010)*(E$99*((E$99=1)*ceee_taux_1enf_ga+(E$99=2)*ceee_taux_2enf_ga+(E$99=3)*ceee_taux_3enf_ga+(E$99=4)*ceee_taux_4enf_ga+(E$99=5)*ceee_taux_5enf_ga+(E$99=6)*ceee_taux_6enf_ga)*MAX(E$58-ceee_abat,0))
+(E$16=2018)*MAX(0,(MIN(E$99*((E$99=1)*ceeeb_taux_1enf_ga+(E$99=2)*ceeeb_taux_2enf_ga+(E$99=3)*ceeeb_taux_3enf_ga+(E$99=4)*ceeeb_taux_4enf_ga+(E$99=5)*ceeeb_taux_5enf_ga+(E$99=6)*ceeeb_taux_6enf_ga)*E$58,E$58-ceeeb_reste_à_vivre)))
+(E$16="inter")*IF(E$58&lt;=ceee_inter_seuil1,
(E$99*((E$99=1)*ceee_taux_1enf_ga+(E$99=2)*ceee_taux_2enf_ga+(E$99=3)*ceee_taux_3enf_ga+(E$99=4)*ceee_taux_4enf_ga+(E$99=5)*ceee_taux_5enf_ga+(E$99=6)*ceee_taux_6enf_ga)*MAX(E$58-ceee_abat,0)),
IF(E$58&gt;=ceee_inter_seuil2,
(MIN(E$99*((E$99=1)*ceeeb_taux_1enf_ga+(E$99=2)*ceeeb_taux_2enf_ga+(E$99=3)*ceeeb_taux_3enf_ga+(E$99=4)*ceeeb_taux_4enf_ga+(E$99=5)*ceeeb_taux_5enf_ga+(E$99=6)*ceeeb_taux_6enf_ga)*E$58,E$58-ceeeb_reste_à_vivre)),
(E$99*((E$99=1)*ceeeb_taux_1enf_ga+(E$99=2)*ceeeb_taux_2enf_ga+(E$99=3)*ceeeb_taux_3enf_ga+(E$99=4)*ceeeb_taux_4enf_ga+(E$99=5)*ceeeb_taux_5enf_ga+(E$99=6)*ceeeb_taux_6enf_ga))*(ceee_inter_coef*E$58+(1-ceee_inter_coef)*ceee_inter_seuil2)
))),0)*(E$58&gt;=700)</f>
        <v>0</v>
      </c>
      <c r="F53" s="340">
        <f>(F$3="isolé")*IF(F$13="png",(
(F$16=2010)*(F$99*((F$99=1)*ceee_taux_1enf+(F$99=2)*ceee_taux_2enf+(F$99=3)*ceee_taux_3enf+(F$99=4)*ceee_taux_4enf+(F$99=5)*ceee_taux_5enf+(F$99=6)*ceee_taux_6enf)*MAX(F$58-ceee_abat,0))
+(F$16=2018)*MAX(0,(MIN(F$99*((F$99=1)*ceeeb_taux_1enf+(F$99=2)*ceeeb_taux_2enf+(F$99=3)*ceeeb_taux_3enf+(F$99=4)*ceeeb_taux_4enf+(F$99=5)*ceeeb_taux_5enf+(F$99=6)*ceeeb_taux_6enf)*MAX(F$58,1.035*F$214),F$58-ceeeb_reste_à_vivre)))
+(F$16="inter")*IF(F$58&lt;=ceee_inter_seuil1,
(F$99*((F$99=1)*ceee_taux_1enf+(F$99=2)*ceee_taux_2enf+(F$99=3)*ceee_taux_3enf+(F$99=4)*ceee_taux_4enf+(F$99=5)*ceee_taux_5enf+(F$99=6)*ceee_taux_6enf)*MAX(F$58-ceee_abat,0)),
IF(F$58&gt;=ceee_inter_seuil2,
(MIN(F$99*((F$99=1)*ceeeb_taux_1enf+(F$99=2)*ceeeb_taux_2enf+(F$99=3)*ceeeb_taux_3enf+(F$99=4)*ceeeb_taux_4enf+(F$99=5)*ceeeb_taux_5enf+(F$99=6)*ceeeb_taux_6enf)*F$58,F$58-ceeeb_reste_à_vivre)),
(F$99*((F$99=1)*ceeeb_taux_1enf+(F$99=2)*ceeeb_taux_2enf+(F$99=3)*ceeeb_taux_3enf+(F$99=4)*ceeeb_taux_4enf+(F$99=5)*ceeeb_taux_5enf+(F$99=6)*ceeeb_taux_6enf))*(ceee_inter_coef*F$58+(1-ceee_inter_coef)*ceee_inter_seuil2)
))),0)*(F$58&gt;=700)+
(F$3="isolé")*IF(F$13="ga_p",(
(F$16=2010)*(F$99*((F$99=1)*ceee_taux_1enf_ga+(F$99=2)*ceee_taux_2enf_ga+(F$99=3)*ceee_taux_3enf_ga+(F$99=4)*ceee_taux_4enf_ga+(F$99=5)*ceee_taux_5enf_ga+(F$99=6)*ceee_taux_6enf_ga)*MAX(F$58-ceee_abat,0))
+(F$16=2018)*MAX(0,(MIN(F$99*((F$99=1)*ceeeb_taux_1enf_ga+(F$99=2)*ceeeb_taux_2enf_ga+(F$99=3)*ceeeb_taux_3enf_ga+(F$99=4)*ceeeb_taux_4enf_ga+(F$99=5)*ceeeb_taux_5enf_ga+(F$99=6)*ceeeb_taux_6enf_ga)*F$58,F$58-ceeeb_reste_à_vivre)))
+(F$16="inter")*IF(F$58&lt;=ceee_inter_seuil1,
(F$99*((F$99=1)*ceee_taux_1enf_ga+(F$99=2)*ceee_taux_2enf_ga+(F$99=3)*ceee_taux_3enf_ga+(F$99=4)*ceee_taux_4enf_ga+(F$99=5)*ceee_taux_5enf_ga+(F$99=6)*ceee_taux_6enf_ga)*MAX(F$58-ceee_abat,0)),
IF(F$58&gt;=ceee_inter_seuil2,
(MIN(F$99*((F$99=1)*ceeeb_taux_1enf_ga+(F$99=2)*ceeeb_taux_2enf_ga+(F$99=3)*ceeeb_taux_3enf_ga+(F$99=4)*ceeeb_taux_4enf_ga+(F$99=5)*ceeeb_taux_5enf_ga+(F$99=6)*ceeeb_taux_6enf_ga)*F$58,F$58-ceeeb_reste_à_vivre)),
(F$99*((F$99=1)*ceeeb_taux_1enf_ga+(F$99=2)*ceeeb_taux_2enf_ga+(F$99=3)*ceeeb_taux_3enf_ga+(F$99=4)*ceeeb_taux_4enf_ga+(F$99=5)*ceeeb_taux_5enf_ga+(F$99=6)*ceeeb_taux_6enf_ga))*(ceee_inter_coef*F$58+(1-ceee_inter_coef)*ceee_inter_seuil2)
))),0)*(F$58&gt;=700)</f>
        <v>0</v>
      </c>
      <c r="H53" s="340">
        <f>(H$3="isolé")*IF(H$13="png",(
(H$16=2010)*(H$99*((H$99=1)*ceee_taux_1enf+(H$99=2)*ceee_taux_2enf+(H$99=3)*ceee_taux_3enf+(H$99=4)*ceee_taux_4enf+(H$99=5)*ceee_taux_5enf+(H$99=6)*ceee_taux_6enf)*MAX(H$58-ceee_abat,0))
+(H$16=2018)*MAX(0,(MIN(H$99*((H$99=1)*ceeeb_taux_1enf+(H$99=2)*ceeeb_taux_2enf+(H$99=3)*ceeeb_taux_3enf+(H$99=4)*ceeeb_taux_4enf+(H$99=5)*ceeeb_taux_5enf+(H$99=6)*ceeeb_taux_6enf)*MAX(H$58,1.035*H$214),H$58-ceeeb_reste_à_vivre)))
+(H$16="inter")*IF(H$58&lt;=ceee_inter_seuil1,
(H$99*((H$99=1)*ceee_taux_1enf+(H$99=2)*ceee_taux_2enf+(H$99=3)*ceee_taux_3enf+(H$99=4)*ceee_taux_4enf+(H$99=5)*ceee_taux_5enf+(H$99=6)*ceee_taux_6enf)*MAX(H$58-ceee_abat,0)),
IF(H$58&gt;=ceee_inter_seuil2,
(MIN(H$99*((H$99=1)*ceeeb_taux_1enf+(H$99=2)*ceeeb_taux_2enf+(H$99=3)*ceeeb_taux_3enf+(H$99=4)*ceeeb_taux_4enf+(H$99=5)*ceeeb_taux_5enf+(H$99=6)*ceeeb_taux_6enf)*H$58,H$58-ceeeb_reste_à_vivre)),
(H$99*((H$99=1)*ceeeb_taux_1enf+(H$99=2)*ceeeb_taux_2enf+(H$99=3)*ceeeb_taux_3enf+(H$99=4)*ceeeb_taux_4enf+(H$99=5)*ceeeb_taux_5enf+(H$99=6)*ceeeb_taux_6enf))*(ceee_inter_coef*H$58+(1-ceee_inter_coef)*ceee_inter_seuil2)
))),0)*(H$58&gt;=700)+
(H$3="isolé")*IF(H$13="ga_p",(
(H$16=2010)*(H$99*((H$99=1)*ceee_taux_1enf_ga+(H$99=2)*ceee_taux_2enf_ga+(H$99=3)*ceee_taux_3enf_ga+(H$99=4)*ceee_taux_4enf_ga+(H$99=5)*ceee_taux_5enf_ga+(H$99=6)*ceee_taux_6enf_ga)*MAX(H$58-ceee_abat,0))
+(H$16=2018)*MAX(0,(MIN(H$99*((H$99=1)*ceeeb_taux_1enf_ga+(H$99=2)*ceeeb_taux_2enf_ga+(H$99=3)*ceeeb_taux_3enf_ga+(H$99=4)*ceeeb_taux_4enf_ga+(H$99=5)*ceeeb_taux_5enf_ga+(H$99=6)*ceeeb_taux_6enf_ga)*H$58,H$58-ceeeb_reste_à_vivre)))
+(H$16="inter")*IF(H$58&lt;=ceee_inter_seuil1,
(H$99*((H$99=1)*ceee_taux_1enf_ga+(H$99=2)*ceee_taux_2enf_ga+(H$99=3)*ceee_taux_3enf_ga+(H$99=4)*ceee_taux_4enf_ga+(H$99=5)*ceee_taux_5enf_ga+(H$99=6)*ceee_taux_6enf_ga)*MAX(H$58-ceee_abat,0)),
IF(H$58&gt;=ceee_inter_seuil2,
(MIN(H$99*((H$99=1)*ceeeb_taux_1enf_ga+(H$99=2)*ceeeb_taux_2enf_ga+(H$99=3)*ceeeb_taux_3enf_ga+(H$99=4)*ceeeb_taux_4enf_ga+(H$99=5)*ceeeb_taux_5enf_ga+(H$99=6)*ceeeb_taux_6enf_ga)*H$58,H$58-ceeeb_reste_à_vivre)),
(H$99*((H$99=1)*ceeeb_taux_1enf_ga+(H$99=2)*ceeeb_taux_2enf_ga+(H$99=3)*ceeeb_taux_3enf_ga+(H$99=4)*ceeeb_taux_4enf_ga+(H$99=5)*ceeeb_taux_5enf_ga+(H$99=6)*ceeeb_taux_6enf_ga))*(ceee_inter_coef*H$58+(1-ceee_inter_coef)*ceee_inter_seuil2)
))),0)*(H$58&gt;=700)</f>
        <v>0</v>
      </c>
      <c r="I53" s="340">
        <f>(I$3="isolé")*IF(I$13="png",(
(I$16=2010)*(I$99*((I$99=1)*ceee_taux_1enf+(I$99=2)*ceee_taux_2enf+(I$99=3)*ceee_taux_3enf+(I$99=4)*ceee_taux_4enf+(I$99=5)*ceee_taux_5enf+(I$99=6)*ceee_taux_6enf)*MAX(I$58-ceee_abat,0))
+(I$16=2018)*MAX(0,(MIN(I$99*((I$99=1)*ceeeb_taux_1enf+(I$99=2)*ceeeb_taux_2enf+(I$99=3)*ceeeb_taux_3enf+(I$99=4)*ceeeb_taux_4enf+(I$99=5)*ceeeb_taux_5enf+(I$99=6)*ceeeb_taux_6enf)*MAX(I$58,1.035*I$214),I$58-ceeeb_reste_à_vivre)))
+(I$16="inter")*IF(I$58&lt;=ceee_inter_seuil1,
(I$99*((I$99=1)*ceee_taux_1enf+(I$99=2)*ceee_taux_2enf+(I$99=3)*ceee_taux_3enf+(I$99=4)*ceee_taux_4enf+(I$99=5)*ceee_taux_5enf+(I$99=6)*ceee_taux_6enf)*MAX(I$58-ceee_abat,0)),
IF(I$58&gt;=ceee_inter_seuil2,
(MIN(I$99*((I$99=1)*ceeeb_taux_1enf+(I$99=2)*ceeeb_taux_2enf+(I$99=3)*ceeeb_taux_3enf+(I$99=4)*ceeeb_taux_4enf+(I$99=5)*ceeeb_taux_5enf+(I$99=6)*ceeeb_taux_6enf)*I$58,I$58-ceeeb_reste_à_vivre)),
(I$99*((I$99=1)*ceeeb_taux_1enf+(I$99=2)*ceeeb_taux_2enf+(I$99=3)*ceeeb_taux_3enf+(I$99=4)*ceeeb_taux_4enf+(I$99=5)*ceeeb_taux_5enf+(I$99=6)*ceeeb_taux_6enf))*(ceee_inter_coef*I$58+(1-ceee_inter_coef)*ceee_inter_seuil2)
))),0)*(I$58&gt;=700)+
(I$3="isolé")*IF(I$13="ga_p",(
(I$16=2010)*(I$99*((I$99=1)*ceee_taux_1enf_ga+(I$99=2)*ceee_taux_2enf_ga+(I$99=3)*ceee_taux_3enf_ga+(I$99=4)*ceee_taux_4enf_ga+(I$99=5)*ceee_taux_5enf_ga+(I$99=6)*ceee_taux_6enf_ga)*MAX(I$58-ceee_abat,0))
+(I$16=2018)*MAX(0,(MIN(I$99*((I$99=1)*ceeeb_taux_1enf_ga+(I$99=2)*ceeeb_taux_2enf_ga+(I$99=3)*ceeeb_taux_3enf_ga+(I$99=4)*ceeeb_taux_4enf_ga+(I$99=5)*ceeeb_taux_5enf_ga+(I$99=6)*ceeeb_taux_6enf_ga)*I$58,I$58-ceeeb_reste_à_vivre)))
+(I$16="inter")*IF(I$58&lt;=ceee_inter_seuil1,
(I$99*((I$99=1)*ceee_taux_1enf_ga+(I$99=2)*ceee_taux_2enf_ga+(I$99=3)*ceee_taux_3enf_ga+(I$99=4)*ceee_taux_4enf_ga+(I$99=5)*ceee_taux_5enf_ga+(I$99=6)*ceee_taux_6enf_ga)*MAX(I$58-ceee_abat,0)),
IF(I$58&gt;=ceee_inter_seuil2,
(MIN(I$99*((I$99=1)*ceeeb_taux_1enf_ga+(I$99=2)*ceeeb_taux_2enf_ga+(I$99=3)*ceeeb_taux_3enf_ga+(I$99=4)*ceeeb_taux_4enf_ga+(I$99=5)*ceeeb_taux_5enf_ga+(I$99=6)*ceeeb_taux_6enf_ga)*I$58,I$58-ceeeb_reste_à_vivre)),
(I$99*((I$99=1)*ceeeb_taux_1enf_ga+(I$99=2)*ceeeb_taux_2enf_ga+(I$99=3)*ceeeb_taux_3enf_ga+(I$99=4)*ceeeb_taux_4enf_ga+(I$99=5)*ceeeb_taux_5enf_ga+(I$99=6)*ceeeb_taux_6enf_ga))*(ceee_inter_coef*I$58+(1-ceee_inter_coef)*ceee_inter_seuil2)
))),0)*(I$58&gt;=700)</f>
        <v>0</v>
      </c>
      <c r="J53" s="340">
        <f>(J$3="isolé")*IF(J$13="png",(
(J$16=2010)*(J$99*((J$99=1)*ceee_taux_1enf+(J$99=2)*ceee_taux_2enf+(J$99=3)*ceee_taux_3enf+(J$99=4)*ceee_taux_4enf+(J$99=5)*ceee_taux_5enf+(J$99=6)*ceee_taux_6enf)*MAX(J$58-ceee_abat,0))
+(J$16=2018)*MAX(0,(MIN(J$99*((J$99=1)*ceeeb_taux_1enf+(J$99=2)*ceeeb_taux_2enf+(J$99=3)*ceeeb_taux_3enf+(J$99=4)*ceeeb_taux_4enf+(J$99=5)*ceeeb_taux_5enf+(J$99=6)*ceeeb_taux_6enf)*MAX(J$58,1.035*J$214),J$58-ceeeb_reste_à_vivre)))
+(J$16="inter")*IF(J$58&lt;=ceee_inter_seuil1,
(J$99*((J$99=1)*ceee_taux_1enf+(J$99=2)*ceee_taux_2enf+(J$99=3)*ceee_taux_3enf+(J$99=4)*ceee_taux_4enf+(J$99=5)*ceee_taux_5enf+(J$99=6)*ceee_taux_6enf)*MAX(J$58-ceee_abat,0)),
IF(J$58&gt;=ceee_inter_seuil2,
(MIN(J$99*((J$99=1)*ceeeb_taux_1enf+(J$99=2)*ceeeb_taux_2enf+(J$99=3)*ceeeb_taux_3enf+(J$99=4)*ceeeb_taux_4enf+(J$99=5)*ceeeb_taux_5enf+(J$99=6)*ceeeb_taux_6enf)*J$58,J$58-ceeeb_reste_à_vivre)),
(J$99*((J$99=1)*ceeeb_taux_1enf+(J$99=2)*ceeeb_taux_2enf+(J$99=3)*ceeeb_taux_3enf+(J$99=4)*ceeeb_taux_4enf+(J$99=5)*ceeeb_taux_5enf+(J$99=6)*ceeeb_taux_6enf))*(ceee_inter_coef*J$58+(1-ceee_inter_coef)*ceee_inter_seuil2)
))),0)*(J$58&gt;=700)+
(J$3="isolé")*IF(J$13="ga_p",(
(J$16=2010)*(J$99*((J$99=1)*ceee_taux_1enf_ga+(J$99=2)*ceee_taux_2enf_ga+(J$99=3)*ceee_taux_3enf_ga+(J$99=4)*ceee_taux_4enf_ga+(J$99=5)*ceee_taux_5enf_ga+(J$99=6)*ceee_taux_6enf_ga)*MAX(J$58-ceee_abat,0))
+(J$16=2018)*MAX(0,(MIN(J$99*((J$99=1)*ceeeb_taux_1enf_ga+(J$99=2)*ceeeb_taux_2enf_ga+(J$99=3)*ceeeb_taux_3enf_ga+(J$99=4)*ceeeb_taux_4enf_ga+(J$99=5)*ceeeb_taux_5enf_ga+(J$99=6)*ceeeb_taux_6enf_ga)*J$58,J$58-ceeeb_reste_à_vivre)))
+(J$16="inter")*IF(J$58&lt;=ceee_inter_seuil1,
(J$99*((J$99=1)*ceee_taux_1enf_ga+(J$99=2)*ceee_taux_2enf_ga+(J$99=3)*ceee_taux_3enf_ga+(J$99=4)*ceee_taux_4enf_ga+(J$99=5)*ceee_taux_5enf_ga+(J$99=6)*ceee_taux_6enf_ga)*MAX(J$58-ceee_abat,0)),
IF(J$58&gt;=ceee_inter_seuil2,
(MIN(J$99*((J$99=1)*ceeeb_taux_1enf_ga+(J$99=2)*ceeeb_taux_2enf_ga+(J$99=3)*ceeeb_taux_3enf_ga+(J$99=4)*ceeeb_taux_4enf_ga+(J$99=5)*ceeeb_taux_5enf_ga+(J$99=6)*ceeeb_taux_6enf_ga)*J$58,J$58-ceeeb_reste_à_vivre)),
(J$99*((J$99=1)*ceeeb_taux_1enf_ga+(J$99=2)*ceeeb_taux_2enf_ga+(J$99=3)*ceeeb_taux_3enf_ga+(J$99=4)*ceeeb_taux_4enf_ga+(J$99=5)*ceeeb_taux_5enf_ga+(J$99=6)*ceeeb_taux_6enf_ga))*(ceee_inter_coef*J$58+(1-ceee_inter_coef)*ceee_inter_seuil2)
))),0)*(J$58&gt;=700)</f>
        <v>0</v>
      </c>
      <c r="K53" s="340">
        <f>(K$3="isolé")*IF(K$13="png",(
(K$16=2010)*(K$99*((K$99=1)*ceee_taux_1enf+(K$99=2)*ceee_taux_2enf+(K$99=3)*ceee_taux_3enf+(K$99=4)*ceee_taux_4enf+(K$99=5)*ceee_taux_5enf+(K$99=6)*ceee_taux_6enf)*MAX(K$58-ceee_abat,0))
+(K$16=2018)*MAX(0,(MIN(K$99*((K$99=1)*ceeeb_taux_1enf+(K$99=2)*ceeeb_taux_2enf+(K$99=3)*ceeeb_taux_3enf+(K$99=4)*ceeeb_taux_4enf+(K$99=5)*ceeeb_taux_5enf+(K$99=6)*ceeeb_taux_6enf)*MAX(K$58,1.035*K$214),K$58-ceeeb_reste_à_vivre)))
+(K$16="inter")*IF(K$58&lt;=ceee_inter_seuil1,
(K$99*((K$99=1)*ceee_taux_1enf+(K$99=2)*ceee_taux_2enf+(K$99=3)*ceee_taux_3enf+(K$99=4)*ceee_taux_4enf+(K$99=5)*ceee_taux_5enf+(K$99=6)*ceee_taux_6enf)*MAX(K$58-ceee_abat,0)),
IF(K$58&gt;=ceee_inter_seuil2,
(MIN(K$99*((K$99=1)*ceeeb_taux_1enf+(K$99=2)*ceeeb_taux_2enf+(K$99=3)*ceeeb_taux_3enf+(K$99=4)*ceeeb_taux_4enf+(K$99=5)*ceeeb_taux_5enf+(K$99=6)*ceeeb_taux_6enf)*K$58,K$58-ceeeb_reste_à_vivre)),
(K$99*((K$99=1)*ceeeb_taux_1enf+(K$99=2)*ceeeb_taux_2enf+(K$99=3)*ceeeb_taux_3enf+(K$99=4)*ceeeb_taux_4enf+(K$99=5)*ceeeb_taux_5enf+(K$99=6)*ceeeb_taux_6enf))*(ceee_inter_coef*K$58+(1-ceee_inter_coef)*ceee_inter_seuil2)
))),0)*(K$58&gt;=700)+
(K$3="isolé")*IF(K$13="ga_p",(
(K$16=2010)*(K$99*((K$99=1)*ceee_taux_1enf_ga+(K$99=2)*ceee_taux_2enf_ga+(K$99=3)*ceee_taux_3enf_ga+(K$99=4)*ceee_taux_4enf_ga+(K$99=5)*ceee_taux_5enf_ga+(K$99=6)*ceee_taux_6enf_ga)*MAX(K$58-ceee_abat,0))
+(K$16=2018)*MAX(0,(MIN(K$99*((K$99=1)*ceeeb_taux_1enf_ga+(K$99=2)*ceeeb_taux_2enf_ga+(K$99=3)*ceeeb_taux_3enf_ga+(K$99=4)*ceeeb_taux_4enf_ga+(K$99=5)*ceeeb_taux_5enf_ga+(K$99=6)*ceeeb_taux_6enf_ga)*K$58,K$58-ceeeb_reste_à_vivre)))
+(K$16="inter")*IF(K$58&lt;=ceee_inter_seuil1,
(K$99*((K$99=1)*ceee_taux_1enf_ga+(K$99=2)*ceee_taux_2enf_ga+(K$99=3)*ceee_taux_3enf_ga+(K$99=4)*ceee_taux_4enf_ga+(K$99=5)*ceee_taux_5enf_ga+(K$99=6)*ceee_taux_6enf_ga)*MAX(K$58-ceee_abat,0)),
IF(K$58&gt;=ceee_inter_seuil2,
(MIN(K$99*((K$99=1)*ceeeb_taux_1enf_ga+(K$99=2)*ceeeb_taux_2enf_ga+(K$99=3)*ceeeb_taux_3enf_ga+(K$99=4)*ceeeb_taux_4enf_ga+(K$99=5)*ceeeb_taux_5enf_ga+(K$99=6)*ceeeb_taux_6enf_ga)*K$58,K$58-ceeeb_reste_à_vivre)),
(K$99*((K$99=1)*ceeeb_taux_1enf_ga+(K$99=2)*ceeeb_taux_2enf_ga+(K$99=3)*ceeeb_taux_3enf_ga+(K$99=4)*ceeeb_taux_4enf_ga+(K$99=5)*ceeeb_taux_5enf_ga+(K$99=6)*ceeeb_taux_6enf_ga))*(ceee_inter_coef*K$58+(1-ceee_inter_coef)*ceee_inter_seuil2)
))),0)*(K$58&gt;=700)</f>
        <v>0</v>
      </c>
      <c r="M53" s="340">
        <f>(M$3="isolé")*IF(M$13="png",(
(M$16=2010)*(M$99*((M$99=1)*ceee_taux_1enf+(M$99=2)*ceee_taux_2enf+(M$99=3)*ceee_taux_3enf+(M$99=4)*ceee_taux_4enf+(M$99=5)*ceee_taux_5enf+(M$99=6)*ceee_taux_6enf)*MAX(M$58-ceee_abat,0))
+(M$16=2018)*MAX(0,(MIN(M$99*((M$99=1)*ceeeb_taux_1enf+(M$99=2)*ceeeb_taux_2enf+(M$99=3)*ceeeb_taux_3enf+(M$99=4)*ceeeb_taux_4enf+(M$99=5)*ceeeb_taux_5enf+(M$99=6)*ceeeb_taux_6enf)*MAX(M$58,1.035*M$214),M$58-ceeeb_reste_à_vivre)))
+(M$16="inter")*IF(M$58&lt;=ceee_inter_seuil1,
(M$99*((M$99=1)*ceee_taux_1enf+(M$99=2)*ceee_taux_2enf+(M$99=3)*ceee_taux_3enf+(M$99=4)*ceee_taux_4enf+(M$99=5)*ceee_taux_5enf+(M$99=6)*ceee_taux_6enf)*MAX(M$58-ceee_abat,0)),
IF(M$58&gt;=ceee_inter_seuil2,
(MIN(M$99*((M$99=1)*ceeeb_taux_1enf+(M$99=2)*ceeeb_taux_2enf+(M$99=3)*ceeeb_taux_3enf+(M$99=4)*ceeeb_taux_4enf+(M$99=5)*ceeeb_taux_5enf+(M$99=6)*ceeeb_taux_6enf)*M$58,M$58-ceeeb_reste_à_vivre)),
(M$99*((M$99=1)*ceeeb_taux_1enf+(M$99=2)*ceeeb_taux_2enf+(M$99=3)*ceeeb_taux_3enf+(M$99=4)*ceeeb_taux_4enf+(M$99=5)*ceeeb_taux_5enf+(M$99=6)*ceeeb_taux_6enf))*(ceee_inter_coef*M$58+(1-ceee_inter_coef)*ceee_inter_seuil2)
))),0)*(M$58&gt;=700)+
(M$3="isolé")*IF(M$13="ga_p",(
(M$16=2010)*(M$99*((M$99=1)*ceee_taux_1enf_ga+(M$99=2)*ceee_taux_2enf_ga+(M$99=3)*ceee_taux_3enf_ga+(M$99=4)*ceee_taux_4enf_ga+(M$99=5)*ceee_taux_5enf_ga+(M$99=6)*ceee_taux_6enf_ga)*MAX(M$58-ceee_abat,0))
+(M$16=2018)*MAX(0,(MIN(M$99*((M$99=1)*ceeeb_taux_1enf_ga+(M$99=2)*ceeeb_taux_2enf_ga+(M$99=3)*ceeeb_taux_3enf_ga+(M$99=4)*ceeeb_taux_4enf_ga+(M$99=5)*ceeeb_taux_5enf_ga+(M$99=6)*ceeeb_taux_6enf_ga)*M$58,M$58-ceeeb_reste_à_vivre)))
+(M$16="inter")*IF(M$58&lt;=ceee_inter_seuil1,
(M$99*((M$99=1)*ceee_taux_1enf_ga+(M$99=2)*ceee_taux_2enf_ga+(M$99=3)*ceee_taux_3enf_ga+(M$99=4)*ceee_taux_4enf_ga+(M$99=5)*ceee_taux_5enf_ga+(M$99=6)*ceee_taux_6enf_ga)*MAX(M$58-ceee_abat,0)),
IF(M$58&gt;=ceee_inter_seuil2,
(MIN(M$99*((M$99=1)*ceeeb_taux_1enf_ga+(M$99=2)*ceeeb_taux_2enf_ga+(M$99=3)*ceeeb_taux_3enf_ga+(M$99=4)*ceeeb_taux_4enf_ga+(M$99=5)*ceeeb_taux_5enf_ga+(M$99=6)*ceeeb_taux_6enf_ga)*M$58,M$58-ceeeb_reste_à_vivre)),
(M$99*((M$99=1)*ceeeb_taux_1enf_ga+(M$99=2)*ceeeb_taux_2enf_ga+(M$99=3)*ceeeb_taux_3enf_ga+(M$99=4)*ceeeb_taux_4enf_ga+(M$99=5)*ceeeb_taux_5enf_ga+(M$99=6)*ceeeb_taux_6enf_ga))*(ceee_inter_coef*M$58+(1-ceee_inter_coef)*ceee_inter_seuil2)
))),0)*(M$58&gt;=700)</f>
        <v>0</v>
      </c>
      <c r="N53" s="340">
        <f>(N$3="isolé")*IF(N$13="png",(
(N$16=2010)*(N$99*((N$99=1)*ceee_taux_1enf+(N$99=2)*ceee_taux_2enf+(N$99=3)*ceee_taux_3enf+(N$99=4)*ceee_taux_4enf+(N$99=5)*ceee_taux_5enf+(N$99=6)*ceee_taux_6enf)*MAX(N$58-ceee_abat,0))
+(N$16=2018)*MAX(0,(MIN(N$99*((N$99=1)*ceeeb_taux_1enf+(N$99=2)*ceeeb_taux_2enf+(N$99=3)*ceeeb_taux_3enf+(N$99=4)*ceeeb_taux_4enf+(N$99=5)*ceeeb_taux_5enf+(N$99=6)*ceeeb_taux_6enf)*MAX(N$58,1.035*N$214),N$58-ceeeb_reste_à_vivre)))
+(N$16="inter")*IF(N$58&lt;=ceee_inter_seuil1,
(N$99*((N$99=1)*ceee_taux_1enf+(N$99=2)*ceee_taux_2enf+(N$99=3)*ceee_taux_3enf+(N$99=4)*ceee_taux_4enf+(N$99=5)*ceee_taux_5enf+(N$99=6)*ceee_taux_6enf)*MAX(N$58-ceee_abat,0)),
IF(N$58&gt;=ceee_inter_seuil2,
(MIN(N$99*((N$99=1)*ceeeb_taux_1enf+(N$99=2)*ceeeb_taux_2enf+(N$99=3)*ceeeb_taux_3enf+(N$99=4)*ceeeb_taux_4enf+(N$99=5)*ceeeb_taux_5enf+(N$99=6)*ceeeb_taux_6enf)*N$58,N$58-ceeeb_reste_à_vivre)),
(N$99*((N$99=1)*ceeeb_taux_1enf+(N$99=2)*ceeeb_taux_2enf+(N$99=3)*ceeeb_taux_3enf+(N$99=4)*ceeeb_taux_4enf+(N$99=5)*ceeeb_taux_5enf+(N$99=6)*ceeeb_taux_6enf))*(ceee_inter_coef*N$58+(1-ceee_inter_coef)*ceee_inter_seuil2)
))),0)*(N$58&gt;=700)+
(N$3="isolé")*IF(N$13="ga_p",(
(N$16=2010)*(N$99*((N$99=1)*ceee_taux_1enf_ga+(N$99=2)*ceee_taux_2enf_ga+(N$99=3)*ceee_taux_3enf_ga+(N$99=4)*ceee_taux_4enf_ga+(N$99=5)*ceee_taux_5enf_ga+(N$99=6)*ceee_taux_6enf_ga)*MAX(N$58-ceee_abat,0))
+(N$16=2018)*MAX(0,(MIN(N$99*((N$99=1)*ceeeb_taux_1enf_ga+(N$99=2)*ceeeb_taux_2enf_ga+(N$99=3)*ceeeb_taux_3enf_ga+(N$99=4)*ceeeb_taux_4enf_ga+(N$99=5)*ceeeb_taux_5enf_ga+(N$99=6)*ceeeb_taux_6enf_ga)*N$58,N$58-ceeeb_reste_à_vivre)))
+(N$16="inter")*IF(N$58&lt;=ceee_inter_seuil1,
(N$99*((N$99=1)*ceee_taux_1enf_ga+(N$99=2)*ceee_taux_2enf_ga+(N$99=3)*ceee_taux_3enf_ga+(N$99=4)*ceee_taux_4enf_ga+(N$99=5)*ceee_taux_5enf_ga+(N$99=6)*ceee_taux_6enf_ga)*MAX(N$58-ceee_abat,0)),
IF(N$58&gt;=ceee_inter_seuil2,
(MIN(N$99*((N$99=1)*ceeeb_taux_1enf_ga+(N$99=2)*ceeeb_taux_2enf_ga+(N$99=3)*ceeeb_taux_3enf_ga+(N$99=4)*ceeeb_taux_4enf_ga+(N$99=5)*ceeeb_taux_5enf_ga+(N$99=6)*ceeeb_taux_6enf_ga)*N$58,N$58-ceeeb_reste_à_vivre)),
(N$99*((N$99=1)*ceeeb_taux_1enf_ga+(N$99=2)*ceeeb_taux_2enf_ga+(N$99=3)*ceeeb_taux_3enf_ga+(N$99=4)*ceeeb_taux_4enf_ga+(N$99=5)*ceeeb_taux_5enf_ga+(N$99=6)*ceeeb_taux_6enf_ga))*(ceee_inter_coef*N$58+(1-ceee_inter_coef)*ceee_inter_seuil2)
))),0)*(N$58&gt;=700)</f>
        <v>0</v>
      </c>
      <c r="O53" s="340">
        <f>(O$3="isolé")*IF(O$13="png",(
(O$16=2010)*(O$99*((O$99=1)*ceee_taux_1enf+(O$99=2)*ceee_taux_2enf+(O$99=3)*ceee_taux_3enf+(O$99=4)*ceee_taux_4enf+(O$99=5)*ceee_taux_5enf+(O$99=6)*ceee_taux_6enf)*MAX(O$58-ceee_abat,0))
+(O$16=2018)*MAX(0,(MIN(O$99*((O$99=1)*ceeeb_taux_1enf+(O$99=2)*ceeeb_taux_2enf+(O$99=3)*ceeeb_taux_3enf+(O$99=4)*ceeeb_taux_4enf+(O$99=5)*ceeeb_taux_5enf+(O$99=6)*ceeeb_taux_6enf)*MAX(O$58,1.035*O$214),O$58-ceeeb_reste_à_vivre)))
+(O$16="inter")*IF(O$58&lt;=ceee_inter_seuil1,
(O$99*((O$99=1)*ceee_taux_1enf+(O$99=2)*ceee_taux_2enf+(O$99=3)*ceee_taux_3enf+(O$99=4)*ceee_taux_4enf+(O$99=5)*ceee_taux_5enf+(O$99=6)*ceee_taux_6enf)*MAX(O$58-ceee_abat,0)),
IF(O$58&gt;=ceee_inter_seuil2,
(MIN(O$99*((O$99=1)*ceeeb_taux_1enf+(O$99=2)*ceeeb_taux_2enf+(O$99=3)*ceeeb_taux_3enf+(O$99=4)*ceeeb_taux_4enf+(O$99=5)*ceeeb_taux_5enf+(O$99=6)*ceeeb_taux_6enf)*O$58,O$58-ceeeb_reste_à_vivre)),
(O$99*((O$99=1)*ceeeb_taux_1enf+(O$99=2)*ceeeb_taux_2enf+(O$99=3)*ceeeb_taux_3enf+(O$99=4)*ceeeb_taux_4enf+(O$99=5)*ceeeb_taux_5enf+(O$99=6)*ceeeb_taux_6enf))*(ceee_inter_coef*O$58+(1-ceee_inter_coef)*ceee_inter_seuil2)
))),0)*(O$58&gt;=700)+
(O$3="isolé")*IF(O$13="ga_p",(
(O$16=2010)*(O$99*((O$99=1)*ceee_taux_1enf_ga+(O$99=2)*ceee_taux_2enf_ga+(O$99=3)*ceee_taux_3enf_ga+(O$99=4)*ceee_taux_4enf_ga+(O$99=5)*ceee_taux_5enf_ga+(O$99=6)*ceee_taux_6enf_ga)*MAX(O$58-ceee_abat,0))
+(O$16=2018)*MAX(0,(MIN(O$99*((O$99=1)*ceeeb_taux_1enf_ga+(O$99=2)*ceeeb_taux_2enf_ga+(O$99=3)*ceeeb_taux_3enf_ga+(O$99=4)*ceeeb_taux_4enf_ga+(O$99=5)*ceeeb_taux_5enf_ga+(O$99=6)*ceeeb_taux_6enf_ga)*O$58,O$58-ceeeb_reste_à_vivre)))
+(O$16="inter")*IF(O$58&lt;=ceee_inter_seuil1,
(O$99*((O$99=1)*ceee_taux_1enf_ga+(O$99=2)*ceee_taux_2enf_ga+(O$99=3)*ceee_taux_3enf_ga+(O$99=4)*ceee_taux_4enf_ga+(O$99=5)*ceee_taux_5enf_ga+(O$99=6)*ceee_taux_6enf_ga)*MAX(O$58-ceee_abat,0)),
IF(O$58&gt;=ceee_inter_seuil2,
(MIN(O$99*((O$99=1)*ceeeb_taux_1enf_ga+(O$99=2)*ceeeb_taux_2enf_ga+(O$99=3)*ceeeb_taux_3enf_ga+(O$99=4)*ceeeb_taux_4enf_ga+(O$99=5)*ceeeb_taux_5enf_ga+(O$99=6)*ceeeb_taux_6enf_ga)*O$58,O$58-ceeeb_reste_à_vivre)),
(O$99*((O$99=1)*ceeeb_taux_1enf_ga+(O$99=2)*ceeeb_taux_2enf_ga+(O$99=3)*ceeeb_taux_3enf_ga+(O$99=4)*ceeeb_taux_4enf_ga+(O$99=5)*ceeeb_taux_5enf_ga+(O$99=6)*ceeeb_taux_6enf_ga))*(ceee_inter_coef*O$58+(1-ceee_inter_coef)*ceee_inter_seuil2)
))),0)*(O$58&gt;=700)</f>
        <v>0</v>
      </c>
      <c r="P53" s="340">
        <f>(P$3="isolé")*IF(P$13="png",(
(P$16=2010)*(P$99*((P$99=1)*ceee_taux_1enf+(P$99=2)*ceee_taux_2enf+(P$99=3)*ceee_taux_3enf+(P$99=4)*ceee_taux_4enf+(P$99=5)*ceee_taux_5enf+(P$99=6)*ceee_taux_6enf)*MAX(P$58-ceee_abat,0))
+(P$16=2018)*MAX(0,(MIN(P$99*((P$99=1)*ceeeb_taux_1enf+(P$99=2)*ceeeb_taux_2enf+(P$99=3)*ceeeb_taux_3enf+(P$99=4)*ceeeb_taux_4enf+(P$99=5)*ceeeb_taux_5enf+(P$99=6)*ceeeb_taux_6enf)*MAX(P$58,1.035*P$214),P$58-ceeeb_reste_à_vivre)))
+(P$16="inter")*IF(P$58&lt;=ceee_inter_seuil1,
(P$99*((P$99=1)*ceee_taux_1enf+(P$99=2)*ceee_taux_2enf+(P$99=3)*ceee_taux_3enf+(P$99=4)*ceee_taux_4enf+(P$99=5)*ceee_taux_5enf+(P$99=6)*ceee_taux_6enf)*MAX(P$58-ceee_abat,0)),
IF(P$58&gt;=ceee_inter_seuil2,
(MIN(P$99*((P$99=1)*ceeeb_taux_1enf+(P$99=2)*ceeeb_taux_2enf+(P$99=3)*ceeeb_taux_3enf+(P$99=4)*ceeeb_taux_4enf+(P$99=5)*ceeeb_taux_5enf+(P$99=6)*ceeeb_taux_6enf)*P$58,P$58-ceeeb_reste_à_vivre)),
(P$99*((P$99=1)*ceeeb_taux_1enf+(P$99=2)*ceeeb_taux_2enf+(P$99=3)*ceeeb_taux_3enf+(P$99=4)*ceeeb_taux_4enf+(P$99=5)*ceeeb_taux_5enf+(P$99=6)*ceeeb_taux_6enf))*(ceee_inter_coef*P$58+(1-ceee_inter_coef)*ceee_inter_seuil2)
))),0)*(P$58&gt;=700)+
(P$3="isolé")*IF(P$13="ga_p",(
(P$16=2010)*(P$99*((P$99=1)*ceee_taux_1enf_ga+(P$99=2)*ceee_taux_2enf_ga+(P$99=3)*ceee_taux_3enf_ga+(P$99=4)*ceee_taux_4enf_ga+(P$99=5)*ceee_taux_5enf_ga+(P$99=6)*ceee_taux_6enf_ga)*MAX(P$58-ceee_abat,0))
+(P$16=2018)*MAX(0,(MIN(P$99*((P$99=1)*ceeeb_taux_1enf_ga+(P$99=2)*ceeeb_taux_2enf_ga+(P$99=3)*ceeeb_taux_3enf_ga+(P$99=4)*ceeeb_taux_4enf_ga+(P$99=5)*ceeeb_taux_5enf_ga+(P$99=6)*ceeeb_taux_6enf_ga)*P$58,P$58-ceeeb_reste_à_vivre)))
+(P$16="inter")*IF(P$58&lt;=ceee_inter_seuil1,
(P$99*((P$99=1)*ceee_taux_1enf_ga+(P$99=2)*ceee_taux_2enf_ga+(P$99=3)*ceee_taux_3enf_ga+(P$99=4)*ceee_taux_4enf_ga+(P$99=5)*ceee_taux_5enf_ga+(P$99=6)*ceee_taux_6enf_ga)*MAX(P$58-ceee_abat,0)),
IF(P$58&gt;=ceee_inter_seuil2,
(MIN(P$99*((P$99=1)*ceeeb_taux_1enf_ga+(P$99=2)*ceeeb_taux_2enf_ga+(P$99=3)*ceeeb_taux_3enf_ga+(P$99=4)*ceeeb_taux_4enf_ga+(P$99=5)*ceeeb_taux_5enf_ga+(P$99=6)*ceeeb_taux_6enf_ga)*P$58,P$58-ceeeb_reste_à_vivre)),
(P$99*((P$99=1)*ceeeb_taux_1enf_ga+(P$99=2)*ceeeb_taux_2enf_ga+(P$99=3)*ceeeb_taux_3enf_ga+(P$99=4)*ceeeb_taux_4enf_ga+(P$99=5)*ceeeb_taux_5enf_ga+(P$99=6)*ceeeb_taux_6enf_ga))*(ceee_inter_coef*P$58+(1-ceee_inter_coef)*ceee_inter_seuil2)
))),0)*(P$58&gt;=700)</f>
        <v>0</v>
      </c>
      <c r="R53" s="340">
        <f>(R$3="isolé")*IF(R$13="png",(
(R$16=2010)*(R$99*((R$99=1)*ceee_taux_1enf+(R$99=2)*ceee_taux_2enf+(R$99=3)*ceee_taux_3enf+(R$99=4)*ceee_taux_4enf+(R$99=5)*ceee_taux_5enf+(R$99=6)*ceee_taux_6enf)*MAX(R$58-ceee_abat,0))
+(R$16=2018)*MAX(0,(MIN(R$99*((R$99=1)*ceeeb_taux_1enf+(R$99=2)*ceeeb_taux_2enf+(R$99=3)*ceeeb_taux_3enf+(R$99=4)*ceeeb_taux_4enf+(R$99=5)*ceeeb_taux_5enf+(R$99=6)*ceeeb_taux_6enf)*MAX(R$58,1.035*R$214),R$58-ceeeb_reste_à_vivre)))
+(R$16="inter")*IF(R$58&lt;=ceee_inter_seuil1,
(R$99*((R$99=1)*ceee_taux_1enf+(R$99=2)*ceee_taux_2enf+(R$99=3)*ceee_taux_3enf+(R$99=4)*ceee_taux_4enf+(R$99=5)*ceee_taux_5enf+(R$99=6)*ceee_taux_6enf)*MAX(R$58-ceee_abat,0)),
IF(R$58&gt;=ceee_inter_seuil2,
(MIN(R$99*((R$99=1)*ceeeb_taux_1enf+(R$99=2)*ceeeb_taux_2enf+(R$99=3)*ceeeb_taux_3enf+(R$99=4)*ceeeb_taux_4enf+(R$99=5)*ceeeb_taux_5enf+(R$99=6)*ceeeb_taux_6enf)*R$58,R$58-ceeeb_reste_à_vivre)),
(R$99*((R$99=1)*ceeeb_taux_1enf+(R$99=2)*ceeeb_taux_2enf+(R$99=3)*ceeeb_taux_3enf+(R$99=4)*ceeeb_taux_4enf+(R$99=5)*ceeeb_taux_5enf+(R$99=6)*ceeeb_taux_6enf))*(ceee_inter_coef*R$58+(1-ceee_inter_coef)*ceee_inter_seuil2)
))),0)*(R$58&gt;=700)+
(R$3="isolé")*IF(R$13="ga_p",(
(R$16=2010)*(R$99*((R$99=1)*ceee_taux_1enf_ga+(R$99=2)*ceee_taux_2enf_ga+(R$99=3)*ceee_taux_3enf_ga+(R$99=4)*ceee_taux_4enf_ga+(R$99=5)*ceee_taux_5enf_ga+(R$99=6)*ceee_taux_6enf_ga)*MAX(R$58-ceee_abat,0))
+(R$16=2018)*MAX(0,(MIN(R$99*((R$99=1)*ceeeb_taux_1enf_ga+(R$99=2)*ceeeb_taux_2enf_ga+(R$99=3)*ceeeb_taux_3enf_ga+(R$99=4)*ceeeb_taux_4enf_ga+(R$99=5)*ceeeb_taux_5enf_ga+(R$99=6)*ceeeb_taux_6enf_ga)*R$58,R$58-ceeeb_reste_à_vivre)))
+(R$16="inter")*IF(R$58&lt;=ceee_inter_seuil1,
(R$99*((R$99=1)*ceee_taux_1enf_ga+(R$99=2)*ceee_taux_2enf_ga+(R$99=3)*ceee_taux_3enf_ga+(R$99=4)*ceee_taux_4enf_ga+(R$99=5)*ceee_taux_5enf_ga+(R$99=6)*ceee_taux_6enf_ga)*MAX(R$58-ceee_abat,0)),
IF(R$58&gt;=ceee_inter_seuil2,
(MIN(R$99*((R$99=1)*ceeeb_taux_1enf_ga+(R$99=2)*ceeeb_taux_2enf_ga+(R$99=3)*ceeeb_taux_3enf_ga+(R$99=4)*ceeeb_taux_4enf_ga+(R$99=5)*ceeeb_taux_5enf_ga+(R$99=6)*ceeeb_taux_6enf_ga)*R$58,R$58-ceeeb_reste_à_vivre)),
(R$99*((R$99=1)*ceeeb_taux_1enf_ga+(R$99=2)*ceeeb_taux_2enf_ga+(R$99=3)*ceeeb_taux_3enf_ga+(R$99=4)*ceeeb_taux_4enf_ga+(R$99=5)*ceeeb_taux_5enf_ga+(R$99=6)*ceeeb_taux_6enf_ga))*(ceee_inter_coef*R$58+(1-ceee_inter_coef)*ceee_inter_seuil2)
))),0)*(R$58&gt;=700)</f>
        <v>0</v>
      </c>
      <c r="S53" s="340">
        <f>(S$3="isolé")*IF(S$13="png",(
(S$16=2010)*(S$99*((S$99=1)*ceee_taux_1enf+(S$99=2)*ceee_taux_2enf+(S$99=3)*ceee_taux_3enf+(S$99=4)*ceee_taux_4enf+(S$99=5)*ceee_taux_5enf+(S$99=6)*ceee_taux_6enf)*MAX(S$58-ceee_abat,0))
+(S$16=2018)*MAX(0,(MIN(S$99*((S$99=1)*ceeeb_taux_1enf+(S$99=2)*ceeeb_taux_2enf+(S$99=3)*ceeeb_taux_3enf+(S$99=4)*ceeeb_taux_4enf+(S$99=5)*ceeeb_taux_5enf+(S$99=6)*ceeeb_taux_6enf)*MAX(S$58,1.035*S$214),S$58-ceeeb_reste_à_vivre)))
+(S$16="inter")*IF(S$58&lt;=ceee_inter_seuil1,
(S$99*((S$99=1)*ceee_taux_1enf+(S$99=2)*ceee_taux_2enf+(S$99=3)*ceee_taux_3enf+(S$99=4)*ceee_taux_4enf+(S$99=5)*ceee_taux_5enf+(S$99=6)*ceee_taux_6enf)*MAX(S$58-ceee_abat,0)),
IF(S$58&gt;=ceee_inter_seuil2,
(MIN(S$99*((S$99=1)*ceeeb_taux_1enf+(S$99=2)*ceeeb_taux_2enf+(S$99=3)*ceeeb_taux_3enf+(S$99=4)*ceeeb_taux_4enf+(S$99=5)*ceeeb_taux_5enf+(S$99=6)*ceeeb_taux_6enf)*S$58,S$58-ceeeb_reste_à_vivre)),
(S$99*((S$99=1)*ceeeb_taux_1enf+(S$99=2)*ceeeb_taux_2enf+(S$99=3)*ceeeb_taux_3enf+(S$99=4)*ceeeb_taux_4enf+(S$99=5)*ceeeb_taux_5enf+(S$99=6)*ceeeb_taux_6enf))*(ceee_inter_coef*S$58+(1-ceee_inter_coef)*ceee_inter_seuil2)
))),0)*(S$58&gt;=700)+
(S$3="isolé")*IF(S$13="ga_p",(
(S$16=2010)*(S$99*((S$99=1)*ceee_taux_1enf_ga+(S$99=2)*ceee_taux_2enf_ga+(S$99=3)*ceee_taux_3enf_ga+(S$99=4)*ceee_taux_4enf_ga+(S$99=5)*ceee_taux_5enf_ga+(S$99=6)*ceee_taux_6enf_ga)*MAX(S$58-ceee_abat,0))
+(S$16=2018)*MAX(0,(MIN(S$99*((S$99=1)*ceeeb_taux_1enf_ga+(S$99=2)*ceeeb_taux_2enf_ga+(S$99=3)*ceeeb_taux_3enf_ga+(S$99=4)*ceeeb_taux_4enf_ga+(S$99=5)*ceeeb_taux_5enf_ga+(S$99=6)*ceeeb_taux_6enf_ga)*S$58,S$58-ceeeb_reste_à_vivre)))
+(S$16="inter")*IF(S$58&lt;=ceee_inter_seuil1,
(S$99*((S$99=1)*ceee_taux_1enf_ga+(S$99=2)*ceee_taux_2enf_ga+(S$99=3)*ceee_taux_3enf_ga+(S$99=4)*ceee_taux_4enf_ga+(S$99=5)*ceee_taux_5enf_ga+(S$99=6)*ceee_taux_6enf_ga)*MAX(S$58-ceee_abat,0)),
IF(S$58&gt;=ceee_inter_seuil2,
(MIN(S$99*((S$99=1)*ceeeb_taux_1enf_ga+(S$99=2)*ceeeb_taux_2enf_ga+(S$99=3)*ceeeb_taux_3enf_ga+(S$99=4)*ceeeb_taux_4enf_ga+(S$99=5)*ceeeb_taux_5enf_ga+(S$99=6)*ceeeb_taux_6enf_ga)*S$58,S$58-ceeeb_reste_à_vivre)),
(S$99*((S$99=1)*ceeeb_taux_1enf_ga+(S$99=2)*ceeeb_taux_2enf_ga+(S$99=3)*ceeeb_taux_3enf_ga+(S$99=4)*ceeeb_taux_4enf_ga+(S$99=5)*ceeeb_taux_5enf_ga+(S$99=6)*ceeeb_taux_6enf_ga))*(ceee_inter_coef*S$58+(1-ceee_inter_coef)*ceee_inter_seuil2)
))),0)*(S$58&gt;=700)</f>
        <v>0</v>
      </c>
      <c r="T53" s="340">
        <f>(T$3="isolé")*IF(T$13="png",(
(T$16=2010)*(T$99*((T$99=1)*ceee_taux_1enf+(T$99=2)*ceee_taux_2enf+(T$99=3)*ceee_taux_3enf+(T$99=4)*ceee_taux_4enf+(T$99=5)*ceee_taux_5enf+(T$99=6)*ceee_taux_6enf)*MAX(T$58-ceee_abat,0))
+(T$16=2018)*MAX(0,(MIN(T$99*((T$99=1)*ceeeb_taux_1enf+(T$99=2)*ceeeb_taux_2enf+(T$99=3)*ceeeb_taux_3enf+(T$99=4)*ceeeb_taux_4enf+(T$99=5)*ceeeb_taux_5enf+(T$99=6)*ceeeb_taux_6enf)*MAX(T$58,1.035*T$214),T$58-ceeeb_reste_à_vivre)))
+(T$16="inter")*IF(T$58&lt;=ceee_inter_seuil1,
(T$99*((T$99=1)*ceee_taux_1enf+(T$99=2)*ceee_taux_2enf+(T$99=3)*ceee_taux_3enf+(T$99=4)*ceee_taux_4enf+(T$99=5)*ceee_taux_5enf+(T$99=6)*ceee_taux_6enf)*MAX(T$58-ceee_abat,0)),
IF(T$58&gt;=ceee_inter_seuil2,
(MIN(T$99*((T$99=1)*ceeeb_taux_1enf+(T$99=2)*ceeeb_taux_2enf+(T$99=3)*ceeeb_taux_3enf+(T$99=4)*ceeeb_taux_4enf+(T$99=5)*ceeeb_taux_5enf+(T$99=6)*ceeeb_taux_6enf)*T$58,T$58-ceeeb_reste_à_vivre)),
(T$99*((T$99=1)*ceeeb_taux_1enf+(T$99=2)*ceeeb_taux_2enf+(T$99=3)*ceeeb_taux_3enf+(T$99=4)*ceeeb_taux_4enf+(T$99=5)*ceeeb_taux_5enf+(T$99=6)*ceeeb_taux_6enf))*(ceee_inter_coef*T$58+(1-ceee_inter_coef)*ceee_inter_seuil2)
))),0)*(T$58&gt;=700)+
(T$3="isolé")*IF(T$13="ga_p",(
(T$16=2010)*(T$99*((T$99=1)*ceee_taux_1enf_ga+(T$99=2)*ceee_taux_2enf_ga+(T$99=3)*ceee_taux_3enf_ga+(T$99=4)*ceee_taux_4enf_ga+(T$99=5)*ceee_taux_5enf_ga+(T$99=6)*ceee_taux_6enf_ga)*MAX(T$58-ceee_abat,0))
+(T$16=2018)*MAX(0,(MIN(T$99*((T$99=1)*ceeeb_taux_1enf_ga+(T$99=2)*ceeeb_taux_2enf_ga+(T$99=3)*ceeeb_taux_3enf_ga+(T$99=4)*ceeeb_taux_4enf_ga+(T$99=5)*ceeeb_taux_5enf_ga+(T$99=6)*ceeeb_taux_6enf_ga)*T$58,T$58-ceeeb_reste_à_vivre)))
+(T$16="inter")*IF(T$58&lt;=ceee_inter_seuil1,
(T$99*((T$99=1)*ceee_taux_1enf_ga+(T$99=2)*ceee_taux_2enf_ga+(T$99=3)*ceee_taux_3enf_ga+(T$99=4)*ceee_taux_4enf_ga+(T$99=5)*ceee_taux_5enf_ga+(T$99=6)*ceee_taux_6enf_ga)*MAX(T$58-ceee_abat,0)),
IF(T$58&gt;=ceee_inter_seuil2,
(MIN(T$99*((T$99=1)*ceeeb_taux_1enf_ga+(T$99=2)*ceeeb_taux_2enf_ga+(T$99=3)*ceeeb_taux_3enf_ga+(T$99=4)*ceeeb_taux_4enf_ga+(T$99=5)*ceeeb_taux_5enf_ga+(T$99=6)*ceeeb_taux_6enf_ga)*T$58,T$58-ceeeb_reste_à_vivre)),
(T$99*((T$99=1)*ceeeb_taux_1enf_ga+(T$99=2)*ceeeb_taux_2enf_ga+(T$99=3)*ceeeb_taux_3enf_ga+(T$99=4)*ceeeb_taux_4enf_ga+(T$99=5)*ceeeb_taux_5enf_ga+(T$99=6)*ceeeb_taux_6enf_ga))*(ceee_inter_coef*T$58+(1-ceee_inter_coef)*ceee_inter_seuil2)
))),0)*(T$58&gt;=700)</f>
        <v>0</v>
      </c>
      <c r="U53" s="340">
        <f>(U$3="isolé")*IF(U$13="png",(
(U$16=2010)*(U$99*((U$99=1)*ceee_taux_1enf+(U$99=2)*ceee_taux_2enf+(U$99=3)*ceee_taux_3enf+(U$99=4)*ceee_taux_4enf+(U$99=5)*ceee_taux_5enf+(U$99=6)*ceee_taux_6enf)*MAX(U$58-ceee_abat,0))
+(U$16=2018)*MAX(0,(MIN(U$99*((U$99=1)*ceeeb_taux_1enf+(U$99=2)*ceeeb_taux_2enf+(U$99=3)*ceeeb_taux_3enf+(U$99=4)*ceeeb_taux_4enf+(U$99=5)*ceeeb_taux_5enf+(U$99=6)*ceeeb_taux_6enf)*MAX(U$58,1.035*U$214),U$58-ceeeb_reste_à_vivre)))
+(U$16="inter")*IF(U$58&lt;=ceee_inter_seuil1,
(U$99*((U$99=1)*ceee_taux_1enf+(U$99=2)*ceee_taux_2enf+(U$99=3)*ceee_taux_3enf+(U$99=4)*ceee_taux_4enf+(U$99=5)*ceee_taux_5enf+(U$99=6)*ceee_taux_6enf)*MAX(U$58-ceee_abat,0)),
IF(U$58&gt;=ceee_inter_seuil2,
(MIN(U$99*((U$99=1)*ceeeb_taux_1enf+(U$99=2)*ceeeb_taux_2enf+(U$99=3)*ceeeb_taux_3enf+(U$99=4)*ceeeb_taux_4enf+(U$99=5)*ceeeb_taux_5enf+(U$99=6)*ceeeb_taux_6enf)*U$58,U$58-ceeeb_reste_à_vivre)),
(U$99*((U$99=1)*ceeeb_taux_1enf+(U$99=2)*ceeeb_taux_2enf+(U$99=3)*ceeeb_taux_3enf+(U$99=4)*ceeeb_taux_4enf+(U$99=5)*ceeeb_taux_5enf+(U$99=6)*ceeeb_taux_6enf))*(ceee_inter_coef*U$58+(1-ceee_inter_coef)*ceee_inter_seuil2)
))),0)*(U$58&gt;=700)+
(U$3="isolé")*IF(U$13="ga_p",(
(U$16=2010)*(U$99*((U$99=1)*ceee_taux_1enf_ga+(U$99=2)*ceee_taux_2enf_ga+(U$99=3)*ceee_taux_3enf_ga+(U$99=4)*ceee_taux_4enf_ga+(U$99=5)*ceee_taux_5enf_ga+(U$99=6)*ceee_taux_6enf_ga)*MAX(U$58-ceee_abat,0))
+(U$16=2018)*MAX(0,(MIN(U$99*((U$99=1)*ceeeb_taux_1enf_ga+(U$99=2)*ceeeb_taux_2enf_ga+(U$99=3)*ceeeb_taux_3enf_ga+(U$99=4)*ceeeb_taux_4enf_ga+(U$99=5)*ceeeb_taux_5enf_ga+(U$99=6)*ceeeb_taux_6enf_ga)*U$58,U$58-ceeeb_reste_à_vivre)))
+(U$16="inter")*IF(U$58&lt;=ceee_inter_seuil1,
(U$99*((U$99=1)*ceee_taux_1enf_ga+(U$99=2)*ceee_taux_2enf_ga+(U$99=3)*ceee_taux_3enf_ga+(U$99=4)*ceee_taux_4enf_ga+(U$99=5)*ceee_taux_5enf_ga+(U$99=6)*ceee_taux_6enf_ga)*MAX(U$58-ceee_abat,0)),
IF(U$58&gt;=ceee_inter_seuil2,
(MIN(U$99*((U$99=1)*ceeeb_taux_1enf_ga+(U$99=2)*ceeeb_taux_2enf_ga+(U$99=3)*ceeeb_taux_3enf_ga+(U$99=4)*ceeeb_taux_4enf_ga+(U$99=5)*ceeeb_taux_5enf_ga+(U$99=6)*ceeeb_taux_6enf_ga)*U$58,U$58-ceeeb_reste_à_vivre)),
(U$99*((U$99=1)*ceeeb_taux_1enf_ga+(U$99=2)*ceeeb_taux_2enf_ga+(U$99=3)*ceeeb_taux_3enf_ga+(U$99=4)*ceeeb_taux_4enf_ga+(U$99=5)*ceeeb_taux_5enf_ga+(U$99=6)*ceeeb_taux_6enf_ga))*(ceee_inter_coef*U$58+(1-ceee_inter_coef)*ceee_inter_seuil2)
))),0)*(U$58&gt;=700)</f>
        <v>0</v>
      </c>
    </row>
    <row r="54" spans="1:21" x14ac:dyDescent="0.25">
      <c r="C54"/>
      <c r="D54"/>
      <c r="E54"/>
      <c r="F54"/>
      <c r="H54"/>
      <c r="I54"/>
      <c r="J54"/>
      <c r="K54"/>
      <c r="M54"/>
      <c r="N54"/>
      <c r="O54"/>
      <c r="P54"/>
      <c r="R54"/>
      <c r="S54"/>
      <c r="T54"/>
      <c r="U54"/>
    </row>
    <row r="55" spans="1:21" ht="13" x14ac:dyDescent="0.3">
      <c r="A55" s="219" t="s">
        <v>390</v>
      </c>
      <c r="B55" s="89"/>
      <c r="C55" s="328"/>
      <c r="D55" s="328"/>
      <c r="E55" s="328"/>
      <c r="F55" s="328"/>
      <c r="H55" s="328"/>
      <c r="I55" s="328"/>
      <c r="J55" s="328"/>
      <c r="K55" s="328"/>
      <c r="M55" s="328"/>
      <c r="N55" s="328"/>
      <c r="O55" s="328"/>
      <c r="P55" s="328"/>
      <c r="R55" s="328"/>
      <c r="S55" s="328"/>
      <c r="T55" s="328"/>
      <c r="U55" s="328"/>
    </row>
    <row r="56" spans="1:21" ht="13.9" customHeight="1" x14ac:dyDescent="0.25">
      <c r="A56" s="220" t="s">
        <v>396</v>
      </c>
      <c r="B56" s="229"/>
      <c r="C56" s="211">
        <f>C38+(C$3="couple")*C39</f>
        <v>0</v>
      </c>
      <c r="D56" s="211">
        <f>D38+(D$3="couple")*D39</f>
        <v>699.35</v>
      </c>
      <c r="E56" s="211">
        <f>E38+(E$3="couple")*E39</f>
        <v>1398.7</v>
      </c>
      <c r="F56" s="211">
        <f>F38+(F$3="couple")*F39</f>
        <v>2098.0500000000002</v>
      </c>
      <c r="H56" s="211">
        <f>H38+(H$3="couple")*H39</f>
        <v>0</v>
      </c>
      <c r="I56" s="211">
        <f>I38+(I$3="couple")*I39</f>
        <v>699.35</v>
      </c>
      <c r="J56" s="211">
        <f>J38+(J$3="couple")*J39</f>
        <v>1398.7</v>
      </c>
      <c r="K56" s="211">
        <f>K38+(K$3="couple")*K39</f>
        <v>2098.0500000000002</v>
      </c>
      <c r="M56" s="211">
        <f>M38+(M$3="couple")*M39</f>
        <v>0</v>
      </c>
      <c r="N56" s="211">
        <f>N38+(N$3="couple")*N39</f>
        <v>699.35</v>
      </c>
      <c r="O56" s="211">
        <f>O38+(O$3="couple")*O39</f>
        <v>1398.7</v>
      </c>
      <c r="P56" s="211">
        <f>P38+(P$3="couple")*P39</f>
        <v>2098.0500000000002</v>
      </c>
      <c r="R56" s="211">
        <f>R38+(R$3="couple")*R39</f>
        <v>0</v>
      </c>
      <c r="S56" s="211">
        <f>S38+(S$3="couple")*S39</f>
        <v>699.35</v>
      </c>
      <c r="T56" s="211">
        <f>T38+(T$3="couple")*T39</f>
        <v>1398.7</v>
      </c>
      <c r="U56" s="211">
        <f>U38+(U$3="couple")*U39</f>
        <v>2098.0500000000002</v>
      </c>
    </row>
    <row r="57" spans="1:21" x14ac:dyDescent="0.25">
      <c r="A57" s="225" t="s">
        <v>397</v>
      </c>
      <c r="B57" s="230"/>
      <c r="C57" s="212">
        <f>(C35="chômeur")*IF(C45="calcul",C111,C46)+(C$3="couple")*(C36="chômeur")*IF(C48="calcul",C116,C49)</f>
        <v>0</v>
      </c>
      <c r="D57" s="212">
        <f>(D35="chômeur")*IF(D45="calcul",D111,D46)+(D$3="couple")*(D36="chômeur")*IF(D48="calcul",D116,D49)</f>
        <v>0</v>
      </c>
      <c r="E57" s="212">
        <f>(E35="chômeur")*IF(E45="calcul",E111,E46)+(E$3="couple")*(E36="chômeur")*IF(E48="calcul",E116,E49)</f>
        <v>0</v>
      </c>
      <c r="F57" s="212">
        <f>(F35="chômeur")*IF(F45="calcul",F111,F46)+(F$3="couple")*(F36="chômeur")*IF(F48="calcul",F116,F49)</f>
        <v>0</v>
      </c>
      <c r="H57" s="212">
        <f>(H35="chômeur")*IF(H45="calcul",H111,H46)+(H$3="couple")*(H36="chômeur")*IF(H48="calcul",H116,H49)</f>
        <v>0</v>
      </c>
      <c r="I57" s="212">
        <f>(I35="chômeur")*IF(I45="calcul",I111,I46)+(I$3="couple")*(I36="chômeur")*IF(I48="calcul",I116,I49)</f>
        <v>0</v>
      </c>
      <c r="J57" s="212">
        <f>(J35="chômeur")*IF(J45="calcul",J111,J46)+(J$3="couple")*(J36="chômeur")*IF(J48="calcul",J116,J49)</f>
        <v>0</v>
      </c>
      <c r="K57" s="212">
        <f>(K35="chômeur")*IF(K45="calcul",K111,K46)+(K$3="couple")*(K36="chômeur")*IF(K48="calcul",K116,K49)</f>
        <v>0</v>
      </c>
      <c r="M57" s="212">
        <f>(M35="chômeur")*IF(M45="calcul",M111,M46)+(M$3="couple")*(M36="chômeur")*IF(M48="calcul",M116,M49)</f>
        <v>0</v>
      </c>
      <c r="N57" s="212">
        <f>(N35="chômeur")*IF(N45="calcul",N111,N46)+(N$3="couple")*(N36="chômeur")*IF(N48="calcul",N116,N49)</f>
        <v>0</v>
      </c>
      <c r="O57" s="212">
        <f>(O35="chômeur")*IF(O45="calcul",O111,O46)+(O$3="couple")*(O36="chômeur")*IF(O48="calcul",O116,O49)</f>
        <v>0</v>
      </c>
      <c r="P57" s="212">
        <f>(P35="chômeur")*IF(P45="calcul",P111,P46)+(P$3="couple")*(P36="chômeur")*IF(P48="calcul",P116,P49)</f>
        <v>0</v>
      </c>
      <c r="R57" s="212">
        <f>(R35="chômeur")*IF(R45="calcul",R111,R46)+(R$3="couple")*(R36="chômeur")*IF(R48="calcul",R116,R49)</f>
        <v>0</v>
      </c>
      <c r="S57" s="212">
        <f>(S35="chômeur")*IF(S45="calcul",S111,S46)+(S$3="couple")*(S36="chômeur")*IF(S48="calcul",S116,S49)</f>
        <v>0</v>
      </c>
      <c r="T57" s="212">
        <f>(T35="chômeur")*IF(T45="calcul",T111,T46)+(T$3="couple")*(T36="chômeur")*IF(T48="calcul",T116,T49)</f>
        <v>0</v>
      </c>
      <c r="U57" s="212">
        <f>(U35="chômeur")*IF(U45="calcul",U111,U46)+(U$3="couple")*(U36="chômeur")*IF(U48="calcul",U116,U49)</f>
        <v>0</v>
      </c>
    </row>
    <row r="58" spans="1:21" ht="13" x14ac:dyDescent="0.3">
      <c r="A58" s="222" t="s">
        <v>346</v>
      </c>
      <c r="B58" s="228"/>
      <c r="C58" s="214">
        <f t="shared" ref="C58:D58" si="15">SUM(C56:C57)</f>
        <v>0</v>
      </c>
      <c r="D58" s="214">
        <f t="shared" si="15"/>
        <v>699.35</v>
      </c>
      <c r="E58" s="214">
        <f t="shared" ref="E58:F58" si="16">SUM(E56:E57)</f>
        <v>1398.7</v>
      </c>
      <c r="F58" s="214">
        <f t="shared" si="16"/>
        <v>2098.0500000000002</v>
      </c>
      <c r="H58" s="214">
        <f t="shared" ref="H58:K58" si="17">SUM(H56:H57)</f>
        <v>0</v>
      </c>
      <c r="I58" s="214">
        <f t="shared" si="17"/>
        <v>699.35</v>
      </c>
      <c r="J58" s="214">
        <f t="shared" si="17"/>
        <v>1398.7</v>
      </c>
      <c r="K58" s="214">
        <f t="shared" si="17"/>
        <v>2098.0500000000002</v>
      </c>
      <c r="M58" s="214">
        <f t="shared" ref="M58:P58" si="18">SUM(M56:M57)</f>
        <v>0</v>
      </c>
      <c r="N58" s="214">
        <f t="shared" si="18"/>
        <v>699.35</v>
      </c>
      <c r="O58" s="214">
        <f t="shared" si="18"/>
        <v>1398.7</v>
      </c>
      <c r="P58" s="214">
        <f t="shared" si="18"/>
        <v>2098.0500000000002</v>
      </c>
      <c r="R58" s="214">
        <f t="shared" ref="R58:U58" si="19">SUM(R56:R57)</f>
        <v>0</v>
      </c>
      <c r="S58" s="214">
        <f t="shared" si="19"/>
        <v>699.35</v>
      </c>
      <c r="T58" s="214">
        <f t="shared" si="19"/>
        <v>1398.7</v>
      </c>
      <c r="U58" s="214">
        <f t="shared" si="19"/>
        <v>2098.0500000000002</v>
      </c>
    </row>
    <row r="59" spans="1:21" x14ac:dyDescent="0.25">
      <c r="A59" s="223" t="s">
        <v>1</v>
      </c>
      <c r="B59" s="229"/>
      <c r="C59" s="211">
        <f>IF(OR(C13="ga_m",C13="ga_p"),0.5,IF(C13="png",0,1))*((C$127+C$128+C$129)*IF(C$119&lt;=C$130,1,IF(C$119&lt;=C$131,0.5,0.25))+C$132)</f>
        <v>0</v>
      </c>
      <c r="D59" s="211">
        <f>IF(OR(D13="ga_m",D13="ga_p"),0.5,IF(D13="png",0,1))*((D$127+D$128+D$129)*IF(D$119&lt;=D$130,1,IF(D$119&lt;=D$131,0.5,0.25))+D$132)</f>
        <v>0</v>
      </c>
      <c r="E59" s="211">
        <f>IF(OR(E13="ga_m",E13="ga_p"),0.5,IF(E13="png",0,1))*((E$127+E$128+E$129)*IF(E$119&lt;=E$130,1,IF(E$119&lt;=E$131,0.5,0.25))+E$132)</f>
        <v>0</v>
      </c>
      <c r="F59" s="211">
        <f>IF(OR(F13="ga_m",F13="ga_p"),0.5,IF(F13="png",0,1))*((F$127+F$128+F$129)*IF(F$119&lt;=F$130,1,IF(F$119&lt;=F$131,0.5,0.25))+F$132)</f>
        <v>0</v>
      </c>
      <c r="H59" s="211">
        <f>IF(OR(H13="ga_m",H13="ga_p"),0.5,IF(H13="png",0,1))*((H$127+H$128+H$129)*IF(H$119&lt;=H$130,1,IF(H$119&lt;=H$131,0.5,0.25))+H$132)</f>
        <v>0</v>
      </c>
      <c r="I59" s="211">
        <f>IF(OR(I13="ga_m",I13="ga_p"),0.5,IF(I13="png",0,1))*((I$127+I$128+I$129)*IF(I$119&lt;=I$130,1,IF(I$119&lt;=I$131,0.5,0.25))+I$132)</f>
        <v>0</v>
      </c>
      <c r="J59" s="211">
        <f>IF(OR(J13="ga_m",J13="ga_p"),0.5,IF(J13="png",0,1))*((J$127+J$128+J$129)*IF(J$119&lt;=J$130,1,IF(J$119&lt;=J$131,0.5,0.25))+J$132)</f>
        <v>0</v>
      </c>
      <c r="K59" s="211">
        <f>IF(OR(K13="ga_m",K13="ga_p"),0.5,IF(K13="png",0,1))*((K$127+K$128+K$129)*IF(K$119&lt;=K$130,1,IF(K$119&lt;=K$131,0.5,0.25))+K$132)</f>
        <v>0</v>
      </c>
      <c r="M59" s="211">
        <f>IF(OR(M13="ga_m",M13="ga_p"),0.5,IF(M13="png",0,1))*((M$127+M$128+M$129)*IF(M$119&lt;=M$130,1,IF(M$119&lt;=M$131,0.5,0.25))+M$132)</f>
        <v>148.51449599999998</v>
      </c>
      <c r="N59" s="211">
        <f>IF(OR(N13="ga_m",N13="ga_p"),0.5,IF(N13="png",0,1))*((N$127+N$128+N$129)*IF(N$119&lt;=N$130,1,IF(N$119&lt;=N$131,0.5,0.25))+N$132)</f>
        <v>148.51449599999998</v>
      </c>
      <c r="O59" s="211">
        <f>IF(OR(O13="ga_m",O13="ga_p"),0.5,IF(O13="png",0,1))*((O$127+O$128+O$129)*IF(O$119&lt;=O$130,1,IF(O$119&lt;=O$131,0.5,0.25))+O$132)</f>
        <v>148.51449599999998</v>
      </c>
      <c r="P59" s="211">
        <f>IF(OR(P13="ga_m",P13="ga_p"),0.5,IF(P13="png",0,1))*((P$127+P$128+P$129)*IF(P$119&lt;=P$130,1,IF(P$119&lt;=P$131,0.5,0.25))+P$132)</f>
        <v>148.51449599999998</v>
      </c>
      <c r="R59" s="211">
        <f>IF(OR(R13="ga_m",R13="ga_p"),0.5,IF(R13="png",0,1))*((R$127+R$128+R$129)*IF(R$119&lt;=R$130,1,IF(R$119&lt;=R$131,0.5,0.25))+R$132)</f>
        <v>338.79869399999995</v>
      </c>
      <c r="S59" s="211">
        <f>IF(OR(S13="ga_m",S13="ga_p"),0.5,IF(S13="png",0,1))*((S$127+S$128+S$129)*IF(S$119&lt;=S$130,1,IF(S$119&lt;=S$131,0.5,0.25))+S$132)</f>
        <v>338.79869399999995</v>
      </c>
      <c r="T59" s="211">
        <f>IF(OR(T13="ga_m",T13="ga_p"),0.5,IF(T13="png",0,1))*((T$127+T$128+T$129)*IF(T$119&lt;=T$130,1,IF(T$119&lt;=T$131,0.5,0.25))+T$132)</f>
        <v>338.79869399999995</v>
      </c>
      <c r="U59" s="211">
        <f>IF(OR(U13="ga_m",U13="ga_p"),0.5,IF(U13="png",0,1))*((U$127+U$128+U$129)*IF(U$119&lt;=U$130,1,IF(U$119&lt;=U$131,0.5,0.25))+U$132)</f>
        <v>338.79869399999995</v>
      </c>
    </row>
    <row r="60" spans="1:21" x14ac:dyDescent="0.25">
      <c r="A60" s="224" t="s">
        <v>135</v>
      </c>
      <c r="B60" s="230"/>
      <c r="C60" s="212">
        <f>(C$13&lt;&gt;"ga_p")*C$137</f>
        <v>0</v>
      </c>
      <c r="D60" s="212">
        <f>(D$13&lt;&gt;"ga_p")*D$137</f>
        <v>0</v>
      </c>
      <c r="E60" s="212">
        <f>(E$13&lt;&gt;"ga_p")*E$137</f>
        <v>0</v>
      </c>
      <c r="F60" s="212">
        <f>(F$13&lt;&gt;"ga_p")*F$137</f>
        <v>0</v>
      </c>
      <c r="H60" s="212">
        <f>(H$13&lt;&gt;"ga_p")*H$137</f>
        <v>0</v>
      </c>
      <c r="I60" s="212">
        <f>(I$13&lt;&gt;"ga_p")*I$137</f>
        <v>0</v>
      </c>
      <c r="J60" s="212">
        <f>(J$13&lt;&gt;"ga_p")*J$137</f>
        <v>0</v>
      </c>
      <c r="K60" s="212">
        <f>(K$13&lt;&gt;"ga_p")*K$137</f>
        <v>0</v>
      </c>
      <c r="M60" s="212">
        <f>(M$13&lt;&gt;"ga_p")*M$137</f>
        <v>0</v>
      </c>
      <c r="N60" s="212">
        <f>(N$13&lt;&gt;"ga_p")*N$137</f>
        <v>0</v>
      </c>
      <c r="O60" s="212">
        <f>(O$13&lt;&gt;"ga_p")*O$137</f>
        <v>0</v>
      </c>
      <c r="P60" s="212">
        <f>(P$13&lt;&gt;"ga_p")*P$137</f>
        <v>0</v>
      </c>
      <c r="R60" s="212">
        <f>(R$13&lt;&gt;"ga_p")*R$137</f>
        <v>193.3008987</v>
      </c>
      <c r="S60" s="212">
        <f>(S$13&lt;&gt;"ga_p")*S$137</f>
        <v>193.3008987</v>
      </c>
      <c r="T60" s="212">
        <f>(T$13&lt;&gt;"ga_p")*T$137</f>
        <v>193.3008987</v>
      </c>
      <c r="U60" s="212">
        <f>(U$13&lt;&gt;"ga_p")*U$137</f>
        <v>193.3008987</v>
      </c>
    </row>
    <row r="61" spans="1:21" x14ac:dyDescent="0.25">
      <c r="A61" s="224" t="s">
        <v>136</v>
      </c>
      <c r="B61" s="230"/>
      <c r="C61" s="212">
        <f>(C$13&lt;&gt;"ga_p")*C$138</f>
        <v>0</v>
      </c>
      <c r="D61" s="212">
        <f>(D$13&lt;&gt;"ga_p")*D$138</f>
        <v>0</v>
      </c>
      <c r="E61" s="212">
        <f>(E$13&lt;&gt;"ga_p")*E$138</f>
        <v>0</v>
      </c>
      <c r="F61" s="212">
        <f>(F$13&lt;&gt;"ga_p")*F$138</f>
        <v>0</v>
      </c>
      <c r="H61" s="212">
        <f>(H$13&lt;&gt;"ga_p")*H$138</f>
        <v>0</v>
      </c>
      <c r="I61" s="212">
        <f>(I$13&lt;&gt;"ga_p")*I$138</f>
        <v>0</v>
      </c>
      <c r="J61" s="212">
        <f>(J$13&lt;&gt;"ga_p")*J$138</f>
        <v>0</v>
      </c>
      <c r="K61" s="212">
        <f>(K$13&lt;&gt;"ga_p")*K$138</f>
        <v>0</v>
      </c>
      <c r="M61" s="212">
        <f>(M$13&lt;&gt;"ga_p")*M$138</f>
        <v>0</v>
      </c>
      <c r="N61" s="212">
        <f>(N$13&lt;&gt;"ga_p")*N$138</f>
        <v>0</v>
      </c>
      <c r="O61" s="212">
        <f>(O$13&lt;&gt;"ga_p")*O$138</f>
        <v>0</v>
      </c>
      <c r="P61" s="212">
        <f>(P$13&lt;&gt;"ga_p")*P$138</f>
        <v>0</v>
      </c>
      <c r="R61" s="212">
        <f>(R$13&lt;&gt;"ga_p")*R$138</f>
        <v>96.673654740000018</v>
      </c>
      <c r="S61" s="212">
        <f>(S$13&lt;&gt;"ga_p")*S$138</f>
        <v>96.673654740000018</v>
      </c>
      <c r="T61" s="212">
        <f>(T$13&lt;&gt;"ga_p")*T$138</f>
        <v>96.673654740000018</v>
      </c>
      <c r="U61" s="212">
        <f>(U$13&lt;&gt;"ga_p")*U$138</f>
        <v>96.673654740000018</v>
      </c>
    </row>
    <row r="62" spans="1:21" x14ac:dyDescent="0.25">
      <c r="A62" s="224" t="s">
        <v>2</v>
      </c>
      <c r="B62" s="230"/>
      <c r="C62" s="212">
        <f>(C$13&lt;&gt;"ga_p")*((C$18=1)*(C$3="isolé")*MAX(0,asf*C97-C$52)*((asf*C$97-C$52)&gt;=15))</f>
        <v>0</v>
      </c>
      <c r="D62" s="212">
        <f>(D$13&lt;&gt;"ga_p")*((D$18=1)*(D$3="isolé")*MAX(0,asf*D97-D$52)*((asf*D$97-D$52)&gt;=15))</f>
        <v>0</v>
      </c>
      <c r="E62" s="212">
        <f>(E$13&lt;&gt;"ga_p")*((E$18=1)*(E$3="isolé")*MAX(0,asf*E97-E$52)*((asf*E$97-E$52)&gt;=15))</f>
        <v>0</v>
      </c>
      <c r="F62" s="212">
        <f>(F$13&lt;&gt;"ga_p")*((F$18=1)*(F$3="isolé")*MAX(0,asf*F97-F$52)*((asf*F$97-F$52)&gt;=15))</f>
        <v>0</v>
      </c>
      <c r="H62" s="212">
        <f>(H$13&lt;&gt;"ga_p")*((H$18=1)*(H$3="isolé")*MAX(0,asf*H97-H$52)*((asf*H$97-H$52)&gt;=15))</f>
        <v>195.83028621</v>
      </c>
      <c r="I62" s="212">
        <f>(I$13&lt;&gt;"ga_p")*((I$18=1)*(I$3="isolé")*MAX(0,asf*I97-I$52)*((asf*I$97-I$52)&gt;=15))</f>
        <v>195.83028621</v>
      </c>
      <c r="J62" s="212">
        <f>(J$13&lt;&gt;"ga_p")*((J$18=1)*(J$3="isolé")*MAX(0,asf*J97-J$52)*((asf*J$97-J$52)&gt;=15))</f>
        <v>195.83028621</v>
      </c>
      <c r="K62" s="212">
        <f>(K$13&lt;&gt;"ga_p")*((K$18=1)*(K$3="isolé")*MAX(0,asf*K97-K$52)*((asf*K$97-K$52)&gt;=15))</f>
        <v>195.83028621</v>
      </c>
      <c r="M62" s="212">
        <f>(M$13&lt;&gt;"ga_p")*((M$18=1)*(M$3="isolé")*MAX(0,asf*M97-M$52)*((asf*M$97-M$52)&gt;=15))</f>
        <v>391.66057241999999</v>
      </c>
      <c r="N62" s="212">
        <f>(N$13&lt;&gt;"ga_p")*((N$18=1)*(N$3="isolé")*MAX(0,asf*N97-N$52)*((asf*N$97-N$52)&gt;=15))</f>
        <v>391.66057241999999</v>
      </c>
      <c r="O62" s="212">
        <f>(O$13&lt;&gt;"ga_p")*((O$18=1)*(O$3="isolé")*MAX(0,asf*O97-O$52)*((asf*O$97-O$52)&gt;=15))</f>
        <v>391.66057241999999</v>
      </c>
      <c r="P62" s="212">
        <f>(P$13&lt;&gt;"ga_p")*((P$18=1)*(P$3="isolé")*MAX(0,asf*P97-P$52)*((asf*P$97-P$52)&gt;=15))</f>
        <v>391.66057241999999</v>
      </c>
      <c r="R62" s="212">
        <f>(R$13&lt;&gt;"ga_p")*((R$18=1)*(R$3="isolé")*MAX(0,asf*R97-R$52)*((asf*R$97-R$52)&gt;=15))</f>
        <v>587.49085863000005</v>
      </c>
      <c r="S62" s="212">
        <f>(S$13&lt;&gt;"ga_p")*((S$18=1)*(S$3="isolé")*MAX(0,asf*S97-S$52)*((asf*S$97-S$52)&gt;=15))</f>
        <v>587.49085863000005</v>
      </c>
      <c r="T62" s="212">
        <f>(T$13&lt;&gt;"ga_p")*((T$18=1)*(T$3="isolé")*MAX(0,asf*T97-T$52)*((asf*T$97-T$52)&gt;=15))</f>
        <v>587.49085863000005</v>
      </c>
      <c r="U62" s="212">
        <f>(U$13&lt;&gt;"ga_p")*((U$18=1)*(U$3="isolé")*MAX(0,asf*U97-U$52)*((asf*U$97-U$52)&gt;=15))</f>
        <v>587.49085863000005</v>
      </c>
    </row>
    <row r="63" spans="1:21" x14ac:dyDescent="0.25">
      <c r="A63" s="224" t="s">
        <v>69</v>
      </c>
      <c r="B63" s="230"/>
      <c r="C63" s="212">
        <f>(C$13&lt;&gt;"ga_p")*C143/12</f>
        <v>0</v>
      </c>
      <c r="D63" s="212">
        <f>(D$13&lt;&gt;"ga_p")*D143/12</f>
        <v>0</v>
      </c>
      <c r="E63" s="212">
        <f>(E$13&lt;&gt;"ga_p")*E143/12</f>
        <v>0</v>
      </c>
      <c r="F63" s="212">
        <f>(F$13&lt;&gt;"ga_p")*F143/12</f>
        <v>0</v>
      </c>
      <c r="H63" s="212">
        <f>(H$13&lt;&gt;"ga_p")*H143/12</f>
        <v>0</v>
      </c>
      <c r="I63" s="212">
        <f>(I$13&lt;&gt;"ga_p")*I143/12</f>
        <v>0</v>
      </c>
      <c r="J63" s="212">
        <f>(J$13&lt;&gt;"ga_p")*J143/12</f>
        <v>0</v>
      </c>
      <c r="K63" s="212">
        <f>(K$13&lt;&gt;"ga_p")*K143/12</f>
        <v>0</v>
      </c>
      <c r="M63" s="212">
        <f>(M$13&lt;&gt;"ga_p")*M143/12</f>
        <v>34.69979318</v>
      </c>
      <c r="N63" s="212">
        <f>(N$13&lt;&gt;"ga_p")*N143/12</f>
        <v>34.69979318</v>
      </c>
      <c r="O63" s="212">
        <f>(O$13&lt;&gt;"ga_p")*O143/12</f>
        <v>34.69979318</v>
      </c>
      <c r="P63" s="212">
        <f>(P$13&lt;&gt;"ga_p")*P143/12</f>
        <v>34.69979318</v>
      </c>
      <c r="R63" s="212">
        <f>(R$13&lt;&gt;"ga_p")*R143/12</f>
        <v>69.399586360000001</v>
      </c>
      <c r="S63" s="212">
        <f>(S$13&lt;&gt;"ga_p")*S143/12</f>
        <v>69.399586360000001</v>
      </c>
      <c r="T63" s="212">
        <f>(T$13&lt;&gt;"ga_p")*T143/12</f>
        <v>69.399586360000001</v>
      </c>
      <c r="U63" s="212">
        <f>(U$13&lt;&gt;"ga_p")*U143/12</f>
        <v>69.399586360000001</v>
      </c>
    </row>
    <row r="64" spans="1:21" x14ac:dyDescent="0.25">
      <c r="A64" s="224" t="s">
        <v>49</v>
      </c>
      <c r="B64" s="230"/>
      <c r="C64" s="212">
        <f>(C$13&lt;&gt;"ga_p")*((C$100&gt;0)*IF(C$119&lt;C$146,ab,IF(C$119&lt;C$147,ab_réduit,0)))</f>
        <v>0</v>
      </c>
      <c r="D64" s="212">
        <f>(D$13&lt;&gt;"ga_p")*((D$100&gt;0)*IF(D$119&lt;D$146,ab,IF(D$119&lt;D$147,ab_réduit,0)))</f>
        <v>0</v>
      </c>
      <c r="E64" s="212">
        <f>(E$13&lt;&gt;"ga_p")*((E$100&gt;0)*IF(E$119&lt;E$146,ab,IF(E$119&lt;E$147,ab_réduit,0)))</f>
        <v>0</v>
      </c>
      <c r="F64" s="212">
        <f>(F$13&lt;&gt;"ga_p")*((F$100&gt;0)*IF(F$119&lt;F$146,ab,IF(F$119&lt;F$147,ab_réduit,0)))</f>
        <v>0</v>
      </c>
      <c r="H64" s="212">
        <f>(H$13&lt;&gt;"ga_p")*((H$100&gt;0)*IF(H$119&lt;H$146,ab,IF(H$119&lt;H$147,ab_réduit,0)))</f>
        <v>0</v>
      </c>
      <c r="I64" s="212">
        <f>(I$13&lt;&gt;"ga_p")*((I$100&gt;0)*IF(I$119&lt;I$146,ab,IF(I$119&lt;I$147,ab_réduit,0)))</f>
        <v>0</v>
      </c>
      <c r="J64" s="212">
        <f>(J$13&lt;&gt;"ga_p")*((J$100&gt;0)*IF(J$119&lt;J$146,ab,IF(J$119&lt;J$147,ab_réduit,0)))</f>
        <v>0</v>
      </c>
      <c r="K64" s="212">
        <f>(K$13&lt;&gt;"ga_p")*((K$100&gt;0)*IF(K$119&lt;K$146,ab,IF(K$119&lt;K$147,ab_réduit,0)))</f>
        <v>0</v>
      </c>
      <c r="M64" s="212">
        <f>(M$13&lt;&gt;"ga_p")*((M$100&gt;0)*IF(M$119&lt;M$146,ab,IF(M$119&lt;M$147,ab_réduit,0)))</f>
        <v>0</v>
      </c>
      <c r="N64" s="212">
        <f>(N$13&lt;&gt;"ga_p")*((N$100&gt;0)*IF(N$119&lt;N$146,ab,IF(N$119&lt;N$147,ab_réduit,0)))</f>
        <v>0</v>
      </c>
      <c r="O64" s="212">
        <f>(O$13&lt;&gt;"ga_p")*((O$100&gt;0)*IF(O$119&lt;O$146,ab,IF(O$119&lt;O$147,ab_réduit,0)))</f>
        <v>0</v>
      </c>
      <c r="P64" s="212">
        <f>(P$13&lt;&gt;"ga_p")*((P$100&gt;0)*IF(P$119&lt;P$146,ab,IF(P$119&lt;P$147,ab_réduit,0)))</f>
        <v>0</v>
      </c>
      <c r="R64" s="212">
        <f>(R$13&lt;&gt;"ga_p")*((R$100&gt;0)*IF(R$119&lt;R$146,ab,IF(R$119&lt;R$147,ab_réduit,0)))</f>
        <v>0</v>
      </c>
      <c r="S64" s="212">
        <f>(S$13&lt;&gt;"ga_p")*((S$100&gt;0)*IF(S$119&lt;S$146,ab,IF(S$119&lt;S$147,ab_réduit,0)))</f>
        <v>0</v>
      </c>
      <c r="T64" s="212">
        <f>(T$13&lt;&gt;"ga_p")*((T$100&gt;0)*IF(T$119&lt;T$146,ab,IF(T$119&lt;T$147,ab_réduit,0)))</f>
        <v>0</v>
      </c>
      <c r="U64" s="212">
        <f>(U$13&lt;&gt;"ga_p")*((U$100&gt;0)*IF(U$119&lt;U$146,ab,IF(U$119&lt;U$147,ab_réduit,0)))</f>
        <v>0</v>
      </c>
    </row>
    <row r="65" spans="1:21" x14ac:dyDescent="0.25">
      <c r="A65" s="225" t="s">
        <v>238</v>
      </c>
      <c r="B65" s="230"/>
      <c r="C65" s="212">
        <f>(C$13&lt;&gt;"ga_p")*C$152</f>
        <v>0</v>
      </c>
      <c r="D65" s="212">
        <f>(D$13&lt;&gt;"ga_p")*D$152</f>
        <v>0</v>
      </c>
      <c r="E65" s="212">
        <f>(E$13&lt;&gt;"ga_p")*E$152</f>
        <v>0</v>
      </c>
      <c r="F65" s="212">
        <f>(F$13&lt;&gt;"ga_p")*F$152</f>
        <v>0</v>
      </c>
      <c r="H65" s="212">
        <f>(H$13&lt;&gt;"ga_p")*H$152</f>
        <v>0</v>
      </c>
      <c r="I65" s="212">
        <f>(I$13&lt;&gt;"ga_p")*I$152</f>
        <v>0</v>
      </c>
      <c r="J65" s="212">
        <f>(J$13&lt;&gt;"ga_p")*J$152</f>
        <v>0</v>
      </c>
      <c r="K65" s="212">
        <f>(K$13&lt;&gt;"ga_p")*K$152</f>
        <v>0</v>
      </c>
      <c r="M65" s="212">
        <f>(M$13&lt;&gt;"ga_p")*M$152</f>
        <v>0</v>
      </c>
      <c r="N65" s="212">
        <f>(N$13&lt;&gt;"ga_p")*N$152</f>
        <v>0</v>
      </c>
      <c r="O65" s="212">
        <f>(O$13&lt;&gt;"ga_p")*O$152</f>
        <v>0</v>
      </c>
      <c r="P65" s="212">
        <f>(P$13&lt;&gt;"ga_p")*P$152</f>
        <v>0</v>
      </c>
      <c r="R65" s="212">
        <f>(R$13&lt;&gt;"ga_p")*R$152</f>
        <v>0</v>
      </c>
      <c r="S65" s="212">
        <f>(S$13&lt;&gt;"ga_p")*S$152</f>
        <v>0</v>
      </c>
      <c r="T65" s="212">
        <f>(T$13&lt;&gt;"ga_p")*T$152</f>
        <v>0</v>
      </c>
      <c r="U65" s="212">
        <f>(U$13&lt;&gt;"ga_p")*U$152</f>
        <v>0</v>
      </c>
    </row>
    <row r="66" spans="1:21" x14ac:dyDescent="0.25">
      <c r="A66" s="225" t="s">
        <v>239</v>
      </c>
      <c r="B66" s="230"/>
      <c r="C66" s="212">
        <f>(C$13&lt;&gt;"ga_p")*(((C$21&gt;0)*MIN((1-taux_CRDS)*cmg_part_max_pcsn*C$155,IF(C$119&lt;cmg_plaf_1_pct_plaf_inter*C$166,cmg_max,IF(C$119&lt;C$166,cmg_inter,cmg_min)))+(C$22+C$23&gt;0)*MIN((1-taux_CRDS)*cmg_part_max_pcsn*C$162,IF(C$119&lt;cmg_plaf_1_pct_plaf_inter*C$166,cmg_max,IF(C$119&lt;C$166,cmg_inter,cmg_min))))*IF(C3="isolé",1+cmg_majo_iso,1))</f>
        <v>0</v>
      </c>
      <c r="D66" s="212">
        <f>(D$13&lt;&gt;"ga_p")*(((D$21&gt;0)*MIN((1-taux_CRDS)*cmg_part_max_pcsn*D$155,IF(D$119&lt;cmg_plaf_1_pct_plaf_inter*D$166,cmg_max,IF(D$119&lt;D$166,cmg_inter,cmg_min)))+(D$22+D$23&gt;0)*MIN((1-taux_CRDS)*cmg_part_max_pcsn*D$162,IF(D$119&lt;cmg_plaf_1_pct_plaf_inter*D$166,cmg_max,IF(D$119&lt;D$166,cmg_inter,cmg_min))))*IF(D3="isolé",1+cmg_majo_iso,1))</f>
        <v>0</v>
      </c>
      <c r="E66" s="212">
        <f>(E$13&lt;&gt;"ga_p")*(((E$21&gt;0)*MIN((1-taux_CRDS)*cmg_part_max_pcsn*E$155,IF(E$119&lt;cmg_plaf_1_pct_plaf_inter*E$166,cmg_max,IF(E$119&lt;E$166,cmg_inter,cmg_min)))+(E$22+E$23&gt;0)*MIN((1-taux_CRDS)*cmg_part_max_pcsn*E$162,IF(E$119&lt;cmg_plaf_1_pct_plaf_inter*E$166,cmg_max,IF(E$119&lt;E$166,cmg_inter,cmg_min))))*IF(E3="isolé",1+cmg_majo_iso,1))</f>
        <v>0</v>
      </c>
      <c r="F66" s="212">
        <f>(F$13&lt;&gt;"ga_p")*(((F$21&gt;0)*MIN((1-taux_CRDS)*cmg_part_max_pcsn*F$155,IF(F$119&lt;cmg_plaf_1_pct_plaf_inter*F$166,cmg_max,IF(F$119&lt;F$166,cmg_inter,cmg_min)))+(F$22+F$23&gt;0)*MIN((1-taux_CRDS)*cmg_part_max_pcsn*F$162,IF(F$119&lt;cmg_plaf_1_pct_plaf_inter*F$166,cmg_max,IF(F$119&lt;F$166,cmg_inter,cmg_min))))*IF(F3="isolé",1+cmg_majo_iso,1))</f>
        <v>0</v>
      </c>
      <c r="H66" s="212">
        <f>(H$13&lt;&gt;"ga_p")*(((H$21&gt;0)*MIN((1-taux_CRDS)*cmg_part_max_pcsn*H$155,IF(H$119&lt;cmg_plaf_1_pct_plaf_inter*H$166,cmg_max,IF(H$119&lt;H$166,cmg_inter,cmg_min)))+(H$22+H$23&gt;0)*MIN((1-taux_CRDS)*cmg_part_max_pcsn*H$162,IF(H$119&lt;cmg_plaf_1_pct_plaf_inter*H$166,cmg_max,IF(H$119&lt;H$166,cmg_inter,cmg_min))))*IF(H3="isolé",1+cmg_majo_iso,1))</f>
        <v>0</v>
      </c>
      <c r="I66" s="212">
        <f>(I$13&lt;&gt;"ga_p")*(((I$21&gt;0)*MIN((1-taux_CRDS)*cmg_part_max_pcsn*I$155,IF(I$119&lt;cmg_plaf_1_pct_plaf_inter*I$166,cmg_max,IF(I$119&lt;I$166,cmg_inter,cmg_min)))+(I$22+I$23&gt;0)*MIN((1-taux_CRDS)*cmg_part_max_pcsn*I$162,IF(I$119&lt;cmg_plaf_1_pct_plaf_inter*I$166,cmg_max,IF(I$119&lt;I$166,cmg_inter,cmg_min))))*IF(I3="isolé",1+cmg_majo_iso,1))</f>
        <v>0</v>
      </c>
      <c r="J66" s="212">
        <f>(J$13&lt;&gt;"ga_p")*(((J$21&gt;0)*MIN((1-taux_CRDS)*cmg_part_max_pcsn*J$155,IF(J$119&lt;cmg_plaf_1_pct_plaf_inter*J$166,cmg_max,IF(J$119&lt;J$166,cmg_inter,cmg_min)))+(J$22+J$23&gt;0)*MIN((1-taux_CRDS)*cmg_part_max_pcsn*J$162,IF(J$119&lt;cmg_plaf_1_pct_plaf_inter*J$166,cmg_max,IF(J$119&lt;J$166,cmg_inter,cmg_min))))*IF(J3="isolé",1+cmg_majo_iso,1))</f>
        <v>0</v>
      </c>
      <c r="K66" s="212">
        <f>(K$13&lt;&gt;"ga_p")*(((K$21&gt;0)*MIN((1-taux_CRDS)*cmg_part_max_pcsn*K$155,IF(K$119&lt;cmg_plaf_1_pct_plaf_inter*K$166,cmg_max,IF(K$119&lt;K$166,cmg_inter,cmg_min)))+(K$22+K$23&gt;0)*MIN((1-taux_CRDS)*cmg_part_max_pcsn*K$162,IF(K$119&lt;cmg_plaf_1_pct_plaf_inter*K$166,cmg_max,IF(K$119&lt;K$166,cmg_inter,cmg_min))))*IF(K3="isolé",1+cmg_majo_iso,1))</f>
        <v>0</v>
      </c>
      <c r="M66" s="212">
        <f>(M$13&lt;&gt;"ga_p")*(((M$21&gt;0)*MIN((1-taux_CRDS)*cmg_part_max_pcsn*M$155,IF(M$119&lt;cmg_plaf_1_pct_plaf_inter*M$166,cmg_max,IF(M$119&lt;M$166,cmg_inter,cmg_min)))+(M$22+M$23&gt;0)*MIN((1-taux_CRDS)*cmg_part_max_pcsn*M$162,IF(M$119&lt;cmg_plaf_1_pct_plaf_inter*M$166,cmg_max,IF(M$119&lt;M$166,cmg_inter,cmg_min))))*IF(M3="isolé",1+cmg_majo_iso,1))</f>
        <v>0</v>
      </c>
      <c r="N66" s="212">
        <f>(N$13&lt;&gt;"ga_p")*(((N$21&gt;0)*MIN((1-taux_CRDS)*cmg_part_max_pcsn*N$155,IF(N$119&lt;cmg_plaf_1_pct_plaf_inter*N$166,cmg_max,IF(N$119&lt;N$166,cmg_inter,cmg_min)))+(N$22+N$23&gt;0)*MIN((1-taux_CRDS)*cmg_part_max_pcsn*N$162,IF(N$119&lt;cmg_plaf_1_pct_plaf_inter*N$166,cmg_max,IF(N$119&lt;N$166,cmg_inter,cmg_min))))*IF(N3="isolé",1+cmg_majo_iso,1))</f>
        <v>0</v>
      </c>
      <c r="O66" s="212">
        <f>(O$13&lt;&gt;"ga_p")*(((O$21&gt;0)*MIN((1-taux_CRDS)*cmg_part_max_pcsn*O$155,IF(O$119&lt;cmg_plaf_1_pct_plaf_inter*O$166,cmg_max,IF(O$119&lt;O$166,cmg_inter,cmg_min)))+(O$22+O$23&gt;0)*MIN((1-taux_CRDS)*cmg_part_max_pcsn*O$162,IF(O$119&lt;cmg_plaf_1_pct_plaf_inter*O$166,cmg_max,IF(O$119&lt;O$166,cmg_inter,cmg_min))))*IF(O3="isolé",1+cmg_majo_iso,1))</f>
        <v>0</v>
      </c>
      <c r="P66" s="212">
        <f>(P$13&lt;&gt;"ga_p")*(((P$21&gt;0)*MIN((1-taux_CRDS)*cmg_part_max_pcsn*P$155,IF(P$119&lt;cmg_plaf_1_pct_plaf_inter*P$166,cmg_max,IF(P$119&lt;P$166,cmg_inter,cmg_min)))+(P$22+P$23&gt;0)*MIN((1-taux_CRDS)*cmg_part_max_pcsn*P$162,IF(P$119&lt;cmg_plaf_1_pct_plaf_inter*P$166,cmg_max,IF(P$119&lt;P$166,cmg_inter,cmg_min))))*IF(P3="isolé",1+cmg_majo_iso,1))</f>
        <v>0</v>
      </c>
      <c r="R66" s="212">
        <f>(R$13&lt;&gt;"ga_p")*(((R$21&gt;0)*MIN((1-taux_CRDS)*cmg_part_max_pcsn*R$155,IF(R$119&lt;cmg_plaf_1_pct_plaf_inter*R$166,cmg_max,IF(R$119&lt;R$166,cmg_inter,cmg_min)))+(R$22+R$23&gt;0)*MIN((1-taux_CRDS)*cmg_part_max_pcsn*R$162,IF(R$119&lt;cmg_plaf_1_pct_plaf_inter*R$166,cmg_max,IF(R$119&lt;R$166,cmg_inter,cmg_min))))*IF(R3="isolé",1+cmg_majo_iso,1))</f>
        <v>0</v>
      </c>
      <c r="S66" s="212">
        <f>(S$13&lt;&gt;"ga_p")*(((S$21&gt;0)*MIN((1-taux_CRDS)*cmg_part_max_pcsn*S$155,IF(S$119&lt;cmg_plaf_1_pct_plaf_inter*S$166,cmg_max,IF(S$119&lt;S$166,cmg_inter,cmg_min)))+(S$22+S$23&gt;0)*MIN((1-taux_CRDS)*cmg_part_max_pcsn*S$162,IF(S$119&lt;cmg_plaf_1_pct_plaf_inter*S$166,cmg_max,IF(S$119&lt;S$166,cmg_inter,cmg_min))))*IF(S3="isolé",1+cmg_majo_iso,1))</f>
        <v>0</v>
      </c>
      <c r="T66" s="212">
        <f>(T$13&lt;&gt;"ga_p")*(((T$21&gt;0)*MIN((1-taux_CRDS)*cmg_part_max_pcsn*T$155,IF(T$119&lt;cmg_plaf_1_pct_plaf_inter*T$166,cmg_max,IF(T$119&lt;T$166,cmg_inter,cmg_min)))+(T$22+T$23&gt;0)*MIN((1-taux_CRDS)*cmg_part_max_pcsn*T$162,IF(T$119&lt;cmg_plaf_1_pct_plaf_inter*T$166,cmg_max,IF(T$119&lt;T$166,cmg_inter,cmg_min))))*IF(T3="isolé",1+cmg_majo_iso,1))</f>
        <v>0</v>
      </c>
      <c r="U66" s="212">
        <f>(U$13&lt;&gt;"ga_p")*(((U$21&gt;0)*MIN((1-taux_CRDS)*cmg_part_max_pcsn*U$155,IF(U$119&lt;cmg_plaf_1_pct_plaf_inter*U$166,cmg_max,IF(U$119&lt;U$166,cmg_inter,cmg_min)))+(U$22+U$23&gt;0)*MIN((1-taux_CRDS)*cmg_part_max_pcsn*U$162,IF(U$119&lt;cmg_plaf_1_pct_plaf_inter*U$166,cmg_max,IF(U$119&lt;U$166,cmg_inter,cmg_min))))*IF(U3="isolé",1+cmg_majo_iso,1))</f>
        <v>0</v>
      </c>
    </row>
    <row r="67" spans="1:21" x14ac:dyDescent="0.25">
      <c r="A67" s="225" t="s">
        <v>240</v>
      </c>
      <c r="B67" s="230"/>
      <c r="C67" s="212">
        <f>(C$13&lt;&gt;"ga_p")*((C$21&gt;0)*C$156+(C$22+C$23&gt;0)*C$161)</f>
        <v>0</v>
      </c>
      <c r="D67" s="212">
        <f>(D$13&lt;&gt;"ga_p")*((D$21&gt;0)*D$156+(D$22+D$23&gt;0)*D$161)</f>
        <v>0</v>
      </c>
      <c r="E67" s="212">
        <f>(E$13&lt;&gt;"ga_p")*((E$21&gt;0)*E$156+(E$22+E$23&gt;0)*E$161)</f>
        <v>0</v>
      </c>
      <c r="F67" s="212">
        <f>(F$13&lt;&gt;"ga_p")*((F$21&gt;0)*F$156+(F$22+F$23&gt;0)*F$161)</f>
        <v>0</v>
      </c>
      <c r="H67" s="212">
        <f>(H$13&lt;&gt;"ga_p")*((H$21&gt;0)*H$156+(H$22+H$23&gt;0)*H$161)</f>
        <v>0</v>
      </c>
      <c r="I67" s="212">
        <f>(I$13&lt;&gt;"ga_p")*((I$21&gt;0)*I$156+(I$22+I$23&gt;0)*I$161)</f>
        <v>0</v>
      </c>
      <c r="J67" s="212">
        <f>(J$13&lt;&gt;"ga_p")*((J$21&gt;0)*J$156+(J$22+J$23&gt;0)*J$161)</f>
        <v>0</v>
      </c>
      <c r="K67" s="212">
        <f>(K$13&lt;&gt;"ga_p")*((K$21&gt;0)*K$156+(K$22+K$23&gt;0)*K$161)</f>
        <v>0</v>
      </c>
      <c r="M67" s="212">
        <f>(M$13&lt;&gt;"ga_p")*((M$21&gt;0)*M$156+(M$22+M$23&gt;0)*M$161)</f>
        <v>0</v>
      </c>
      <c r="N67" s="212">
        <f>(N$13&lt;&gt;"ga_p")*((N$21&gt;0)*N$156+(N$22+N$23&gt;0)*N$161)</f>
        <v>0</v>
      </c>
      <c r="O67" s="212">
        <f>(O$13&lt;&gt;"ga_p")*((O$21&gt;0)*O$156+(O$22+O$23&gt;0)*O$161)</f>
        <v>0</v>
      </c>
      <c r="P67" s="212">
        <f>(P$13&lt;&gt;"ga_p")*((P$21&gt;0)*P$156+(P$22+P$23&gt;0)*P$161)</f>
        <v>0</v>
      </c>
      <c r="R67" s="212">
        <f>(R$13&lt;&gt;"ga_p")*((R$21&gt;0)*R$156+(R$22+R$23&gt;0)*R$161)</f>
        <v>0</v>
      </c>
      <c r="S67" s="212">
        <f>(S$13&lt;&gt;"ga_p")*((S$21&gt;0)*S$156+(S$22+S$23&gt;0)*S$161)</f>
        <v>0</v>
      </c>
      <c r="T67" s="212">
        <f>(T$13&lt;&gt;"ga_p")*((T$21&gt;0)*T$156+(T$22+T$23&gt;0)*T$161)</f>
        <v>0</v>
      </c>
      <c r="U67" s="212">
        <f>(U$13&lt;&gt;"ga_p")*((U$21&gt;0)*U$156+(U$22+U$23&gt;0)*U$161)</f>
        <v>0</v>
      </c>
    </row>
    <row r="68" spans="1:21" ht="13" x14ac:dyDescent="0.3">
      <c r="A68" s="221" t="s">
        <v>141</v>
      </c>
      <c r="B68" s="231"/>
      <c r="C68" s="215">
        <f t="shared" ref="C68:D68" si="20">SUM(C59:C65)</f>
        <v>0</v>
      </c>
      <c r="D68" s="215">
        <f t="shared" si="20"/>
        <v>0</v>
      </c>
      <c r="E68" s="215">
        <f t="shared" ref="E68:F68" si="21">SUM(E59:E65)</f>
        <v>0</v>
      </c>
      <c r="F68" s="215">
        <f t="shared" si="21"/>
        <v>0</v>
      </c>
      <c r="H68" s="215">
        <f t="shared" ref="H68:K68" si="22">SUM(H59:H65)</f>
        <v>195.83028621</v>
      </c>
      <c r="I68" s="215">
        <f t="shared" si="22"/>
        <v>195.83028621</v>
      </c>
      <c r="J68" s="215">
        <f t="shared" si="22"/>
        <v>195.83028621</v>
      </c>
      <c r="K68" s="215">
        <f t="shared" si="22"/>
        <v>195.83028621</v>
      </c>
      <c r="M68" s="215">
        <f t="shared" ref="M68:P68" si="23">SUM(M59:M65)</f>
        <v>574.87486160000003</v>
      </c>
      <c r="N68" s="215">
        <f t="shared" si="23"/>
        <v>574.87486160000003</v>
      </c>
      <c r="O68" s="215">
        <f t="shared" si="23"/>
        <v>574.87486160000003</v>
      </c>
      <c r="P68" s="215">
        <f t="shared" si="23"/>
        <v>574.87486160000003</v>
      </c>
      <c r="R68" s="215">
        <f t="shared" ref="R68:U68" si="24">SUM(R59:R65)</f>
        <v>1285.6636924300001</v>
      </c>
      <c r="S68" s="215">
        <f t="shared" si="24"/>
        <v>1285.6636924300001</v>
      </c>
      <c r="T68" s="215">
        <f t="shared" si="24"/>
        <v>1285.6636924300001</v>
      </c>
      <c r="U68" s="215">
        <f t="shared" si="24"/>
        <v>1285.6636924300001</v>
      </c>
    </row>
    <row r="69" spans="1:21" ht="13" x14ac:dyDescent="0.3">
      <c r="A69" s="226" t="s">
        <v>70</v>
      </c>
      <c r="B69" s="232"/>
      <c r="C69" s="216">
        <f>IF(C28="locataire",1,0)*IF(C$13="png",C200,IF(OR(C$13="ga_m",C$13="ga_p"),C200+0.5*(C185-C200),C185))</f>
        <v>291.98274999999995</v>
      </c>
      <c r="D69" s="216">
        <f>IF(D28="locataire",1,0)*IF(D$13="png",D200,IF(OR(D$13="ga_m",D$13="ga_p"),D200+0.5*(D185-D200),D185))</f>
        <v>217.44281760403189</v>
      </c>
      <c r="E69" s="216">
        <f>IF(E28="locataire",1,0)*IF(E$13="png",E200,IF(OR(E$13="ga_m",E$13="ga_p"),E200+0.5*(E185-E200),E185))</f>
        <v>0</v>
      </c>
      <c r="F69" s="216">
        <f>IF(F28="locataire",1,0)*IF(F$13="png",F200,IF(OR(F$13="ga_m",F$13="ga_p"),F200+0.5*(F185-F200),F185))</f>
        <v>0</v>
      </c>
      <c r="H69" s="216">
        <f>IF(H28="locataire",1,0)*IF(H$13="png",H200,IF(OR(H$13="ga_m",H$13="ga_p"),H200+0.5*(H185-H200),H185))</f>
        <v>408.83555000000001</v>
      </c>
      <c r="I69" s="216">
        <f>IF(I28="locataire",1,0)*IF(I$13="png",I200,IF(OR(I$13="ga_m",I$13="ga_p"),I200+0.5*(I185-I200),I185))</f>
        <v>408.83555000000001</v>
      </c>
      <c r="J69" s="216">
        <f>IF(J28="locataire",1,0)*IF(J$13="png",J200,IF(OR(J$13="ga_m",J$13="ga_p"),J200+0.5*(J185-J200),J185))</f>
        <v>220.78900287487463</v>
      </c>
      <c r="K69" s="216">
        <f>IF(K28="locataire",1,0)*IF(K$13="png",K200,IF(OR(K$13="ga_m",K$13="ga_p"),K200+0.5*(K185-K200),K185))</f>
        <v>0</v>
      </c>
      <c r="M69" s="216">
        <f>IF(M28="locataire",1,0)*IF(M$13="png",M200,IF(OR(M$13="ga_m",M$13="ga_p"),M200+0.5*(M185-M200),M185))</f>
        <v>471.62004999999999</v>
      </c>
      <c r="N69" s="216">
        <f>IF(N28="locataire",1,0)*IF(N$13="png",N200,IF(OR(N$13="ga_m",N$13="ga_p"),N200+0.5*(N185-N200),N185))</f>
        <v>471.62004999999999</v>
      </c>
      <c r="O69" s="216">
        <f>IF(O28="locataire",1,0)*IF(O$13="png",O200,IF(OR(O$13="ga_m",O$13="ga_p"),O200+0.5*(O185-O200),O185))</f>
        <v>308.9148606124088</v>
      </c>
      <c r="P69" s="216">
        <f>IF(P28="locataire",1,0)*IF(P$13="png",P200,IF(OR(P$13="ga_m",P$13="ga_p"),P200+0.5*(P185-P200),P185))</f>
        <v>106.52656054361321</v>
      </c>
      <c r="R69" s="216">
        <f>IF(R28="locataire",1,0)*IF(R$13="png",R200,IF(OR(R$13="ga_m",R$13="ga_p"),R200+0.5*(R185-R200),R185))</f>
        <v>534.40454999999997</v>
      </c>
      <c r="S69" s="216">
        <f>IF(S28="locataire",1,0)*IF(S$13="png",S200,IF(OR(S$13="ga_m",S$13="ga_p"),S200+0.5*(S185-S200),S185))</f>
        <v>534.40454999999997</v>
      </c>
      <c r="T69" s="216">
        <f>IF(T28="locataire",1,0)*IF(T$13="png",T200,IF(OR(T$13="ga_m",T$13="ga_p"),T200+0.5*(T185-T200),T185))</f>
        <v>402.11344464487013</v>
      </c>
      <c r="U69" s="216">
        <f>IF(U28="locataire",1,0)*IF(U$13="png",U200,IF(OR(U$13="ga_m",U$13="ga_p"),U200+0.5*(U185-U200),U185))</f>
        <v>227.6147799673052</v>
      </c>
    </row>
    <row r="70" spans="1:21" x14ac:dyDescent="0.25">
      <c r="A70" s="220" t="s">
        <v>318</v>
      </c>
      <c r="B70" s="233"/>
      <c r="C70" s="218">
        <f>((IF(C$257&lt;(bcol_seuil3_1enf+bcol_seuil3_enf_sup*(C$97-1)),bcol_montant3,IF(C$97&lt;(bcol_seuil2_1enf+bcol_seuil2_enf_sup*(C$97-1)),bcol_montant2,IF(C$97&lt;(bcol_seuil1_1enf+bcol_seuil1_enf_sup*(C$97-1)),bcol_montant1,0))))/12)*C$103*(C$13&lt;&gt;"png")*(C$13&lt;&gt;"ga_p")</f>
        <v>0</v>
      </c>
      <c r="D70" s="218">
        <f>((IF(D$257&lt;(bcol_seuil3_1enf+bcol_seuil3_enf_sup*(D$97-1)),bcol_montant3,IF(D$97&lt;(bcol_seuil2_1enf+bcol_seuil2_enf_sup*(D$97-1)),bcol_montant2,IF(D$97&lt;(bcol_seuil1_1enf+bcol_seuil1_enf_sup*(D$97-1)),bcol_montant1,0))))/12)*D$103*(D$13&lt;&gt;"png")*(D$13&lt;&gt;"ga_p")</f>
        <v>0</v>
      </c>
      <c r="E70" s="218">
        <f>((IF(E$257&lt;(bcol_seuil3_1enf+bcol_seuil3_enf_sup*(E$97-1)),bcol_montant3,IF(E$97&lt;(bcol_seuil2_1enf+bcol_seuil2_enf_sup*(E$97-1)),bcol_montant2,IF(E$97&lt;(bcol_seuil1_1enf+bcol_seuil1_enf_sup*(E$97-1)),bcol_montant1,0))))/12)*E$103*(E$13&lt;&gt;"png")*(E$13&lt;&gt;"ga_p")</f>
        <v>0</v>
      </c>
      <c r="F70" s="218">
        <f>((IF(F$257&lt;(bcol_seuil3_1enf+bcol_seuil3_enf_sup*(F$97-1)),bcol_montant3,IF(F$97&lt;(bcol_seuil2_1enf+bcol_seuil2_enf_sup*(F$97-1)),bcol_montant2,IF(F$97&lt;(bcol_seuil1_1enf+bcol_seuil1_enf_sup*(F$97-1)),bcol_montant1,0))))/12)*F$103*(F$13&lt;&gt;"png")*(F$13&lt;&gt;"ga_p")</f>
        <v>0</v>
      </c>
      <c r="H70" s="218">
        <f>((IF(H$257&lt;(bcol_seuil3_1enf+bcol_seuil3_enf_sup*(H$97-1)),bcol_montant3,IF(H$97&lt;(bcol_seuil2_1enf+bcol_seuil2_enf_sup*(H$97-1)),bcol_montant2,IF(H$97&lt;(bcol_seuil1_1enf+bcol_seuil1_enf_sup*(H$97-1)),bcol_montant1,0))))/12)*H$103*(H$13&lt;&gt;"png")*(H$13&lt;&gt;"ga_p")</f>
        <v>0</v>
      </c>
      <c r="I70" s="218">
        <f>((IF(I$257&lt;(bcol_seuil3_1enf+bcol_seuil3_enf_sup*(I$97-1)),bcol_montant3,IF(I$97&lt;(bcol_seuil2_1enf+bcol_seuil2_enf_sup*(I$97-1)),bcol_montant2,IF(I$97&lt;(bcol_seuil1_1enf+bcol_seuil1_enf_sup*(I$97-1)),bcol_montant1,0))))/12)*I$103*(I$13&lt;&gt;"png")*(I$13&lt;&gt;"ga_p")</f>
        <v>0</v>
      </c>
      <c r="J70" s="218">
        <f>((IF(J$257&lt;(bcol_seuil3_1enf+bcol_seuil3_enf_sup*(J$97-1)),bcol_montant3,IF(J$97&lt;(bcol_seuil2_1enf+bcol_seuil2_enf_sup*(J$97-1)),bcol_montant2,IF(J$97&lt;(bcol_seuil1_1enf+bcol_seuil1_enf_sup*(J$97-1)),bcol_montant1,0))))/12)*J$103*(J$13&lt;&gt;"png")*(J$13&lt;&gt;"ga_p")</f>
        <v>0</v>
      </c>
      <c r="K70" s="218">
        <f>((IF(K$257&lt;(bcol_seuil3_1enf+bcol_seuil3_enf_sup*(K$97-1)),bcol_montant3,IF(K$97&lt;(bcol_seuil2_1enf+bcol_seuil2_enf_sup*(K$97-1)),bcol_montant2,IF(K$97&lt;(bcol_seuil1_1enf+bcol_seuil1_enf_sup*(K$97-1)),bcol_montant1,0))))/12)*K$103*(K$13&lt;&gt;"png")*(K$13&lt;&gt;"ga_p")</f>
        <v>0</v>
      </c>
      <c r="M70" s="218">
        <f>((IF(M$257&lt;(bcol_seuil3_1enf+bcol_seuil3_enf_sup*(M$97-1)),bcol_montant3,IF(M$97&lt;(bcol_seuil2_1enf+bcol_seuil2_enf_sup*(M$97-1)),bcol_montant2,IF(M$97&lt;(bcol_seuil1_1enf+bcol_seuil1_enf_sup*(M$97-1)),bcol_montant1,0))))/12)*M$103*(M$13&lt;&gt;"png")*(M$13&lt;&gt;"ga_p")</f>
        <v>0</v>
      </c>
      <c r="N70" s="218">
        <f>((IF(N$257&lt;(bcol_seuil3_1enf+bcol_seuil3_enf_sup*(N$97-1)),bcol_montant3,IF(N$97&lt;(bcol_seuil2_1enf+bcol_seuil2_enf_sup*(N$97-1)),bcol_montant2,IF(N$97&lt;(bcol_seuil1_1enf+bcol_seuil1_enf_sup*(N$97-1)),bcol_montant1,0))))/12)*N$103*(N$13&lt;&gt;"png")*(N$13&lt;&gt;"ga_p")</f>
        <v>0</v>
      </c>
      <c r="O70" s="218">
        <f>((IF(O$257&lt;(bcol_seuil3_1enf+bcol_seuil3_enf_sup*(O$97-1)),bcol_montant3,IF(O$97&lt;(bcol_seuil2_1enf+bcol_seuil2_enf_sup*(O$97-1)),bcol_montant2,IF(O$97&lt;(bcol_seuil1_1enf+bcol_seuil1_enf_sup*(O$97-1)),bcol_montant1,0))))/12)*O$103*(O$13&lt;&gt;"png")*(O$13&lt;&gt;"ga_p")</f>
        <v>0</v>
      </c>
      <c r="P70" s="218">
        <f>((IF(P$257&lt;(bcol_seuil3_1enf+bcol_seuil3_enf_sup*(P$97-1)),bcol_montant3,IF(P$97&lt;(bcol_seuil2_1enf+bcol_seuil2_enf_sup*(P$97-1)),bcol_montant2,IF(P$97&lt;(bcol_seuil1_1enf+bcol_seuil1_enf_sup*(P$97-1)),bcol_montant1,0))))/12)*P$103*(P$13&lt;&gt;"png")*(P$13&lt;&gt;"ga_p")</f>
        <v>0</v>
      </c>
      <c r="R70" s="218">
        <f>((IF(R$257&lt;(bcol_seuil3_1enf+bcol_seuil3_enf_sup*(R$97-1)),bcol_montant3,IF(R$97&lt;(bcol_seuil2_1enf+bcol_seuil2_enf_sup*(R$97-1)),bcol_montant2,IF(R$97&lt;(bcol_seuil1_1enf+bcol_seuil1_enf_sup*(R$97-1)),bcol_montant1,0))))/12)*R$103*(R$13&lt;&gt;"png")*(R$13&lt;&gt;"ga_p")</f>
        <v>0</v>
      </c>
      <c r="S70" s="218">
        <f>((IF(S$257&lt;(bcol_seuil3_1enf+bcol_seuil3_enf_sup*(S$97-1)),bcol_montant3,IF(S$97&lt;(bcol_seuil2_1enf+bcol_seuil2_enf_sup*(S$97-1)),bcol_montant2,IF(S$97&lt;(bcol_seuil1_1enf+bcol_seuil1_enf_sup*(S$97-1)),bcol_montant1,0))))/12)*S$103*(S$13&lt;&gt;"png")*(S$13&lt;&gt;"ga_p")</f>
        <v>0</v>
      </c>
      <c r="T70" s="218">
        <f>((IF(T$257&lt;(bcol_seuil3_1enf+bcol_seuil3_enf_sup*(T$97-1)),bcol_montant3,IF(T$97&lt;(bcol_seuil2_1enf+bcol_seuil2_enf_sup*(T$97-1)),bcol_montant2,IF(T$97&lt;(bcol_seuil1_1enf+bcol_seuil1_enf_sup*(T$97-1)),bcol_montant1,0))))/12)*T$103*(T$13&lt;&gt;"png")*(T$13&lt;&gt;"ga_p")</f>
        <v>0</v>
      </c>
      <c r="U70" s="218">
        <f>((IF(U$257&lt;(bcol_seuil3_1enf+bcol_seuil3_enf_sup*(U$97-1)),bcol_montant3,IF(U$97&lt;(bcol_seuil2_1enf+bcol_seuil2_enf_sup*(U$97-1)),bcol_montant2,IF(U$97&lt;(bcol_seuil1_1enf+bcol_seuil1_enf_sup*(U$97-1)),bcol_montant1,0))))/12)*U$103*(U$13&lt;&gt;"png")*(U$13&lt;&gt;"ga_p")</f>
        <v>0</v>
      </c>
    </row>
    <row r="71" spans="1:21" x14ac:dyDescent="0.25">
      <c r="A71" s="225" t="s">
        <v>319</v>
      </c>
      <c r="B71" s="234"/>
      <c r="C71" s="213">
        <f>(C104*C259/12)*(C$13&lt;&gt;"png")*(C$13&lt;&gt;"ga_p")</f>
        <v>0</v>
      </c>
      <c r="D71" s="213">
        <f>(D104*D259/12)*(D$13&lt;&gt;"png")*(D$13&lt;&gt;"ga_p")</f>
        <v>0</v>
      </c>
      <c r="E71" s="213">
        <f>(E104*E259/12)*(E$13&lt;&gt;"png")*(E$13&lt;&gt;"ga_p")</f>
        <v>0</v>
      </c>
      <c r="F71" s="213">
        <f>(F104*F259/12)*(F$13&lt;&gt;"png")*(F$13&lt;&gt;"ga_p")</f>
        <v>0</v>
      </c>
      <c r="H71" s="213">
        <f>(H104*H259/12)*(H$13&lt;&gt;"png")*(H$13&lt;&gt;"ga_p")</f>
        <v>0</v>
      </c>
      <c r="I71" s="213">
        <f>(I104*I259/12)*(I$13&lt;&gt;"png")*(I$13&lt;&gt;"ga_p")</f>
        <v>0</v>
      </c>
      <c r="J71" s="213">
        <f>(J104*J259/12)*(J$13&lt;&gt;"png")*(J$13&lt;&gt;"ga_p")</f>
        <v>0</v>
      </c>
      <c r="K71" s="213">
        <f>(K104*K259/12)*(K$13&lt;&gt;"png")*(K$13&lt;&gt;"ga_p")</f>
        <v>0</v>
      </c>
      <c r="M71" s="213">
        <f>(M104*M259/12)*(M$13&lt;&gt;"png")*(M$13&lt;&gt;"ga_p")</f>
        <v>0</v>
      </c>
      <c r="N71" s="213">
        <f>(N104*N259/12)*(N$13&lt;&gt;"png")*(N$13&lt;&gt;"ga_p")</f>
        <v>0</v>
      </c>
      <c r="O71" s="213">
        <f>(O104*O259/12)*(O$13&lt;&gt;"png")*(O$13&lt;&gt;"ga_p")</f>
        <v>0</v>
      </c>
      <c r="P71" s="213">
        <f>(P104*P259/12)*(P$13&lt;&gt;"png")*(P$13&lt;&gt;"ga_p")</f>
        <v>0</v>
      </c>
      <c r="R71" s="213">
        <f>(R104*R259/12)*(R$13&lt;&gt;"png")*(R$13&lt;&gt;"ga_p")</f>
        <v>0</v>
      </c>
      <c r="S71" s="213">
        <f>(S104*S259/12)*(S$13&lt;&gt;"png")*(S$13&lt;&gt;"ga_p")</f>
        <v>0</v>
      </c>
      <c r="T71" s="213">
        <f>(T104*T259/12)*(T$13&lt;&gt;"png")*(T$13&lt;&gt;"ga_p")</f>
        <v>0</v>
      </c>
      <c r="U71" s="213">
        <f>(U104*U259/12)*(U$13&lt;&gt;"png")*(U$13&lt;&gt;"ga_p")</f>
        <v>0</v>
      </c>
    </row>
    <row r="72" spans="1:21" x14ac:dyDescent="0.25">
      <c r="A72" s="225" t="s">
        <v>356</v>
      </c>
      <c r="B72" s="234"/>
      <c r="C72" s="213">
        <f>(C10*C265/12)*(C$13&lt;&gt;"png")*(C$13&lt;&gt;"ga_p")</f>
        <v>0</v>
      </c>
      <c r="D72" s="213">
        <f>(D10*D265/12)*(D$13&lt;&gt;"png")*(D$13&lt;&gt;"ga_p")</f>
        <v>0</v>
      </c>
      <c r="E72" s="213">
        <f>(E10*E265/12)*(E$13&lt;&gt;"png")*(E$13&lt;&gt;"ga_p")</f>
        <v>0</v>
      </c>
      <c r="F72" s="213">
        <f>(F10*F265/12)*(F$13&lt;&gt;"png")*(F$13&lt;&gt;"ga_p")</f>
        <v>0</v>
      </c>
      <c r="H72" s="213">
        <f>(H10*H265/12)*(H$13&lt;&gt;"png")*(H$13&lt;&gt;"ga_p")</f>
        <v>0</v>
      </c>
      <c r="I72" s="213">
        <f>(I10*I265/12)*(I$13&lt;&gt;"png")*(I$13&lt;&gt;"ga_p")</f>
        <v>0</v>
      </c>
      <c r="J72" s="213">
        <f>(J10*J265/12)*(J$13&lt;&gt;"png")*(J$13&lt;&gt;"ga_p")</f>
        <v>0</v>
      </c>
      <c r="K72" s="213">
        <f>(K10*K265/12)*(K$13&lt;&gt;"png")*(K$13&lt;&gt;"ga_p")</f>
        <v>0</v>
      </c>
      <c r="M72" s="213">
        <f>(M10*M265/12)*(M$13&lt;&gt;"png")*(M$13&lt;&gt;"ga_p")</f>
        <v>0</v>
      </c>
      <c r="N72" s="213">
        <f>(N10*N265/12)*(N$13&lt;&gt;"png")*(N$13&lt;&gt;"ga_p")</f>
        <v>0</v>
      </c>
      <c r="O72" s="213">
        <f>(O10*O265/12)*(O$13&lt;&gt;"png")*(O$13&lt;&gt;"ga_p")</f>
        <v>0</v>
      </c>
      <c r="P72" s="213">
        <f>(P10*P265/12)*(P$13&lt;&gt;"png")*(P$13&lt;&gt;"ga_p")</f>
        <v>0</v>
      </c>
      <c r="R72" s="213">
        <f>(R10*R265/12)*(R$13&lt;&gt;"png")*(R$13&lt;&gt;"ga_p")</f>
        <v>0</v>
      </c>
      <c r="S72" s="213">
        <f>(S10*S265/12)*(S$13&lt;&gt;"png")*(S$13&lt;&gt;"ga_p")</f>
        <v>0</v>
      </c>
      <c r="T72" s="213">
        <f>(T10*T265/12)*(T$13&lt;&gt;"png")*(T$13&lt;&gt;"ga_p")</f>
        <v>0</v>
      </c>
      <c r="U72" s="213">
        <f>(U10*U265/12)*(U$13&lt;&gt;"png")*(U$13&lt;&gt;"ga_p")</f>
        <v>0</v>
      </c>
    </row>
    <row r="73" spans="1:21" ht="13" x14ac:dyDescent="0.3">
      <c r="A73" s="221" t="s">
        <v>385</v>
      </c>
      <c r="B73" s="231"/>
      <c r="C73" s="215">
        <f t="shared" ref="C73:D73" si="25">SUM(C70:C72)</f>
        <v>0</v>
      </c>
      <c r="D73" s="215">
        <f t="shared" si="25"/>
        <v>0</v>
      </c>
      <c r="E73" s="215">
        <f t="shared" ref="E73:F73" si="26">SUM(E70:E72)</f>
        <v>0</v>
      </c>
      <c r="F73" s="215">
        <f t="shared" si="26"/>
        <v>0</v>
      </c>
      <c r="H73" s="215">
        <f t="shared" ref="H73:K73" si="27">SUM(H70:H72)</f>
        <v>0</v>
      </c>
      <c r="I73" s="215">
        <f t="shared" si="27"/>
        <v>0</v>
      </c>
      <c r="J73" s="215">
        <f t="shared" si="27"/>
        <v>0</v>
      </c>
      <c r="K73" s="215">
        <f t="shared" si="27"/>
        <v>0</v>
      </c>
      <c r="M73" s="215">
        <f t="shared" ref="M73:P73" si="28">SUM(M70:M72)</f>
        <v>0</v>
      </c>
      <c r="N73" s="215">
        <f t="shared" si="28"/>
        <v>0</v>
      </c>
      <c r="O73" s="215">
        <f t="shared" si="28"/>
        <v>0</v>
      </c>
      <c r="P73" s="215">
        <f t="shared" si="28"/>
        <v>0</v>
      </c>
      <c r="R73" s="215">
        <f t="shared" ref="R73:U73" si="29">SUM(R70:R72)</f>
        <v>0</v>
      </c>
      <c r="S73" s="215">
        <f t="shared" si="29"/>
        <v>0</v>
      </c>
      <c r="T73" s="215">
        <f t="shared" si="29"/>
        <v>0</v>
      </c>
      <c r="U73" s="215">
        <f t="shared" si="29"/>
        <v>0</v>
      </c>
    </row>
    <row r="74" spans="1:21" ht="13" x14ac:dyDescent="0.3">
      <c r="A74" s="227" t="s">
        <v>335</v>
      </c>
      <c r="B74" s="235"/>
      <c r="C74" s="217">
        <f>C$32*C$205+(C$3="couple")*C$33*C$207</f>
        <v>0</v>
      </c>
      <c r="D74" s="217">
        <f>D$32*D$205+(D$3="couple")*D$33*D$207</f>
        <v>0</v>
      </c>
      <c r="E74" s="217">
        <f>E$32*E$205+(E$3="couple")*E$33*E$207</f>
        <v>0</v>
      </c>
      <c r="F74" s="217">
        <f>F$32*F$205+(F$3="couple")*F$33*F$207</f>
        <v>0</v>
      </c>
      <c r="H74" s="217">
        <f>H$32*H$205+(H$3="couple")*H$33*H$207</f>
        <v>0</v>
      </c>
      <c r="I74" s="217">
        <f>I$32*I$205+(I$3="couple")*I$33*I$207</f>
        <v>0</v>
      </c>
      <c r="J74" s="217">
        <f>J$32*J$205+(J$3="couple")*J$33*J$207</f>
        <v>0</v>
      </c>
      <c r="K74" s="217">
        <f>K$32*K$205+(K$3="couple")*K$33*K$207</f>
        <v>0</v>
      </c>
      <c r="M74" s="217">
        <f>M$32*M$205+(M$3="couple")*M$33*M$207</f>
        <v>0</v>
      </c>
      <c r="N74" s="217">
        <f>N$32*N$205+(N$3="couple")*N$33*N$207</f>
        <v>0</v>
      </c>
      <c r="O74" s="217">
        <f>O$32*O$205+(O$3="couple")*O$33*O$207</f>
        <v>0</v>
      </c>
      <c r="P74" s="217">
        <f>P$32*P$205+(P$3="couple")*P$33*P$207</f>
        <v>0</v>
      </c>
      <c r="R74" s="217">
        <f>R$32*R$205+(R$3="couple")*R$33*R$207</f>
        <v>0</v>
      </c>
      <c r="S74" s="217">
        <f>S$32*S$205+(S$3="couple")*S$33*S$207</f>
        <v>0</v>
      </c>
      <c r="T74" s="217">
        <f>T$32*T$205+(T$3="couple")*T$33*T$207</f>
        <v>0</v>
      </c>
      <c r="U74" s="217">
        <f>U$32*U$205+(U$3="couple")*U$33*U$207</f>
        <v>0</v>
      </c>
    </row>
    <row r="75" spans="1:21" ht="13" x14ac:dyDescent="0.3">
      <c r="A75" s="226" t="s">
        <v>84</v>
      </c>
      <c r="B75" s="232"/>
      <c r="C75" s="216">
        <f>(C$218&gt;=rsa_seuil_versement)*C$218</f>
        <v>559.4248</v>
      </c>
      <c r="D75" s="216">
        <f>(D$218&gt;=rsa_seuil_versement)*D$218</f>
        <v>0</v>
      </c>
      <c r="E75" s="216">
        <f>(E$218&gt;=rsa_seuil_versement)*E$218</f>
        <v>0</v>
      </c>
      <c r="F75" s="216">
        <f>(F$218&gt;=rsa_seuil_versement)*F$218</f>
        <v>0</v>
      </c>
      <c r="H75" s="216">
        <f>(H$218&gt;=rsa_seuil_versement)*H$218</f>
        <v>696.04560000000004</v>
      </c>
      <c r="I75" s="216">
        <f>(I$218&gt;=rsa_seuil_versement)*I$218</f>
        <v>0</v>
      </c>
      <c r="J75" s="216">
        <f>(J$218&gt;=rsa_seuil_versement)*J$218</f>
        <v>0</v>
      </c>
      <c r="K75" s="216">
        <f>(K$218&gt;=rsa_seuil_versement)*K$218</f>
        <v>0</v>
      </c>
      <c r="M75" s="216">
        <f>(M$218&gt;=rsa_seuil_versement)*M$218</f>
        <v>596.31333000000006</v>
      </c>
      <c r="N75" s="216">
        <f>(N$218&gt;=rsa_seuil_versement)*N$218</f>
        <v>0</v>
      </c>
      <c r="O75" s="216">
        <f>(O$218&gt;=rsa_seuil_versement)*O$218</f>
        <v>0</v>
      </c>
      <c r="P75" s="216">
        <f>(P$218&gt;=rsa_seuil_versement)*P$218</f>
        <v>0</v>
      </c>
      <c r="R75" s="216">
        <f>(R$218&gt;=rsa_seuil_versement)*R$218</f>
        <v>360.13567000000035</v>
      </c>
      <c r="S75" s="216">
        <f>(S$218&gt;=rsa_seuil_versement)*S$218</f>
        <v>0</v>
      </c>
      <c r="T75" s="216">
        <f>(T$218&gt;=rsa_seuil_versement)*T$218</f>
        <v>0</v>
      </c>
      <c r="U75" s="216">
        <f>(U$218&gt;=rsa_seuil_versement)*U$218</f>
        <v>0</v>
      </c>
    </row>
    <row r="76" spans="1:21" ht="13" x14ac:dyDescent="0.3">
      <c r="A76" s="227" t="s">
        <v>142</v>
      </c>
      <c r="B76" s="235"/>
      <c r="C76" s="217">
        <f>(C$229&gt;=pa_seuil_versement)*C$229*(1-taux_CRDS)</f>
        <v>0</v>
      </c>
      <c r="D76" s="217">
        <f>(D$229&gt;=pa_seuil_versement)*D$229*(1-taux_CRDS)</f>
        <v>273.79206050000005</v>
      </c>
      <c r="E76" s="217">
        <f>(E$229&gt;=pa_seuil_versement)*E$229*(1-taux_CRDS)</f>
        <v>257.03536500000001</v>
      </c>
      <c r="F76" s="217">
        <f>(F$229&gt;=pa_seuil_versement)*F$229*(1-taux_CRDS)</f>
        <v>0</v>
      </c>
      <c r="H76" s="217">
        <f>(H$229&gt;=pa_seuil_versement)*H$229*(1-taux_CRDS)</f>
        <v>0</v>
      </c>
      <c r="I76" s="217">
        <f>(I$229&gt;=pa_seuil_versement)*I$229*(1-taux_CRDS)</f>
        <v>404.78420849999992</v>
      </c>
      <c r="J76" s="217">
        <f>(J$229&gt;=pa_seuil_versement)*J$229*(1-taux_CRDS)</f>
        <v>313.68549100000001</v>
      </c>
      <c r="K76" s="217">
        <f>(K$229&gt;=pa_seuil_versement)*K$229*(1-taux_CRDS)</f>
        <v>190.98676749999956</v>
      </c>
      <c r="M76" s="217">
        <f>(M$229&gt;=pa_seuil_versement)*M$229*(1-taux_CRDS)</f>
        <v>0</v>
      </c>
      <c r="N76" s="217">
        <f>(N$229&gt;=pa_seuil_versement)*N$229*(1-taux_CRDS)</f>
        <v>302.38805204999977</v>
      </c>
      <c r="O76" s="217">
        <f>(O$229&gt;=pa_seuil_versement)*O$229*(1-taux_CRDS)</f>
        <v>211.28933454999989</v>
      </c>
      <c r="P76" s="217">
        <f>(P$229&gt;=pa_seuil_versement)*P$229*(1-taux_CRDS)</f>
        <v>17.909143759104342</v>
      </c>
      <c r="R76" s="217">
        <f>(R$229&gt;=pa_seuil_versement)*R$229*(1-taux_CRDS)</f>
        <v>0</v>
      </c>
      <c r="S76" s="217">
        <f>(S$229&gt;=pa_seuil_versement)*S$229*(1-taux_CRDS)</f>
        <v>62.185440349999993</v>
      </c>
      <c r="T76" s="217">
        <f>(T$229&gt;=pa_seuil_versement)*T$229*(1-taux_CRDS)</f>
        <v>0</v>
      </c>
      <c r="U76" s="217">
        <f>(U$229&gt;=pa_seuil_versement)*U$229*(1-taux_CRDS)</f>
        <v>0</v>
      </c>
    </row>
    <row r="77" spans="1:21" ht="13" x14ac:dyDescent="0.3">
      <c r="A77" s="222" t="s">
        <v>3</v>
      </c>
      <c r="B77" s="236"/>
      <c r="C77" s="214">
        <f t="shared" ref="C77:D77" si="30">C68+C69+C70+C71+C72+C74+C75+C76</f>
        <v>851.4075499999999</v>
      </c>
      <c r="D77" s="214">
        <f t="shared" si="30"/>
        <v>491.23487810403196</v>
      </c>
      <c r="E77" s="214">
        <f t="shared" ref="E77:F77" si="31">E68+E69+E70+E71+E72+E74+E75+E76</f>
        <v>257.03536500000001</v>
      </c>
      <c r="F77" s="214">
        <f t="shared" si="31"/>
        <v>0</v>
      </c>
      <c r="H77" s="214">
        <f t="shared" ref="H77:K77" si="32">H68+H69+H70+H71+H72+H74+H75+H76</f>
        <v>1300.7114362100001</v>
      </c>
      <c r="I77" s="214">
        <f t="shared" si="32"/>
        <v>1009.4500447099999</v>
      </c>
      <c r="J77" s="214">
        <f t="shared" si="32"/>
        <v>730.30478008487466</v>
      </c>
      <c r="K77" s="214">
        <f t="shared" si="32"/>
        <v>386.81705370999953</v>
      </c>
      <c r="M77" s="214">
        <f t="shared" ref="M77:P77" si="33">M68+M69+M70+M71+M72+M74+M75+M76</f>
        <v>1642.8082416000002</v>
      </c>
      <c r="N77" s="214">
        <f t="shared" si="33"/>
        <v>1348.8829636499997</v>
      </c>
      <c r="O77" s="214">
        <f t="shared" si="33"/>
        <v>1095.0790567624088</v>
      </c>
      <c r="P77" s="214">
        <f t="shared" si="33"/>
        <v>699.3105659027176</v>
      </c>
      <c r="R77" s="214">
        <f t="shared" ref="R77:U77" si="34">R68+R69+R70+R71+R72+R74+R75+R76</f>
        <v>2180.2039124300004</v>
      </c>
      <c r="S77" s="214">
        <f t="shared" si="34"/>
        <v>1882.25368278</v>
      </c>
      <c r="T77" s="214">
        <f t="shared" si="34"/>
        <v>1687.7771370748701</v>
      </c>
      <c r="U77" s="214">
        <f t="shared" si="34"/>
        <v>1513.2784723973052</v>
      </c>
    </row>
    <row r="78" spans="1:21" ht="13" x14ac:dyDescent="0.3">
      <c r="A78" s="222" t="s">
        <v>416</v>
      </c>
      <c r="B78" s="228"/>
      <c r="C78" s="214">
        <f>C$254/12</f>
        <v>0</v>
      </c>
      <c r="D78" s="214">
        <f>D$254/12</f>
        <v>0</v>
      </c>
      <c r="E78" s="214">
        <f>E$254/12</f>
        <v>0</v>
      </c>
      <c r="F78" s="214">
        <f>F$254/12</f>
        <v>82.164760956023912</v>
      </c>
      <c r="H78" s="214">
        <f>H$254/12</f>
        <v>0</v>
      </c>
      <c r="I78" s="214">
        <f>I$254/12</f>
        <v>0</v>
      </c>
      <c r="J78" s="214">
        <f>J$254/12</f>
        <v>0</v>
      </c>
      <c r="K78" s="214">
        <f>K$254/12</f>
        <v>0</v>
      </c>
      <c r="M78" s="214">
        <f>M$254/12</f>
        <v>0</v>
      </c>
      <c r="N78" s="214">
        <f>N$254/12</f>
        <v>0</v>
      </c>
      <c r="O78" s="214">
        <f>O$254/12</f>
        <v>0</v>
      </c>
      <c r="P78" s="214">
        <f>P$254/12</f>
        <v>0</v>
      </c>
      <c r="R78" s="214">
        <f>R$254/12</f>
        <v>0</v>
      </c>
      <c r="S78" s="214">
        <f>S$254/12</f>
        <v>0</v>
      </c>
      <c r="T78" s="214">
        <f>T$254/12</f>
        <v>0</v>
      </c>
      <c r="U78" s="214">
        <f>U$254/12</f>
        <v>0</v>
      </c>
    </row>
    <row r="79" spans="1:21" ht="13" x14ac:dyDescent="0.3">
      <c r="A79" s="442" t="s">
        <v>354</v>
      </c>
      <c r="B79" s="443"/>
      <c r="C79" s="214">
        <f>C$58+C$77-C$78+C$52-C$53</f>
        <v>851.4075499999999</v>
      </c>
      <c r="D79" s="214">
        <f>D$58+D$77-D$78+D$52-D$53</f>
        <v>1190.584878104032</v>
      </c>
      <c r="E79" s="214">
        <f>E$58+E$77-E$78+E$52-E$53</f>
        <v>1655.735365</v>
      </c>
      <c r="F79" s="214">
        <f>F$58+F$77-F$78+F$52-F$53</f>
        <v>2015.8852390439763</v>
      </c>
      <c r="H79" s="214">
        <f>H$58+H$77-H$78+H$52-H$53</f>
        <v>1300.7114362100001</v>
      </c>
      <c r="I79" s="214">
        <f>I$58+I$77-I$78+I$52-I$53</f>
        <v>1708.8000447099998</v>
      </c>
      <c r="J79" s="214">
        <f>J$58+J$77-J$78+J$52-J$53</f>
        <v>2129.0047800848747</v>
      </c>
      <c r="K79" s="214">
        <f>K$58+K$77-K$78+K$52-K$53</f>
        <v>2484.8670537099997</v>
      </c>
      <c r="M79" s="214">
        <f>M$58+M$77-M$78+M$52-M$53</f>
        <v>1642.8082416000002</v>
      </c>
      <c r="N79" s="214">
        <f>N$58+N$77-N$78+N$52-N$53</f>
        <v>2048.2329636499999</v>
      </c>
      <c r="O79" s="214">
        <f>O$58+O$77-O$78+O$52-O$53</f>
        <v>2493.7790567624088</v>
      </c>
      <c r="P79" s="214">
        <f>P$58+P$77-P$78+P$52-P$53</f>
        <v>2797.360565902718</v>
      </c>
      <c r="R79" s="214">
        <f>R$58+R$77-R$78+R$52-R$53</f>
        <v>2180.2039124300004</v>
      </c>
      <c r="S79" s="214">
        <f>S$58+S$77-S$78+S$52-S$53</f>
        <v>2581.6036827799999</v>
      </c>
      <c r="T79" s="214">
        <f>T$58+T$77-T$78+T$52-T$53</f>
        <v>3086.4771370748704</v>
      </c>
      <c r="U79" s="214">
        <f>U$58+U$77-U$78+U$52-U$53</f>
        <v>3611.3284723973056</v>
      </c>
    </row>
    <row r="82" spans="1:21" ht="13" x14ac:dyDescent="0.3">
      <c r="A82" s="219" t="s">
        <v>391</v>
      </c>
      <c r="B82" s="237"/>
      <c r="C82" s="438"/>
      <c r="D82" s="438"/>
      <c r="E82" s="438"/>
      <c r="F82" s="438"/>
      <c r="H82" s="438"/>
      <c r="I82" s="438"/>
      <c r="J82" s="438"/>
      <c r="K82" s="438"/>
      <c r="M82" s="438"/>
      <c r="N82" s="438"/>
      <c r="O82" s="438"/>
      <c r="P82" s="438"/>
      <c r="R82" s="438"/>
      <c r="S82" s="438"/>
      <c r="T82" s="438"/>
      <c r="U82" s="438"/>
    </row>
    <row r="83" spans="1:21" ht="13" x14ac:dyDescent="0.3">
      <c r="A83" s="445"/>
      <c r="B83" s="429"/>
      <c r="C83" s="446"/>
      <c r="D83" s="446"/>
      <c r="E83" s="446"/>
      <c r="F83" s="446"/>
      <c r="H83" s="446"/>
      <c r="I83" s="446"/>
      <c r="J83" s="446"/>
      <c r="K83" s="446"/>
      <c r="M83" s="446"/>
      <c r="N83" s="446"/>
      <c r="O83" s="446"/>
      <c r="P83" s="446"/>
      <c r="R83" s="446"/>
      <c r="S83" s="446"/>
      <c r="T83" s="446"/>
      <c r="U83" s="446"/>
    </row>
    <row r="84" spans="1:21" s="272" customFormat="1" x14ac:dyDescent="0.25">
      <c r="A84" s="220" t="s">
        <v>408</v>
      </c>
      <c r="B84" s="233"/>
      <c r="C84" s="333">
        <f>(C$3="isolé")*(1
+(C$13="solo")*(uc_enf*C$99+(uc_ado-uc_enf)*C$102)
+(C$13="pg")*(uc_enf*C$99+(uc_ado-uc_enf)*C$102)
+(C$13="png")*0
+(OR(C$13="ga_m",C$13="ga_p"))*(1/2)*(1+$A$83)*(uc_enf*C$99+(uc_ado-uc_enf)*C$102))
+(C$3="couple")*(1.5+uc_enf*C$99+(uc_ado-uc_enf)*C$102)</f>
        <v>1</v>
      </c>
      <c r="D84" s="333">
        <f>(D$3="isolé")*(1
+(D$13="solo")*(uc_enf*D$99+(uc_ado-uc_enf)*D$102)
+(D$13="pg")*(uc_enf*D$99+(uc_ado-uc_enf)*D$102)
+(D$13="png")*0
+(OR(D$13="ga_m",D$13="ga_p"))*(1/2)*(1+$A$83)*(uc_enf*D$99+(uc_ado-uc_enf)*D$102))
+(D$3="couple")*(1.5+uc_enf*D$99+(uc_ado-uc_enf)*D$102)</f>
        <v>1</v>
      </c>
      <c r="E84" s="333">
        <f>(E$3="isolé")*(1
+(E$13="solo")*(uc_enf*E$99+(uc_ado-uc_enf)*E$102)
+(E$13="pg")*(uc_enf*E$99+(uc_ado-uc_enf)*E$102)
+(E$13="png")*0
+(OR(E$13="ga_m",E$13="ga_p"))*(1/2)*(1+$A$83)*(uc_enf*E$99+(uc_ado-uc_enf)*E$102))
+(E$3="couple")*(1.5+uc_enf*E$99+(uc_ado-uc_enf)*E$102)</f>
        <v>1</v>
      </c>
      <c r="F84" s="333">
        <f>(F$3="isolé")*(1
+(F$13="solo")*(uc_enf*F$99+(uc_ado-uc_enf)*F$102)
+(F$13="pg")*(uc_enf*F$99+(uc_ado-uc_enf)*F$102)
+(F$13="png")*0
+(OR(F$13="ga_m",F$13="ga_p"))*(1/2)*(1+$A$83)*(uc_enf*F$99+(uc_ado-uc_enf)*F$102))
+(F$3="couple")*(1.5+uc_enf*F$99+(uc_ado-uc_enf)*F$102)</f>
        <v>1</v>
      </c>
      <c r="H84" s="333">
        <f>(H$3="isolé")*(1
+(H$13="solo")*(uc_enf*H$99+(uc_ado-uc_enf)*H$102)
+(H$13="pg")*(uc_enf*H$99+(uc_ado-uc_enf)*H$102)
+(H$13="png")*0
+(OR(H$13="ga_m",H$13="ga_p"))*(1/2)*(1+$A$83)*(uc_enf*H$99+(uc_ado-uc_enf)*H$102))
+(H$3="couple")*(1.5+uc_enf*H$99+(uc_ado-uc_enf)*H$102)</f>
        <v>1.3</v>
      </c>
      <c r="I84" s="333">
        <f>(I$3="isolé")*(1
+(I$13="solo")*(uc_enf*I$99+(uc_ado-uc_enf)*I$102)
+(I$13="pg")*(uc_enf*I$99+(uc_ado-uc_enf)*I$102)
+(I$13="png")*0
+(OR(I$13="ga_m",I$13="ga_p"))*(1/2)*(1+$A$83)*(uc_enf*I$99+(uc_ado-uc_enf)*I$102))
+(I$3="couple")*(1.5+uc_enf*I$99+(uc_ado-uc_enf)*I$102)</f>
        <v>1.3</v>
      </c>
      <c r="J84" s="333">
        <f>(J$3="isolé")*(1
+(J$13="solo")*(uc_enf*J$99+(uc_ado-uc_enf)*J$102)
+(J$13="pg")*(uc_enf*J$99+(uc_ado-uc_enf)*J$102)
+(J$13="png")*0
+(OR(J$13="ga_m",J$13="ga_p"))*(1/2)*(1+$A$83)*(uc_enf*J$99+(uc_ado-uc_enf)*J$102))
+(J$3="couple")*(1.5+uc_enf*J$99+(uc_ado-uc_enf)*J$102)</f>
        <v>1.3</v>
      </c>
      <c r="K84" s="333">
        <f>(K$3="isolé")*(1
+(K$13="solo")*(uc_enf*K$99+(uc_ado-uc_enf)*K$102)
+(K$13="pg")*(uc_enf*K$99+(uc_ado-uc_enf)*K$102)
+(K$13="png")*0
+(OR(K$13="ga_m",K$13="ga_p"))*(1/2)*(1+$A$83)*(uc_enf*K$99+(uc_ado-uc_enf)*K$102))
+(K$3="couple")*(1.5+uc_enf*K$99+(uc_ado-uc_enf)*K$102)</f>
        <v>1.3</v>
      </c>
      <c r="M84" s="333">
        <f>(M$3="isolé")*(1
+(M$13="solo")*(uc_enf*M$99+(uc_ado-uc_enf)*M$102)
+(M$13="pg")*(uc_enf*M$99+(uc_ado-uc_enf)*M$102)
+(M$13="png")*0
+(OR(M$13="ga_m",M$13="ga_p"))*(1/2)*(1+$A$83)*(uc_enf*M$99+(uc_ado-uc_enf)*M$102))
+(M$3="couple")*(1.5+uc_enf*M$99+(uc_ado-uc_enf)*M$102)</f>
        <v>1.6</v>
      </c>
      <c r="N84" s="333">
        <f>(N$3="isolé")*(1
+(N$13="solo")*(uc_enf*N$99+(uc_ado-uc_enf)*N$102)
+(N$13="pg")*(uc_enf*N$99+(uc_ado-uc_enf)*N$102)
+(N$13="png")*0
+(OR(N$13="ga_m",N$13="ga_p"))*(1/2)*(1+$A$83)*(uc_enf*N$99+(uc_ado-uc_enf)*N$102))
+(N$3="couple")*(1.5+uc_enf*N$99+(uc_ado-uc_enf)*N$102)</f>
        <v>1.6</v>
      </c>
      <c r="O84" s="333">
        <f>(O$3="isolé")*(1
+(O$13="solo")*(uc_enf*O$99+(uc_ado-uc_enf)*O$102)
+(O$13="pg")*(uc_enf*O$99+(uc_ado-uc_enf)*O$102)
+(O$13="png")*0
+(OR(O$13="ga_m",O$13="ga_p"))*(1/2)*(1+$A$83)*(uc_enf*O$99+(uc_ado-uc_enf)*O$102))
+(O$3="couple")*(1.5+uc_enf*O$99+(uc_ado-uc_enf)*O$102)</f>
        <v>1.6</v>
      </c>
      <c r="P84" s="333">
        <f>(P$3="isolé")*(1
+(P$13="solo")*(uc_enf*P$99+(uc_ado-uc_enf)*P$102)
+(P$13="pg")*(uc_enf*P$99+(uc_ado-uc_enf)*P$102)
+(P$13="png")*0
+(OR(P$13="ga_m",P$13="ga_p"))*(1/2)*(1+$A$83)*(uc_enf*P$99+(uc_ado-uc_enf)*P$102))
+(P$3="couple")*(1.5+uc_enf*P$99+(uc_ado-uc_enf)*P$102)</f>
        <v>1.6</v>
      </c>
      <c r="R84" s="333">
        <f>(R$3="isolé")*(1
+(R$13="solo")*(uc_enf*R$99+(uc_ado-uc_enf)*R$102)
+(R$13="pg")*(uc_enf*R$99+(uc_ado-uc_enf)*R$102)
+(R$13="png")*0
+(OR(R$13="ga_m",R$13="ga_p"))*(1/2)*(1+$A$83)*(uc_enf*R$99+(uc_ado-uc_enf)*R$102))
+(R$3="couple")*(1.5+uc_enf*R$99+(uc_ado-uc_enf)*R$102)</f>
        <v>1.9</v>
      </c>
      <c r="S84" s="333">
        <f>(S$3="isolé")*(1
+(S$13="solo")*(uc_enf*S$99+(uc_ado-uc_enf)*S$102)
+(S$13="pg")*(uc_enf*S$99+(uc_ado-uc_enf)*S$102)
+(S$13="png")*0
+(OR(S$13="ga_m",S$13="ga_p"))*(1/2)*(1+$A$83)*(uc_enf*S$99+(uc_ado-uc_enf)*S$102))
+(S$3="couple")*(1.5+uc_enf*S$99+(uc_ado-uc_enf)*S$102)</f>
        <v>1.9</v>
      </c>
      <c r="T84" s="333">
        <f>(T$3="isolé")*(1
+(T$13="solo")*(uc_enf*T$99+(uc_ado-uc_enf)*T$102)
+(T$13="pg")*(uc_enf*T$99+(uc_ado-uc_enf)*T$102)
+(T$13="png")*0
+(OR(T$13="ga_m",T$13="ga_p"))*(1/2)*(1+$A$83)*(uc_enf*T$99+(uc_ado-uc_enf)*T$102))
+(T$3="couple")*(1.5+uc_enf*T$99+(uc_ado-uc_enf)*T$102)</f>
        <v>1.9</v>
      </c>
      <c r="U84" s="333">
        <f>(U$3="isolé")*(1
+(U$13="solo")*(uc_enf*U$99+(uc_ado-uc_enf)*U$102)
+(U$13="pg")*(uc_enf*U$99+(uc_ado-uc_enf)*U$102)
+(U$13="png")*0
+(OR(U$13="ga_m",U$13="ga_p"))*(1/2)*(1+$A$83)*(uc_enf*U$99+(uc_ado-uc_enf)*U$102))
+(U$3="couple")*(1.5+uc_enf*U$99+(uc_ado-uc_enf)*U$102)</f>
        <v>1.9</v>
      </c>
    </row>
    <row r="85" spans="1:21" ht="13" x14ac:dyDescent="0.3">
      <c r="A85" s="221" t="s">
        <v>513</v>
      </c>
      <c r="B85" s="231"/>
      <c r="C85" s="215">
        <f>C79/C84</f>
        <v>851.4075499999999</v>
      </c>
      <c r="D85" s="215">
        <f>D79/D84</f>
        <v>1190.584878104032</v>
      </c>
      <c r="E85" s="215">
        <f>E79/E84</f>
        <v>1655.735365</v>
      </c>
      <c r="F85" s="215">
        <f>F79/F84</f>
        <v>2015.8852390439763</v>
      </c>
      <c r="H85" s="215">
        <f>H79/H84</f>
        <v>1000.5472586230769</v>
      </c>
      <c r="I85" s="215">
        <f>I79/I84</f>
        <v>1314.4615728538461</v>
      </c>
      <c r="J85" s="215">
        <f>J79/J84</f>
        <v>1637.6959846806728</v>
      </c>
      <c r="K85" s="215">
        <f>K79/K84</f>
        <v>1911.4361951615381</v>
      </c>
      <c r="M85" s="215">
        <f>M79/M84</f>
        <v>1026.7551510000001</v>
      </c>
      <c r="N85" s="215">
        <f>N79/N84</f>
        <v>1280.1456022812499</v>
      </c>
      <c r="O85" s="215">
        <f>O79/O84</f>
        <v>1558.6119104765055</v>
      </c>
      <c r="P85" s="215">
        <f>P79/P84</f>
        <v>1748.3503536891988</v>
      </c>
      <c r="R85" s="215">
        <f>R79/R84</f>
        <v>1147.4757433842108</v>
      </c>
      <c r="S85" s="215">
        <f>S79/S84</f>
        <v>1358.7387804105263</v>
      </c>
      <c r="T85" s="215">
        <f>T79/T84</f>
        <v>1624.4616510920371</v>
      </c>
      <c r="U85" s="215">
        <f>U79/U84</f>
        <v>1900.6991959985819</v>
      </c>
    </row>
    <row r="86" spans="1:21" ht="13" x14ac:dyDescent="0.3">
      <c r="A86" s="444"/>
      <c r="B86" s="441"/>
      <c r="C86" s="438"/>
      <c r="D86" s="438"/>
      <c r="E86" s="438"/>
      <c r="F86" s="438"/>
      <c r="H86" s="438"/>
      <c r="I86" s="438"/>
      <c r="J86" s="438"/>
      <c r="K86" s="438"/>
      <c r="M86" s="438"/>
      <c r="N86" s="438"/>
      <c r="O86" s="438"/>
      <c r="P86" s="438"/>
      <c r="R86" s="438"/>
      <c r="S86" s="438"/>
      <c r="T86" s="438"/>
      <c r="U86" s="438"/>
    </row>
    <row r="87" spans="1:21" s="272" customFormat="1" x14ac:dyDescent="0.25">
      <c r="A87" s="220" t="s">
        <v>486</v>
      </c>
      <c r="B87" s="233"/>
      <c r="C87" s="333">
        <f>(C$3="isolé")*(1
+(C$13="solo")*(1+1/3)*(uc_enf*C$99+(uc_ado-uc_enf)*C$102)
+(C$13="pg")*(3/4)*(1+1/3)*(uc_enf*C$99+(uc_ado-uc_enf)*C$102)
+(C$13="png")*(1/4)*(1+1/3)*(uc_enf*C$99+(uc_ado-uc_enf)*C$102)
+(OR(C$13="ga_m",C$13="ga_p"))*(1/2)*(1+1/3)*(uc_enf*C$99+(uc_ado-uc_enf)*C$102))
+(C$3="couple")*(1.5+uc_enf*C$99+(uc_ado-uc_enf)*C$102)</f>
        <v>1</v>
      </c>
      <c r="D87" s="333">
        <f>(D$3="isolé")*(1
+(D$13="solo")*(1+1/3)*(uc_enf*D$99+(uc_ado-uc_enf)*D$102)
+(D$13="pg")*(3/4)*(1+1/3)*(uc_enf*D$99+(uc_ado-uc_enf)*D$102)
+(D$13="png")*(1/4)*(1+1/3)*(uc_enf*D$99+(uc_ado-uc_enf)*D$102)
+(OR(D$13="ga_m",D$13="ga_p"))*(1/2)*(1+1/3)*(uc_enf*D$99+(uc_ado-uc_enf)*D$102))
+(D$3="couple")*(1.5+uc_enf*D$99+(uc_ado-uc_enf)*D$102)</f>
        <v>1</v>
      </c>
      <c r="E87" s="333">
        <f>(E$3="isolé")*(1
+(E$13="solo")*(1+1/3)*(uc_enf*E$99+(uc_ado-uc_enf)*E$102)
+(E$13="pg")*(3/4)*(1+1/3)*(uc_enf*E$99+(uc_ado-uc_enf)*E$102)
+(E$13="png")*(1/4)*(1+1/3)*(uc_enf*E$99+(uc_ado-uc_enf)*E$102)
+(OR(E$13="ga_m",E$13="ga_p"))*(1/2)*(1+1/3)*(uc_enf*E$99+(uc_ado-uc_enf)*E$102))
+(E$3="couple")*(1.5+uc_enf*E$99+(uc_ado-uc_enf)*E$102)</f>
        <v>1</v>
      </c>
      <c r="F87" s="333">
        <f>(F$3="isolé")*(1
+(F$13="solo")*(1+1/3)*(uc_enf*F$99+(uc_ado-uc_enf)*F$102)
+(F$13="pg")*(3/4)*(1+1/3)*(uc_enf*F$99+(uc_ado-uc_enf)*F$102)
+(F$13="png")*(1/4)*(1+1/3)*(uc_enf*F$99+(uc_ado-uc_enf)*F$102)
+(OR(F$13="ga_m",F$13="ga_p"))*(1/2)*(1+1/3)*(uc_enf*F$99+(uc_ado-uc_enf)*F$102))
+(F$3="couple")*(1.5+uc_enf*F$99+(uc_ado-uc_enf)*F$102)</f>
        <v>1</v>
      </c>
      <c r="H87" s="333">
        <f>(H$3="isolé")*(1
+(H$13="solo")*(1+1/3)*(uc_enf*H$99+(uc_ado-uc_enf)*H$102)
+(H$13="pg")*(3/4)*(1+1/3)*(uc_enf*H$99+(uc_ado-uc_enf)*H$102)
+(H$13="png")*(1/4)*(1+1/3)*(uc_enf*H$99+(uc_ado-uc_enf)*H$102)
+(OR(H$13="ga_m",H$13="ga_p"))*(1/2)*(1+1/3)*(uc_enf*H$99+(uc_ado-uc_enf)*H$102))
+(H$3="couple")*(1.5+uc_enf*H$99+(uc_ado-uc_enf)*H$102)</f>
        <v>1.4</v>
      </c>
      <c r="I87" s="333">
        <f>(I$3="isolé")*(1
+(I$13="solo")*(1+1/3)*(uc_enf*I$99+(uc_ado-uc_enf)*I$102)
+(I$13="pg")*(3/4)*(1+1/3)*(uc_enf*I$99+(uc_ado-uc_enf)*I$102)
+(I$13="png")*(1/4)*(1+1/3)*(uc_enf*I$99+(uc_ado-uc_enf)*I$102)
+(OR(I$13="ga_m",I$13="ga_p"))*(1/2)*(1+1/3)*(uc_enf*I$99+(uc_ado-uc_enf)*I$102))
+(I$3="couple")*(1.5+uc_enf*I$99+(uc_ado-uc_enf)*I$102)</f>
        <v>1.4</v>
      </c>
      <c r="J87" s="333">
        <f>(J$3="isolé")*(1
+(J$13="solo")*(1+1/3)*(uc_enf*J$99+(uc_ado-uc_enf)*J$102)
+(J$13="pg")*(3/4)*(1+1/3)*(uc_enf*J$99+(uc_ado-uc_enf)*J$102)
+(J$13="png")*(1/4)*(1+1/3)*(uc_enf*J$99+(uc_ado-uc_enf)*J$102)
+(OR(J$13="ga_m",J$13="ga_p"))*(1/2)*(1+1/3)*(uc_enf*J$99+(uc_ado-uc_enf)*J$102))
+(J$3="couple")*(1.5+uc_enf*J$99+(uc_ado-uc_enf)*J$102)</f>
        <v>1.4</v>
      </c>
      <c r="K87" s="333">
        <f>(K$3="isolé")*(1
+(K$13="solo")*(1+1/3)*(uc_enf*K$99+(uc_ado-uc_enf)*K$102)
+(K$13="pg")*(3/4)*(1+1/3)*(uc_enf*K$99+(uc_ado-uc_enf)*K$102)
+(K$13="png")*(1/4)*(1+1/3)*(uc_enf*K$99+(uc_ado-uc_enf)*K$102)
+(OR(K$13="ga_m",K$13="ga_p"))*(1/2)*(1+1/3)*(uc_enf*K$99+(uc_ado-uc_enf)*K$102))
+(K$3="couple")*(1.5+uc_enf*K$99+(uc_ado-uc_enf)*K$102)</f>
        <v>1.4</v>
      </c>
      <c r="M87" s="333">
        <f>(M$3="isolé")*(1
+(M$13="solo")*(1+1/3)*(uc_enf*M$99+(uc_ado-uc_enf)*M$102)
+(M$13="pg")*(3/4)*(1+1/3)*(uc_enf*M$99+(uc_ado-uc_enf)*M$102)
+(M$13="png")*(1/4)*(1+1/3)*(uc_enf*M$99+(uc_ado-uc_enf)*M$102)
+(OR(M$13="ga_m",M$13="ga_p"))*(1/2)*(1+1/3)*(uc_enf*M$99+(uc_ado-uc_enf)*M$102))
+(M$3="couple")*(1.5+uc_enf*M$99+(uc_ado-uc_enf)*M$102)</f>
        <v>1.7999999999999998</v>
      </c>
      <c r="N87" s="333">
        <f>(N$3="isolé")*(1
+(N$13="solo")*(1+1/3)*(uc_enf*N$99+(uc_ado-uc_enf)*N$102)
+(N$13="pg")*(3/4)*(1+1/3)*(uc_enf*N$99+(uc_ado-uc_enf)*N$102)
+(N$13="png")*(1/4)*(1+1/3)*(uc_enf*N$99+(uc_ado-uc_enf)*N$102)
+(OR(N$13="ga_m",N$13="ga_p"))*(1/2)*(1+1/3)*(uc_enf*N$99+(uc_ado-uc_enf)*N$102))
+(N$3="couple")*(1.5+uc_enf*N$99+(uc_ado-uc_enf)*N$102)</f>
        <v>1.7999999999999998</v>
      </c>
      <c r="O87" s="333">
        <f>(O$3="isolé")*(1
+(O$13="solo")*(1+1/3)*(uc_enf*O$99+(uc_ado-uc_enf)*O$102)
+(O$13="pg")*(3/4)*(1+1/3)*(uc_enf*O$99+(uc_ado-uc_enf)*O$102)
+(O$13="png")*(1/4)*(1+1/3)*(uc_enf*O$99+(uc_ado-uc_enf)*O$102)
+(OR(O$13="ga_m",O$13="ga_p"))*(1/2)*(1+1/3)*(uc_enf*O$99+(uc_ado-uc_enf)*O$102))
+(O$3="couple")*(1.5+uc_enf*O$99+(uc_ado-uc_enf)*O$102)</f>
        <v>1.7999999999999998</v>
      </c>
      <c r="P87" s="333">
        <f>(P$3="isolé")*(1
+(P$13="solo")*(1+1/3)*(uc_enf*P$99+(uc_ado-uc_enf)*P$102)
+(P$13="pg")*(3/4)*(1+1/3)*(uc_enf*P$99+(uc_ado-uc_enf)*P$102)
+(P$13="png")*(1/4)*(1+1/3)*(uc_enf*P$99+(uc_ado-uc_enf)*P$102)
+(OR(P$13="ga_m",P$13="ga_p"))*(1/2)*(1+1/3)*(uc_enf*P$99+(uc_ado-uc_enf)*P$102))
+(P$3="couple")*(1.5+uc_enf*P$99+(uc_ado-uc_enf)*P$102)</f>
        <v>1.7999999999999998</v>
      </c>
      <c r="R87" s="333">
        <f>(R$3="isolé")*(1
+(R$13="solo")*(1+1/3)*(uc_enf*R$99+(uc_ado-uc_enf)*R$102)
+(R$13="pg")*(3/4)*(1+1/3)*(uc_enf*R$99+(uc_ado-uc_enf)*R$102)
+(R$13="png")*(1/4)*(1+1/3)*(uc_enf*R$99+(uc_ado-uc_enf)*R$102)
+(OR(R$13="ga_m",R$13="ga_p"))*(1/2)*(1+1/3)*(uc_enf*R$99+(uc_ado-uc_enf)*R$102))
+(R$3="couple")*(1.5+uc_enf*R$99+(uc_ado-uc_enf)*R$102)</f>
        <v>2.1999999999999997</v>
      </c>
      <c r="S87" s="333">
        <f>(S$3="isolé")*(1
+(S$13="solo")*(1+1/3)*(uc_enf*S$99+(uc_ado-uc_enf)*S$102)
+(S$13="pg")*(3/4)*(1+1/3)*(uc_enf*S$99+(uc_ado-uc_enf)*S$102)
+(S$13="png")*(1/4)*(1+1/3)*(uc_enf*S$99+(uc_ado-uc_enf)*S$102)
+(OR(S$13="ga_m",S$13="ga_p"))*(1/2)*(1+1/3)*(uc_enf*S$99+(uc_ado-uc_enf)*S$102))
+(S$3="couple")*(1.5+uc_enf*S$99+(uc_ado-uc_enf)*S$102)</f>
        <v>2.1999999999999997</v>
      </c>
      <c r="T87" s="333">
        <f>(T$3="isolé")*(1
+(T$13="solo")*(1+1/3)*(uc_enf*T$99+(uc_ado-uc_enf)*T$102)
+(T$13="pg")*(3/4)*(1+1/3)*(uc_enf*T$99+(uc_ado-uc_enf)*T$102)
+(T$13="png")*(1/4)*(1+1/3)*(uc_enf*T$99+(uc_ado-uc_enf)*T$102)
+(OR(T$13="ga_m",T$13="ga_p"))*(1/2)*(1+1/3)*(uc_enf*T$99+(uc_ado-uc_enf)*T$102))
+(T$3="couple")*(1.5+uc_enf*T$99+(uc_ado-uc_enf)*T$102)</f>
        <v>2.1999999999999997</v>
      </c>
      <c r="U87" s="333">
        <f>(U$3="isolé")*(1
+(U$13="solo")*(1+1/3)*(uc_enf*U$99+(uc_ado-uc_enf)*U$102)
+(U$13="pg")*(3/4)*(1+1/3)*(uc_enf*U$99+(uc_ado-uc_enf)*U$102)
+(U$13="png")*(1/4)*(1+1/3)*(uc_enf*U$99+(uc_ado-uc_enf)*U$102)
+(OR(U$13="ga_m",U$13="ga_p"))*(1/2)*(1+1/3)*(uc_enf*U$99+(uc_ado-uc_enf)*U$102))
+(U$3="couple")*(1.5+uc_enf*U$99+(uc_ado-uc_enf)*U$102)</f>
        <v>2.1999999999999997</v>
      </c>
    </row>
    <row r="88" spans="1:21" s="272" customFormat="1" ht="13" x14ac:dyDescent="0.3">
      <c r="A88" s="221" t="s">
        <v>514</v>
      </c>
      <c r="B88" s="231"/>
      <c r="C88" s="215">
        <f>C79/C87</f>
        <v>851.4075499999999</v>
      </c>
      <c r="D88" s="215">
        <f>D79/D87</f>
        <v>1190.584878104032</v>
      </c>
      <c r="E88" s="215">
        <f>E79/E87</f>
        <v>1655.735365</v>
      </c>
      <c r="F88" s="215">
        <f>F79/F87</f>
        <v>2015.8852390439763</v>
      </c>
      <c r="H88" s="215">
        <f>H79/H87</f>
        <v>929.07959729285733</v>
      </c>
      <c r="I88" s="215">
        <f>I79/I87</f>
        <v>1220.5714605071428</v>
      </c>
      <c r="J88" s="215">
        <f>J79/J87</f>
        <v>1520.7177000606248</v>
      </c>
      <c r="K88" s="215">
        <f>K79/K87</f>
        <v>1774.9050383642857</v>
      </c>
      <c r="M88" s="215">
        <f>M79/M87</f>
        <v>912.67124533333356</v>
      </c>
      <c r="N88" s="215">
        <f>N79/N87</f>
        <v>1137.9072020277779</v>
      </c>
      <c r="O88" s="215">
        <f>O79/O87</f>
        <v>1385.4328093124495</v>
      </c>
      <c r="P88" s="215">
        <f>P79/P87</f>
        <v>1554.0892032792879</v>
      </c>
      <c r="R88" s="215">
        <f>R79/R87</f>
        <v>991.00177837727301</v>
      </c>
      <c r="S88" s="215">
        <f>S79/S87</f>
        <v>1173.4562194454547</v>
      </c>
      <c r="T88" s="215">
        <f>T79/T87</f>
        <v>1402.9441532158503</v>
      </c>
      <c r="U88" s="215">
        <f>U79/U87</f>
        <v>1641.5129419987754</v>
      </c>
    </row>
    <row r="89" spans="1:21" s="272" customFormat="1" ht="13" x14ac:dyDescent="0.3">
      <c r="A89" s="447"/>
      <c r="B89" s="448"/>
      <c r="C89" s="449"/>
      <c r="D89" s="449"/>
      <c r="E89" s="449"/>
      <c r="F89" s="449"/>
      <c r="H89" s="449"/>
      <c r="I89" s="449"/>
      <c r="J89" s="449"/>
      <c r="K89" s="449"/>
      <c r="M89" s="449"/>
      <c r="N89" s="449"/>
      <c r="O89" s="449"/>
      <c r="P89" s="449"/>
      <c r="R89" s="449"/>
      <c r="S89" s="449"/>
      <c r="T89" s="449"/>
      <c r="U89" s="449"/>
    </row>
    <row r="90" spans="1:21" s="272" customFormat="1" x14ac:dyDescent="0.25">
      <c r="A90" s="220" t="s">
        <v>448</v>
      </c>
      <c r="B90" s="233"/>
      <c r="C90" s="218">
        <f>C155+C160-C161+C169-C66</f>
        <v>0</v>
      </c>
      <c r="D90" s="218">
        <f>D155+D160-D161+D169-D66</f>
        <v>0</v>
      </c>
      <c r="E90" s="218">
        <f>E155+E160-E161+E169-E66</f>
        <v>0</v>
      </c>
      <c r="F90" s="218">
        <f>F155+F160-F161+F169-F66</f>
        <v>0</v>
      </c>
      <c r="H90" s="218">
        <f>H155+H160-H161+H169-H66</f>
        <v>0</v>
      </c>
      <c r="I90" s="218">
        <f>I155+I160-I161+I169-I66</f>
        <v>0</v>
      </c>
      <c r="J90" s="218">
        <f>J155+J160-J161+J169-J66</f>
        <v>0</v>
      </c>
      <c r="K90" s="218">
        <f>K155+K160-K161+K169-K66</f>
        <v>0</v>
      </c>
      <c r="M90" s="218">
        <f>M155+M160-M161+M169-M66</f>
        <v>0</v>
      </c>
      <c r="N90" s="218">
        <f>N155+N160-N161+N169-N66</f>
        <v>0</v>
      </c>
      <c r="O90" s="218">
        <f>O155+O160-O161+O169-O66</f>
        <v>0</v>
      </c>
      <c r="P90" s="218">
        <f>P155+P160-P161+P169-P66</f>
        <v>0</v>
      </c>
      <c r="R90" s="218">
        <f>R155+R160-R161+R169-R66</f>
        <v>0</v>
      </c>
      <c r="S90" s="218">
        <f>S155+S160-S161+S169-S66</f>
        <v>0</v>
      </c>
      <c r="T90" s="218">
        <f>T155+T160-T161+T169-T66</f>
        <v>0</v>
      </c>
      <c r="U90" s="218">
        <f>U155+U160-U161+U169-U66</f>
        <v>0</v>
      </c>
    </row>
    <row r="91" spans="1:21" x14ac:dyDescent="0.25">
      <c r="A91" s="225" t="s">
        <v>393</v>
      </c>
      <c r="B91" s="234"/>
      <c r="C91" s="213">
        <f>C79-C90</f>
        <v>851.4075499999999</v>
      </c>
      <c r="D91" s="213">
        <f>D79-D90</f>
        <v>1190.584878104032</v>
      </c>
      <c r="E91" s="213">
        <f>E79-E90</f>
        <v>1655.735365</v>
      </c>
      <c r="F91" s="213">
        <f>F79-F90</f>
        <v>2015.8852390439763</v>
      </c>
      <c r="H91" s="213">
        <f>H79-H90</f>
        <v>1300.7114362100001</v>
      </c>
      <c r="I91" s="213">
        <f>I79-I90</f>
        <v>1708.8000447099998</v>
      </c>
      <c r="J91" s="213">
        <f>J79-J90</f>
        <v>2129.0047800848747</v>
      </c>
      <c r="K91" s="213">
        <f>K79-K90</f>
        <v>2484.8670537099997</v>
      </c>
      <c r="M91" s="213">
        <f>M79-M90</f>
        <v>1642.8082416000002</v>
      </c>
      <c r="N91" s="213">
        <f>N79-N90</f>
        <v>2048.2329636499999</v>
      </c>
      <c r="O91" s="213">
        <f>O79-O90</f>
        <v>2493.7790567624088</v>
      </c>
      <c r="P91" s="213">
        <f>P79-P90</f>
        <v>2797.360565902718</v>
      </c>
      <c r="R91" s="213">
        <f>R79-R90</f>
        <v>2180.2039124300004</v>
      </c>
      <c r="S91" s="213">
        <f>S79-S90</f>
        <v>2581.6036827799999</v>
      </c>
      <c r="T91" s="213">
        <f>T79-T90</f>
        <v>3086.4771370748704</v>
      </c>
      <c r="U91" s="213">
        <f>U79-U90</f>
        <v>3611.3284723973056</v>
      </c>
    </row>
    <row r="92" spans="1:21" ht="13" x14ac:dyDescent="0.3">
      <c r="A92" s="221" t="s">
        <v>386</v>
      </c>
      <c r="B92" s="231"/>
      <c r="C92" s="215">
        <f>C91/C87</f>
        <v>851.4075499999999</v>
      </c>
      <c r="D92" s="215">
        <f>D91/D87</f>
        <v>1190.584878104032</v>
      </c>
      <c r="E92" s="215">
        <f>E91/E87</f>
        <v>1655.735365</v>
      </c>
      <c r="F92" s="215">
        <f>F91/F87</f>
        <v>2015.8852390439763</v>
      </c>
      <c r="H92" s="215">
        <f>H91/H87</f>
        <v>929.07959729285733</v>
      </c>
      <c r="I92" s="215">
        <f>I91/I87</f>
        <v>1220.5714605071428</v>
      </c>
      <c r="J92" s="215">
        <f>J91/J87</f>
        <v>1520.7177000606248</v>
      </c>
      <c r="K92" s="215">
        <f>K91/K87</f>
        <v>1774.9050383642857</v>
      </c>
      <c r="M92" s="215">
        <f>M91/M87</f>
        <v>912.67124533333356</v>
      </c>
      <c r="N92" s="215">
        <f>N91/N87</f>
        <v>1137.9072020277779</v>
      </c>
      <c r="O92" s="215">
        <f>O91/O87</f>
        <v>1385.4328093124495</v>
      </c>
      <c r="P92" s="215">
        <f>P91/P87</f>
        <v>1554.0892032792879</v>
      </c>
      <c r="R92" s="215">
        <f>R91/R87</f>
        <v>991.00177837727301</v>
      </c>
      <c r="S92" s="215">
        <f>S91/S87</f>
        <v>1173.4562194454547</v>
      </c>
      <c r="T92" s="215">
        <f>T91/T87</f>
        <v>1402.9441532158503</v>
      </c>
      <c r="U92" s="215">
        <f>U91/U87</f>
        <v>1641.5129419987754</v>
      </c>
    </row>
    <row r="93" spans="1:21" s="210" customFormat="1" ht="13" x14ac:dyDescent="0.3">
      <c r="A93" s="89"/>
      <c r="B93" s="268"/>
      <c r="C93" s="280"/>
      <c r="D93" s="280"/>
      <c r="E93" s="280"/>
      <c r="F93" s="280"/>
      <c r="H93" s="280"/>
      <c r="I93" s="280"/>
      <c r="J93" s="280"/>
      <c r="K93" s="280"/>
      <c r="M93" s="280"/>
      <c r="N93" s="280"/>
      <c r="O93" s="280"/>
      <c r="P93" s="280"/>
      <c r="R93" s="280"/>
      <c r="S93" s="280"/>
      <c r="T93" s="280"/>
      <c r="U93" s="280"/>
    </row>
    <row r="94" spans="1:21" s="210" customFormat="1" ht="13" x14ac:dyDescent="0.3">
      <c r="A94" s="281" t="s">
        <v>392</v>
      </c>
      <c r="B94" s="281"/>
      <c r="C94" s="195"/>
      <c r="D94" s="195"/>
      <c r="E94" s="195"/>
      <c r="F94" s="195"/>
      <c r="H94" s="195"/>
      <c r="I94" s="195"/>
      <c r="J94" s="195"/>
      <c r="K94" s="195"/>
      <c r="M94" s="195"/>
      <c r="N94" s="195"/>
      <c r="O94" s="195"/>
      <c r="P94" s="195"/>
      <c r="R94" s="195"/>
      <c r="S94" s="195"/>
      <c r="T94" s="195"/>
      <c r="U94" s="195"/>
    </row>
    <row r="95" spans="1:21" ht="13.5" thickBot="1" x14ac:dyDescent="0.35">
      <c r="A95" s="295" t="s">
        <v>395</v>
      </c>
    </row>
    <row r="96" spans="1:21" x14ac:dyDescent="0.25">
      <c r="A96" s="117" t="s">
        <v>108</v>
      </c>
      <c r="B96" s="118"/>
      <c r="C96" s="267">
        <f>(COUNTIFS(C$4:C$9,"&gt;=0",C$4:C$9,"&lt;18")+C$10)</f>
        <v>0</v>
      </c>
      <c r="D96" s="267">
        <f>(COUNTIFS(D$4:D$9,"&gt;=0",D$4:D$9,"&lt;18")+D$10)</f>
        <v>0</v>
      </c>
      <c r="E96" s="267">
        <f>(COUNTIFS(E$4:E$9,"&gt;=0",E$4:E$9,"&lt;18")+E$10)</f>
        <v>0</v>
      </c>
      <c r="F96" s="267">
        <f>(COUNTIFS(F$4:F$9,"&gt;=0",F$4:F$9,"&lt;18")+F$10)</f>
        <v>0</v>
      </c>
      <c r="H96" s="267">
        <f>(COUNTIFS(H$4:H$9,"&gt;=0",H$4:H$9,"&lt;18")+H$10)</f>
        <v>1</v>
      </c>
      <c r="I96" s="267">
        <f>(COUNTIFS(I$4:I$9,"&gt;=0",I$4:I$9,"&lt;18")+I$10)</f>
        <v>1</v>
      </c>
      <c r="J96" s="267">
        <f>(COUNTIFS(J$4:J$9,"&gt;=0",J$4:J$9,"&lt;18")+J$10)</f>
        <v>1</v>
      </c>
      <c r="K96" s="267">
        <f>(COUNTIFS(K$4:K$9,"&gt;=0",K$4:K$9,"&lt;18")+K$10)</f>
        <v>1</v>
      </c>
      <c r="M96" s="267">
        <f>(COUNTIFS(M$4:M$9,"&gt;=0",M$4:M$9,"&lt;18")+M$10)</f>
        <v>2</v>
      </c>
      <c r="N96" s="267">
        <f>(COUNTIFS(N$4:N$9,"&gt;=0",N$4:N$9,"&lt;18")+N$10)</f>
        <v>2</v>
      </c>
      <c r="O96" s="267">
        <f>(COUNTIFS(O$4:O$9,"&gt;=0",O$4:O$9,"&lt;18")+O$10)</f>
        <v>2</v>
      </c>
      <c r="P96" s="267">
        <f>(COUNTIFS(P$4:P$9,"&gt;=0",P$4:P$9,"&lt;18")+P$10)</f>
        <v>2</v>
      </c>
      <c r="R96" s="267">
        <f>(COUNTIFS(R$4:R$9,"&gt;=0",R$4:R$9,"&lt;18")+R$10)</f>
        <v>3</v>
      </c>
      <c r="S96" s="267">
        <f>(COUNTIFS(S$4:S$9,"&gt;=0",S$4:S$9,"&lt;18")+S$10)</f>
        <v>3</v>
      </c>
      <c r="T96" s="267">
        <f>(COUNTIFS(T$4:T$9,"&gt;=0",T$4:T$9,"&lt;18")+T$10)</f>
        <v>3</v>
      </c>
      <c r="U96" s="267">
        <f>(COUNTIFS(U$4:U$9,"&gt;=0",U$4:U$9,"&lt;18")+U$10)</f>
        <v>3</v>
      </c>
    </row>
    <row r="97" spans="1:21" x14ac:dyDescent="0.25">
      <c r="A97" s="116" t="s">
        <v>109</v>
      </c>
      <c r="B97" s="4"/>
      <c r="C97" s="83">
        <f>COUNTIFS(C$4:C$9,"&gt;=0",C$4:C$9,"&lt;20")</f>
        <v>0</v>
      </c>
      <c r="D97" s="83">
        <f>COUNTIFS(D$4:D$9,"&gt;=0",D$4:D$9,"&lt;20")</f>
        <v>0</v>
      </c>
      <c r="E97" s="83">
        <f>COUNTIFS(E$4:E$9,"&gt;=0",E$4:E$9,"&lt;20")</f>
        <v>0</v>
      </c>
      <c r="F97" s="83">
        <f>COUNTIFS(F$4:F$9,"&gt;=0",F$4:F$9,"&lt;20")</f>
        <v>0</v>
      </c>
      <c r="H97" s="83">
        <f>COUNTIFS(H$4:H$9,"&gt;=0",H$4:H$9,"&lt;20")</f>
        <v>1</v>
      </c>
      <c r="I97" s="83">
        <f>COUNTIFS(I$4:I$9,"&gt;=0",I$4:I$9,"&lt;20")</f>
        <v>1</v>
      </c>
      <c r="J97" s="83">
        <f>COUNTIFS(J$4:J$9,"&gt;=0",J$4:J$9,"&lt;20")</f>
        <v>1</v>
      </c>
      <c r="K97" s="83">
        <f>COUNTIFS(K$4:K$9,"&gt;=0",K$4:K$9,"&lt;20")</f>
        <v>1</v>
      </c>
      <c r="M97" s="83">
        <f>COUNTIFS(M$4:M$9,"&gt;=0",M$4:M$9,"&lt;20")</f>
        <v>2</v>
      </c>
      <c r="N97" s="83">
        <f>COUNTIFS(N$4:N$9,"&gt;=0",N$4:N$9,"&lt;20")</f>
        <v>2</v>
      </c>
      <c r="O97" s="83">
        <f>COUNTIFS(O$4:O$9,"&gt;=0",O$4:O$9,"&lt;20")</f>
        <v>2</v>
      </c>
      <c r="P97" s="83">
        <f>COUNTIFS(P$4:P$9,"&gt;=0",P$4:P$9,"&lt;20")</f>
        <v>2</v>
      </c>
      <c r="R97" s="83">
        <f>COUNTIFS(R$4:R$9,"&gt;=0",R$4:R$9,"&lt;20")</f>
        <v>3</v>
      </c>
      <c r="S97" s="83">
        <f>COUNTIFS(S$4:S$9,"&gt;=0",S$4:S$9,"&lt;20")</f>
        <v>3</v>
      </c>
      <c r="T97" s="83">
        <f>COUNTIFS(T$4:T$9,"&gt;=0",T$4:T$9,"&lt;20")</f>
        <v>3</v>
      </c>
      <c r="U97" s="83">
        <f>COUNTIFS(U$4:U$9,"&gt;=0",U$4:U$9,"&lt;20")</f>
        <v>3</v>
      </c>
    </row>
    <row r="98" spans="1:21" x14ac:dyDescent="0.25">
      <c r="A98" s="116" t="s">
        <v>131</v>
      </c>
      <c r="B98" s="4"/>
      <c r="C98" s="83">
        <f>COUNTIFS(C$4:C$9,"&gt;=0",C$4:C$9,"&lt;21")</f>
        <v>0</v>
      </c>
      <c r="D98" s="83">
        <f>COUNTIFS(D$4:D$9,"&gt;=0",D$4:D$9,"&lt;21")</f>
        <v>0</v>
      </c>
      <c r="E98" s="83">
        <f>COUNTIFS(E$4:E$9,"&gt;=0",E$4:E$9,"&lt;21")</f>
        <v>0</v>
      </c>
      <c r="F98" s="83">
        <f>COUNTIFS(F$4:F$9,"&gt;=0",F$4:F$9,"&lt;21")</f>
        <v>0</v>
      </c>
      <c r="H98" s="83">
        <f>COUNTIFS(H$4:H$9,"&gt;=0",H$4:H$9,"&lt;21")</f>
        <v>1</v>
      </c>
      <c r="I98" s="83">
        <f>COUNTIFS(I$4:I$9,"&gt;=0",I$4:I$9,"&lt;21")</f>
        <v>1</v>
      </c>
      <c r="J98" s="83">
        <f>COUNTIFS(J$4:J$9,"&gt;=0",J$4:J$9,"&lt;21")</f>
        <v>1</v>
      </c>
      <c r="K98" s="83">
        <f>COUNTIFS(K$4:K$9,"&gt;=0",K$4:K$9,"&lt;21")</f>
        <v>1</v>
      </c>
      <c r="M98" s="83">
        <f>COUNTIFS(M$4:M$9,"&gt;=0",M$4:M$9,"&lt;21")</f>
        <v>2</v>
      </c>
      <c r="N98" s="83">
        <f>COUNTIFS(N$4:N$9,"&gt;=0",N$4:N$9,"&lt;21")</f>
        <v>2</v>
      </c>
      <c r="O98" s="83">
        <f>COUNTIFS(O$4:O$9,"&gt;=0",O$4:O$9,"&lt;21")</f>
        <v>2</v>
      </c>
      <c r="P98" s="83">
        <f>COUNTIFS(P$4:P$9,"&gt;=0",P$4:P$9,"&lt;21")</f>
        <v>2</v>
      </c>
      <c r="R98" s="83">
        <f>COUNTIFS(R$4:R$9,"&gt;=0",R$4:R$9,"&lt;21")</f>
        <v>3</v>
      </c>
      <c r="S98" s="83">
        <f>COUNTIFS(S$4:S$9,"&gt;=0",S$4:S$9,"&lt;21")</f>
        <v>3</v>
      </c>
      <c r="T98" s="83">
        <f>COUNTIFS(T$4:T$9,"&gt;=0",T$4:T$9,"&lt;21")</f>
        <v>3</v>
      </c>
      <c r="U98" s="83">
        <f>COUNTIFS(U$4:U$9,"&gt;=0",U$4:U$9,"&lt;21")</f>
        <v>3</v>
      </c>
    </row>
    <row r="99" spans="1:21" x14ac:dyDescent="0.25">
      <c r="A99" s="116" t="s">
        <v>110</v>
      </c>
      <c r="B99" s="4"/>
      <c r="C99" s="83">
        <f>COUNTIFS(C$4:C$9,"&gt;=0",C$4:C$9,"&lt;25")</f>
        <v>0</v>
      </c>
      <c r="D99" s="83">
        <f>COUNTIFS(D$4:D$9,"&gt;=0",D$4:D$9,"&lt;25")</f>
        <v>0</v>
      </c>
      <c r="E99" s="83">
        <f>COUNTIFS(E$4:E$9,"&gt;=0",E$4:E$9,"&lt;25")</f>
        <v>0</v>
      </c>
      <c r="F99" s="83">
        <f>COUNTIFS(F$4:F$9,"&gt;=0",F$4:F$9,"&lt;25")</f>
        <v>0</v>
      </c>
      <c r="H99" s="83">
        <f>COUNTIFS(H$4:H$9,"&gt;=0",H$4:H$9,"&lt;25")</f>
        <v>1</v>
      </c>
      <c r="I99" s="83">
        <f>COUNTIFS(I$4:I$9,"&gt;=0",I$4:I$9,"&lt;25")</f>
        <v>1</v>
      </c>
      <c r="J99" s="83">
        <f>COUNTIFS(J$4:J$9,"&gt;=0",J$4:J$9,"&lt;25")</f>
        <v>1</v>
      </c>
      <c r="K99" s="83">
        <f>COUNTIFS(K$4:K$9,"&gt;=0",K$4:K$9,"&lt;25")</f>
        <v>1</v>
      </c>
      <c r="M99" s="83">
        <f>COUNTIFS(M$4:M$9,"&gt;=0",M$4:M$9,"&lt;25")</f>
        <v>2</v>
      </c>
      <c r="N99" s="83">
        <f>COUNTIFS(N$4:N$9,"&gt;=0",N$4:N$9,"&lt;25")</f>
        <v>2</v>
      </c>
      <c r="O99" s="83">
        <f>COUNTIFS(O$4:O$9,"&gt;=0",O$4:O$9,"&lt;25")</f>
        <v>2</v>
      </c>
      <c r="P99" s="83">
        <f>COUNTIFS(P$4:P$9,"&gt;=0",P$4:P$9,"&lt;25")</f>
        <v>2</v>
      </c>
      <c r="R99" s="83">
        <f>COUNTIFS(R$4:R$9,"&gt;=0",R$4:R$9,"&lt;25")</f>
        <v>3</v>
      </c>
      <c r="S99" s="83">
        <f>COUNTIFS(S$4:S$9,"&gt;=0",S$4:S$9,"&lt;25")</f>
        <v>3</v>
      </c>
      <c r="T99" s="83">
        <f>COUNTIFS(T$4:T$9,"&gt;=0",T$4:T$9,"&lt;25")</f>
        <v>3</v>
      </c>
      <c r="U99" s="83">
        <f>COUNTIFS(U$4:U$9,"&gt;=0",U$4:U$9,"&lt;25")</f>
        <v>3</v>
      </c>
    </row>
    <row r="100" spans="1:21" x14ac:dyDescent="0.25">
      <c r="A100" s="116" t="s">
        <v>48</v>
      </c>
      <c r="B100" s="4"/>
      <c r="C100" s="83">
        <f>COUNTIFS(C$4:C$9,"&gt;=0",C$4:C$9,"&lt;3")</f>
        <v>0</v>
      </c>
      <c r="D100" s="83">
        <f>COUNTIFS(D$4:D$9,"&gt;=0",D$4:D$9,"&lt;3")</f>
        <v>0</v>
      </c>
      <c r="E100" s="83">
        <f>COUNTIFS(E$4:E$9,"&gt;=0",E$4:E$9,"&lt;3")</f>
        <v>0</v>
      </c>
      <c r="F100" s="83">
        <f>COUNTIFS(F$4:F$9,"&gt;=0",F$4:F$9,"&lt;3")</f>
        <v>0</v>
      </c>
      <c r="H100" s="83">
        <f>COUNTIFS(H$4:H$9,"&gt;=0",H$4:H$9,"&lt;3")</f>
        <v>0</v>
      </c>
      <c r="I100" s="83">
        <f>COUNTIFS(I$4:I$9,"&gt;=0",I$4:I$9,"&lt;3")</f>
        <v>0</v>
      </c>
      <c r="J100" s="83">
        <f>COUNTIFS(J$4:J$9,"&gt;=0",J$4:J$9,"&lt;3")</f>
        <v>0</v>
      </c>
      <c r="K100" s="83">
        <f>COUNTIFS(K$4:K$9,"&gt;=0",K$4:K$9,"&lt;3")</f>
        <v>0</v>
      </c>
      <c r="M100" s="83">
        <f>COUNTIFS(M$4:M$9,"&gt;=0",M$4:M$9,"&lt;3")</f>
        <v>0</v>
      </c>
      <c r="N100" s="83">
        <f>COUNTIFS(N$4:N$9,"&gt;=0",N$4:N$9,"&lt;3")</f>
        <v>0</v>
      </c>
      <c r="O100" s="83">
        <f>COUNTIFS(O$4:O$9,"&gt;=0",O$4:O$9,"&lt;3")</f>
        <v>0</v>
      </c>
      <c r="P100" s="83">
        <f>COUNTIFS(P$4:P$9,"&gt;=0",P$4:P$9,"&lt;3")</f>
        <v>0</v>
      </c>
      <c r="R100" s="83">
        <f>COUNTIFS(R$4:R$9,"&gt;=0",R$4:R$9,"&lt;3")</f>
        <v>0</v>
      </c>
      <c r="S100" s="83">
        <f>COUNTIFS(S$4:S$9,"&gt;=0",S$4:S$9,"&lt;3")</f>
        <v>0</v>
      </c>
      <c r="T100" s="83">
        <f>COUNTIFS(T$4:T$9,"&gt;=0",T$4:T$9,"&lt;3")</f>
        <v>0</v>
      </c>
      <c r="U100" s="83">
        <f>COUNTIFS(U$4:U$9,"&gt;=0",U$4:U$9,"&lt;3")</f>
        <v>0</v>
      </c>
    </row>
    <row r="101" spans="1:21" x14ac:dyDescent="0.25">
      <c r="A101" s="116" t="s">
        <v>111</v>
      </c>
      <c r="B101" s="4"/>
      <c r="C101" s="83">
        <f>COUNTIFS(C$4:C$9,"&gt;=14",C$4:C$9,"&lt;20")</f>
        <v>0</v>
      </c>
      <c r="D101" s="83">
        <f>COUNTIFS(D$4:D$9,"&gt;=14",D$4:D$9,"&lt;20")</f>
        <v>0</v>
      </c>
      <c r="E101" s="83">
        <f>COUNTIFS(E$4:E$9,"&gt;=14",E$4:E$9,"&lt;20")</f>
        <v>0</v>
      </c>
      <c r="F101" s="83">
        <f>COUNTIFS(F$4:F$9,"&gt;=14",F$4:F$9,"&lt;20")</f>
        <v>0</v>
      </c>
      <c r="H101" s="83">
        <f>COUNTIFS(H$4:H$9,"&gt;=14",H$4:H$9,"&lt;20")</f>
        <v>0</v>
      </c>
      <c r="I101" s="83">
        <f>COUNTIFS(I$4:I$9,"&gt;=14",I$4:I$9,"&lt;20")</f>
        <v>0</v>
      </c>
      <c r="J101" s="83">
        <f>COUNTIFS(J$4:J$9,"&gt;=14",J$4:J$9,"&lt;20")</f>
        <v>0</v>
      </c>
      <c r="K101" s="83">
        <f>COUNTIFS(K$4:K$9,"&gt;=14",K$4:K$9,"&lt;20")</f>
        <v>0</v>
      </c>
      <c r="M101" s="83">
        <f>COUNTIFS(M$4:M$9,"&gt;=14",M$4:M$9,"&lt;20")</f>
        <v>0</v>
      </c>
      <c r="N101" s="83">
        <f>COUNTIFS(N$4:N$9,"&gt;=14",N$4:N$9,"&lt;20")</f>
        <v>0</v>
      </c>
      <c r="O101" s="83">
        <f>COUNTIFS(O$4:O$9,"&gt;=14",O$4:O$9,"&lt;20")</f>
        <v>0</v>
      </c>
      <c r="P101" s="83">
        <f>COUNTIFS(P$4:P$9,"&gt;=14",P$4:P$9,"&lt;20")</f>
        <v>0</v>
      </c>
      <c r="R101" s="83">
        <f>COUNTIFS(R$4:R$9,"&gt;=14",R$4:R$9,"&lt;20")</f>
        <v>0</v>
      </c>
      <c r="S101" s="83">
        <f>COUNTIFS(S$4:S$9,"&gt;=14",S$4:S$9,"&lt;20")</f>
        <v>0</v>
      </c>
      <c r="T101" s="83">
        <f>COUNTIFS(T$4:T$9,"&gt;=14",T$4:T$9,"&lt;20")</f>
        <v>0</v>
      </c>
      <c r="U101" s="83">
        <f>COUNTIFS(U$4:U$9,"&gt;=14",U$4:U$9,"&lt;20")</f>
        <v>0</v>
      </c>
    </row>
    <row r="102" spans="1:21" x14ac:dyDescent="0.25">
      <c r="A102" s="275" t="s">
        <v>159</v>
      </c>
      <c r="B102" s="4"/>
      <c r="C102" s="83">
        <f t="shared" ref="C102:U102" si="35">COUNTIFS(C$4:C$9,"&gt;=14",C$4:C$9,"&lt;25")</f>
        <v>0</v>
      </c>
      <c r="D102" s="83">
        <f t="shared" si="35"/>
        <v>0</v>
      </c>
      <c r="E102" s="83">
        <f t="shared" si="35"/>
        <v>0</v>
      </c>
      <c r="F102" s="83">
        <f t="shared" si="35"/>
        <v>0</v>
      </c>
      <c r="H102" s="83">
        <f t="shared" si="35"/>
        <v>0</v>
      </c>
      <c r="I102" s="83">
        <f t="shared" si="35"/>
        <v>0</v>
      </c>
      <c r="J102" s="83">
        <f t="shared" si="35"/>
        <v>0</v>
      </c>
      <c r="K102" s="83">
        <f t="shared" si="35"/>
        <v>0</v>
      </c>
      <c r="M102" s="83">
        <f t="shared" si="35"/>
        <v>0</v>
      </c>
      <c r="N102" s="83">
        <f t="shared" si="35"/>
        <v>0</v>
      </c>
      <c r="O102" s="83">
        <f t="shared" si="35"/>
        <v>0</v>
      </c>
      <c r="P102" s="83">
        <f t="shared" si="35"/>
        <v>0</v>
      </c>
      <c r="R102" s="83">
        <f t="shared" si="35"/>
        <v>0</v>
      </c>
      <c r="S102" s="83">
        <f t="shared" si="35"/>
        <v>0</v>
      </c>
      <c r="T102" s="83">
        <f t="shared" si="35"/>
        <v>0</v>
      </c>
      <c r="U102" s="83">
        <f t="shared" si="35"/>
        <v>0</v>
      </c>
    </row>
    <row r="103" spans="1:21" x14ac:dyDescent="0.25">
      <c r="A103" s="116" t="s">
        <v>137</v>
      </c>
      <c r="B103" s="4"/>
      <c r="C103" s="83">
        <f>COUNTIFS(C$4:C$9,"&gt;=11",C$4:C$9,"&lt;15")</f>
        <v>0</v>
      </c>
      <c r="D103" s="83">
        <f>COUNTIFS(D$4:D$9,"&gt;=11",D$4:D$9,"&lt;15")</f>
        <v>0</v>
      </c>
      <c r="E103" s="83">
        <f>COUNTIFS(E$4:E$9,"&gt;=11",E$4:E$9,"&lt;15")</f>
        <v>0</v>
      </c>
      <c r="F103" s="83">
        <f>COUNTIFS(F$4:F$9,"&gt;=11",F$4:F$9,"&lt;15")</f>
        <v>0</v>
      </c>
      <c r="H103" s="83">
        <f>COUNTIFS(H$4:H$9,"&gt;=11",H$4:H$9,"&lt;15")</f>
        <v>0</v>
      </c>
      <c r="I103" s="83">
        <f>COUNTIFS(I$4:I$9,"&gt;=11",I$4:I$9,"&lt;15")</f>
        <v>0</v>
      </c>
      <c r="J103" s="83">
        <f>COUNTIFS(J$4:J$9,"&gt;=11",J$4:J$9,"&lt;15")</f>
        <v>0</v>
      </c>
      <c r="K103" s="83">
        <f>COUNTIFS(K$4:K$9,"&gt;=11",K$4:K$9,"&lt;15")</f>
        <v>0</v>
      </c>
      <c r="M103" s="83">
        <f>COUNTIFS(M$4:M$9,"&gt;=11",M$4:M$9,"&lt;15")</f>
        <v>0</v>
      </c>
      <c r="N103" s="83">
        <f>COUNTIFS(N$4:N$9,"&gt;=11",N$4:N$9,"&lt;15")</f>
        <v>0</v>
      </c>
      <c r="O103" s="83">
        <f>COUNTIFS(O$4:O$9,"&gt;=11",O$4:O$9,"&lt;15")</f>
        <v>0</v>
      </c>
      <c r="P103" s="83">
        <f>COUNTIFS(P$4:P$9,"&gt;=11",P$4:P$9,"&lt;15")</f>
        <v>0</v>
      </c>
      <c r="R103" s="83">
        <f>COUNTIFS(R$4:R$9,"&gt;=11",R$4:R$9,"&lt;15")</f>
        <v>0</v>
      </c>
      <c r="S103" s="83">
        <f>COUNTIFS(S$4:S$9,"&gt;=11",S$4:S$9,"&lt;15")</f>
        <v>0</v>
      </c>
      <c r="T103" s="83">
        <f>COUNTIFS(T$4:T$9,"&gt;=11",T$4:T$9,"&lt;15")</f>
        <v>0</v>
      </c>
      <c r="U103" s="83">
        <f>COUNTIFS(U$4:U$9,"&gt;=11",U$4:U$9,"&lt;15")</f>
        <v>0</v>
      </c>
    </row>
    <row r="104" spans="1:21" ht="13" thickBot="1" x14ac:dyDescent="0.3">
      <c r="A104" s="119" t="s">
        <v>138</v>
      </c>
      <c r="B104" s="120"/>
      <c r="C104" s="84">
        <f>COUNTIFS(C$4:C$9,"&gt;=15",C$4:C$9,"&lt;18")</f>
        <v>0</v>
      </c>
      <c r="D104" s="84">
        <f>COUNTIFS(D$4:D$9,"&gt;=15",D$4:D$9,"&lt;18")</f>
        <v>0</v>
      </c>
      <c r="E104" s="84">
        <f>COUNTIFS(E$4:E$9,"&gt;=15",E$4:E$9,"&lt;18")</f>
        <v>0</v>
      </c>
      <c r="F104" s="84">
        <f>COUNTIFS(F$4:F$9,"&gt;=15",F$4:F$9,"&lt;18")</f>
        <v>0</v>
      </c>
      <c r="H104" s="84">
        <f>COUNTIFS(H$4:H$9,"&gt;=15",H$4:H$9,"&lt;18")</f>
        <v>0</v>
      </c>
      <c r="I104" s="84">
        <f>COUNTIFS(I$4:I$9,"&gt;=15",I$4:I$9,"&lt;18")</f>
        <v>0</v>
      </c>
      <c r="J104" s="84">
        <f>COUNTIFS(J$4:J$9,"&gt;=15",J$4:J$9,"&lt;18")</f>
        <v>0</v>
      </c>
      <c r="K104" s="84">
        <f>COUNTIFS(K$4:K$9,"&gt;=15",K$4:K$9,"&lt;18")</f>
        <v>0</v>
      </c>
      <c r="M104" s="84">
        <f>COUNTIFS(M$4:M$9,"&gt;=15",M$4:M$9,"&lt;18")</f>
        <v>0</v>
      </c>
      <c r="N104" s="84">
        <f>COUNTIFS(N$4:N$9,"&gt;=15",N$4:N$9,"&lt;18")</f>
        <v>0</v>
      </c>
      <c r="O104" s="84">
        <f>COUNTIFS(O$4:O$9,"&gt;=15",O$4:O$9,"&lt;18")</f>
        <v>0</v>
      </c>
      <c r="P104" s="84">
        <f>COUNTIFS(P$4:P$9,"&gt;=15",P$4:P$9,"&lt;18")</f>
        <v>0</v>
      </c>
      <c r="R104" s="84">
        <f>COUNTIFS(R$4:R$9,"&gt;=15",R$4:R$9,"&lt;18")</f>
        <v>0</v>
      </c>
      <c r="S104" s="84">
        <f>COUNTIFS(S$4:S$9,"&gt;=15",S$4:S$9,"&lt;18")</f>
        <v>0</v>
      </c>
      <c r="T104" s="84">
        <f>COUNTIFS(T$4:T$9,"&gt;=15",T$4:T$9,"&lt;18")</f>
        <v>0</v>
      </c>
      <c r="U104" s="84">
        <f>COUNTIFS(U$4:U$9,"&gt;=15",U$4:U$9,"&lt;18")</f>
        <v>0</v>
      </c>
    </row>
    <row r="105" spans="1:21" x14ac:dyDescent="0.25">
      <c r="A105" s="302"/>
      <c r="B105" s="302"/>
      <c r="C105" s="327"/>
      <c r="D105" s="327"/>
      <c r="E105" s="327"/>
      <c r="F105" s="327"/>
      <c r="H105" s="327"/>
      <c r="I105" s="327"/>
      <c r="J105" s="327"/>
      <c r="K105" s="327"/>
      <c r="M105" s="327"/>
      <c r="N105" s="327"/>
      <c r="O105" s="327"/>
      <c r="P105" s="327"/>
      <c r="R105" s="327"/>
      <c r="S105" s="327"/>
      <c r="T105" s="327"/>
      <c r="U105" s="327"/>
    </row>
    <row r="106" spans="1:21" ht="13.5" thickBot="1" x14ac:dyDescent="0.35">
      <c r="A106" s="295" t="s">
        <v>419</v>
      </c>
      <c r="B106" s="331"/>
    </row>
    <row r="107" spans="1:21" x14ac:dyDescent="0.25">
      <c r="A107" s="190" t="s">
        <v>336</v>
      </c>
      <c r="B107" s="186"/>
      <c r="C107" s="267"/>
      <c r="D107" s="267"/>
      <c r="E107" s="267"/>
      <c r="F107" s="267"/>
      <c r="G107" s="10"/>
      <c r="H107" s="267"/>
      <c r="I107" s="267"/>
      <c r="J107" s="267"/>
      <c r="K107" s="267"/>
      <c r="L107" s="10"/>
      <c r="M107" s="267"/>
      <c r="N107" s="267"/>
      <c r="O107" s="267"/>
      <c r="P107" s="267"/>
      <c r="Q107" s="10"/>
      <c r="R107" s="267"/>
      <c r="S107" s="267"/>
      <c r="T107" s="267"/>
      <c r="U107" s="267"/>
    </row>
    <row r="108" spans="1:21" x14ac:dyDescent="0.25">
      <c r="A108" s="275" t="s">
        <v>337</v>
      </c>
      <c r="B108" s="10"/>
      <c r="C108" s="299">
        <f>C47/smic</f>
        <v>0</v>
      </c>
      <c r="D108" s="299">
        <f>D47/smic</f>
        <v>0</v>
      </c>
      <c r="E108" s="299">
        <f>E47/smic</f>
        <v>0</v>
      </c>
      <c r="F108" s="299">
        <f>F47/smic</f>
        <v>0</v>
      </c>
      <c r="G108" s="10"/>
      <c r="H108" s="299">
        <f>H47/smic</f>
        <v>0</v>
      </c>
      <c r="I108" s="299">
        <f>I47/smic</f>
        <v>0</v>
      </c>
      <c r="J108" s="299">
        <f>J47/smic</f>
        <v>0</v>
      </c>
      <c r="K108" s="299">
        <f>K47/smic</f>
        <v>0</v>
      </c>
      <c r="L108" s="10"/>
      <c r="M108" s="299">
        <f>M47/smic</f>
        <v>0</v>
      </c>
      <c r="N108" s="299">
        <f>N47/smic</f>
        <v>0</v>
      </c>
      <c r="O108" s="299">
        <f>O47/smic</f>
        <v>0</v>
      </c>
      <c r="P108" s="299">
        <f>P47/smic</f>
        <v>0</v>
      </c>
      <c r="Q108" s="10"/>
      <c r="R108" s="299">
        <f>R47/smic</f>
        <v>0</v>
      </c>
      <c r="S108" s="299">
        <f>S47/smic</f>
        <v>0</v>
      </c>
      <c r="T108" s="299">
        <f>T47/smic</f>
        <v>0</v>
      </c>
      <c r="U108" s="299">
        <f>U47/smic</f>
        <v>0</v>
      </c>
    </row>
    <row r="109" spans="1:21" x14ac:dyDescent="0.25">
      <c r="A109" s="275" t="s">
        <v>338</v>
      </c>
      <c r="B109" s="10"/>
      <c r="C109" s="196">
        <f>(1+assiette_csgcrds*(crds+tx_csgimp)/(1-tx_cotsal))*C47*12</f>
        <v>0</v>
      </c>
      <c r="D109" s="196">
        <f>(1+assiette_csgcrds*(crds+tx_csgimp)/(1-tx_cotsal))*D47*12</f>
        <v>0</v>
      </c>
      <c r="E109" s="196">
        <f>(1+assiette_csgcrds*(crds+tx_csgimp)/(1-tx_cotsal))*E47*12</f>
        <v>0</v>
      </c>
      <c r="F109" s="196">
        <f>(1+assiette_csgcrds*(crds+tx_csgimp)/(1-tx_cotsal))*F47*12</f>
        <v>0</v>
      </c>
      <c r="G109" s="10"/>
      <c r="H109" s="196">
        <f>(1+assiette_csgcrds*(crds+tx_csgimp)/(1-tx_cotsal))*H47*12</f>
        <v>0</v>
      </c>
      <c r="I109" s="196">
        <f>(1+assiette_csgcrds*(crds+tx_csgimp)/(1-tx_cotsal))*I47*12</f>
        <v>0</v>
      </c>
      <c r="J109" s="196">
        <f>(1+assiette_csgcrds*(crds+tx_csgimp)/(1-tx_cotsal))*J47*12</f>
        <v>0</v>
      </c>
      <c r="K109" s="196">
        <f>(1+assiette_csgcrds*(crds+tx_csgimp)/(1-tx_cotsal))*K47*12</f>
        <v>0</v>
      </c>
      <c r="L109" s="10"/>
      <c r="M109" s="196">
        <f>(1+assiette_csgcrds*(crds+tx_csgimp)/(1-tx_cotsal))*M47*12</f>
        <v>0</v>
      </c>
      <c r="N109" s="196">
        <f>(1+assiette_csgcrds*(crds+tx_csgimp)/(1-tx_cotsal))*N47*12</f>
        <v>0</v>
      </c>
      <c r="O109" s="196">
        <f>(1+assiette_csgcrds*(crds+tx_csgimp)/(1-tx_cotsal))*O47*12</f>
        <v>0</v>
      </c>
      <c r="P109" s="196">
        <f>(1+assiette_csgcrds*(crds+tx_csgimp)/(1-tx_cotsal))*P47*12</f>
        <v>0</v>
      </c>
      <c r="Q109" s="10"/>
      <c r="R109" s="196">
        <f>(1+assiette_csgcrds*(crds+tx_csgimp)/(1-tx_cotsal))*R47*12</f>
        <v>0</v>
      </c>
      <c r="S109" s="196">
        <f>(1+assiette_csgcrds*(crds+tx_csgimp)/(1-tx_cotsal))*S47*12</f>
        <v>0</v>
      </c>
      <c r="T109" s="196">
        <f>(1+assiette_csgcrds*(crds+tx_csgimp)/(1-tx_cotsal))*T47*12</f>
        <v>0</v>
      </c>
      <c r="U109" s="196">
        <f>(1+assiette_csgcrds*(crds+tx_csgimp)/(1-tx_cotsal))*U47*12</f>
        <v>0</v>
      </c>
    </row>
    <row r="110" spans="1:21" x14ac:dyDescent="0.25">
      <c r="A110" s="275" t="s">
        <v>339</v>
      </c>
      <c r="B110" s="10"/>
      <c r="C110" s="197">
        <f t="shared" ref="C110:D110" si="36">C109/(261*1.4)</f>
        <v>0</v>
      </c>
      <c r="D110" s="197">
        <f t="shared" si="36"/>
        <v>0</v>
      </c>
      <c r="E110" s="197">
        <f t="shared" ref="E110:F110" si="37">E109/(261*1.4)</f>
        <v>0</v>
      </c>
      <c r="F110" s="197">
        <f t="shared" si="37"/>
        <v>0</v>
      </c>
      <c r="G110" s="10"/>
      <c r="H110" s="197">
        <f t="shared" ref="H110:K110" si="38">H109/(261*1.4)</f>
        <v>0</v>
      </c>
      <c r="I110" s="197">
        <f t="shared" si="38"/>
        <v>0</v>
      </c>
      <c r="J110" s="197">
        <f t="shared" si="38"/>
        <v>0</v>
      </c>
      <c r="K110" s="197">
        <f t="shared" si="38"/>
        <v>0</v>
      </c>
      <c r="L110" s="10"/>
      <c r="M110" s="197">
        <f t="shared" ref="M110:P110" si="39">M109/(261*1.4)</f>
        <v>0</v>
      </c>
      <c r="N110" s="197">
        <f t="shared" si="39"/>
        <v>0</v>
      </c>
      <c r="O110" s="197">
        <f t="shared" si="39"/>
        <v>0</v>
      </c>
      <c r="P110" s="197">
        <f t="shared" si="39"/>
        <v>0</v>
      </c>
      <c r="Q110" s="10"/>
      <c r="R110" s="197">
        <f t="shared" ref="R110:U110" si="40">R109/(261*1.4)</f>
        <v>0</v>
      </c>
      <c r="S110" s="197">
        <f t="shared" si="40"/>
        <v>0</v>
      </c>
      <c r="T110" s="197">
        <f t="shared" si="40"/>
        <v>0</v>
      </c>
      <c r="U110" s="197">
        <f t="shared" si="40"/>
        <v>0</v>
      </c>
    </row>
    <row r="111" spans="1:21" x14ac:dyDescent="0.25">
      <c r="A111" s="191" t="s">
        <v>341</v>
      </c>
      <c r="B111" s="192"/>
      <c r="C111" s="198">
        <f t="shared" ref="C111:D111" si="41">30*MIN(75%*C110,MAX(29.26*C108,40.4%*C110+12*C108,57%*C110))</f>
        <v>0</v>
      </c>
      <c r="D111" s="198">
        <f t="shared" si="41"/>
        <v>0</v>
      </c>
      <c r="E111" s="198">
        <f t="shared" ref="E111:F111" si="42">30*MIN(75%*E110,MAX(29.26*E108,40.4%*E110+12*E108,57%*E110))</f>
        <v>0</v>
      </c>
      <c r="F111" s="198">
        <f t="shared" si="42"/>
        <v>0</v>
      </c>
      <c r="H111" s="198">
        <f t="shared" ref="H111:K111" si="43">30*MIN(75%*H110,MAX(29.26*H108,40.4%*H110+12*H108,57%*H110))</f>
        <v>0</v>
      </c>
      <c r="I111" s="198">
        <f t="shared" si="43"/>
        <v>0</v>
      </c>
      <c r="J111" s="198">
        <f t="shared" si="43"/>
        <v>0</v>
      </c>
      <c r="K111" s="198">
        <f t="shared" si="43"/>
        <v>0</v>
      </c>
      <c r="M111" s="198">
        <f t="shared" ref="M111:P111" si="44">30*MIN(75%*M110,MAX(29.26*M108,40.4%*M110+12*M108,57%*M110))</f>
        <v>0</v>
      </c>
      <c r="N111" s="198">
        <f t="shared" si="44"/>
        <v>0</v>
      </c>
      <c r="O111" s="198">
        <f t="shared" si="44"/>
        <v>0</v>
      </c>
      <c r="P111" s="198">
        <f t="shared" si="44"/>
        <v>0</v>
      </c>
      <c r="R111" s="198">
        <f t="shared" ref="R111:U111" si="45">30*MIN(75%*R110,MAX(29.26*R108,40.4%*R110+12*R108,57%*R110))</f>
        <v>0</v>
      </c>
      <c r="S111" s="198">
        <f t="shared" si="45"/>
        <v>0</v>
      </c>
      <c r="T111" s="198">
        <f t="shared" si="45"/>
        <v>0</v>
      </c>
      <c r="U111" s="198">
        <f t="shared" si="45"/>
        <v>0</v>
      </c>
    </row>
    <row r="112" spans="1:21" x14ac:dyDescent="0.25">
      <c r="A112" s="274" t="s">
        <v>340</v>
      </c>
      <c r="C112" s="199"/>
      <c r="D112" s="199"/>
      <c r="E112" s="199"/>
      <c r="F112" s="199"/>
      <c r="G112" s="10"/>
      <c r="H112" s="199"/>
      <c r="I112" s="199"/>
      <c r="J112" s="199"/>
      <c r="K112" s="199"/>
      <c r="L112" s="10"/>
      <c r="M112" s="199"/>
      <c r="N112" s="199"/>
      <c r="O112" s="199"/>
      <c r="P112" s="199"/>
      <c r="Q112" s="10"/>
      <c r="R112" s="199"/>
      <c r="S112" s="199"/>
      <c r="T112" s="199"/>
      <c r="U112" s="199"/>
    </row>
    <row r="113" spans="1:21" x14ac:dyDescent="0.25">
      <c r="A113" s="275" t="s">
        <v>337</v>
      </c>
      <c r="B113" s="10"/>
      <c r="C113" s="299">
        <f>C50/smic</f>
        <v>0</v>
      </c>
      <c r="D113" s="299">
        <f>D50/smic</f>
        <v>0</v>
      </c>
      <c r="E113" s="299">
        <f>E50/smic</f>
        <v>0</v>
      </c>
      <c r="F113" s="299">
        <f>F50/smic</f>
        <v>0</v>
      </c>
      <c r="G113" s="10"/>
      <c r="H113" s="299">
        <f>H50/smic</f>
        <v>0</v>
      </c>
      <c r="I113" s="299">
        <f>I50/smic</f>
        <v>0</v>
      </c>
      <c r="J113" s="299">
        <f>J50/smic</f>
        <v>0</v>
      </c>
      <c r="K113" s="299">
        <f>K50/smic</f>
        <v>0</v>
      </c>
      <c r="L113" s="10"/>
      <c r="M113" s="299">
        <f>M50/smic</f>
        <v>0</v>
      </c>
      <c r="N113" s="299">
        <f>N50/smic</f>
        <v>0</v>
      </c>
      <c r="O113" s="299">
        <f>O50/smic</f>
        <v>0</v>
      </c>
      <c r="P113" s="299">
        <f>P50/smic</f>
        <v>0</v>
      </c>
      <c r="Q113" s="10"/>
      <c r="R113" s="299">
        <f>R50/smic</f>
        <v>0</v>
      </c>
      <c r="S113" s="299">
        <f>S50/smic</f>
        <v>0</v>
      </c>
      <c r="T113" s="299">
        <f>T50/smic</f>
        <v>0</v>
      </c>
      <c r="U113" s="299">
        <f>U50/smic</f>
        <v>0</v>
      </c>
    </row>
    <row r="114" spans="1:21" x14ac:dyDescent="0.25">
      <c r="A114" s="275" t="s">
        <v>338</v>
      </c>
      <c r="B114" s="10"/>
      <c r="C114" s="196">
        <f>(1+assiette_csgcrds*(crds+tx_csgimp)/(1-tx_cotsal))*C50*12</f>
        <v>0</v>
      </c>
      <c r="D114" s="196">
        <f>(1+assiette_csgcrds*(crds+tx_csgimp)/(1-tx_cotsal))*D50*12</f>
        <v>0</v>
      </c>
      <c r="E114" s="196">
        <f>(1+assiette_csgcrds*(crds+tx_csgimp)/(1-tx_cotsal))*E50*12</f>
        <v>0</v>
      </c>
      <c r="F114" s="196">
        <f>(1+assiette_csgcrds*(crds+tx_csgimp)/(1-tx_cotsal))*F50*12</f>
        <v>0</v>
      </c>
      <c r="G114" s="10"/>
      <c r="H114" s="196">
        <f>(1+assiette_csgcrds*(crds+tx_csgimp)/(1-tx_cotsal))*H50*12</f>
        <v>0</v>
      </c>
      <c r="I114" s="196">
        <f>(1+assiette_csgcrds*(crds+tx_csgimp)/(1-tx_cotsal))*I50*12</f>
        <v>0</v>
      </c>
      <c r="J114" s="196">
        <f>(1+assiette_csgcrds*(crds+tx_csgimp)/(1-tx_cotsal))*J50*12</f>
        <v>0</v>
      </c>
      <c r="K114" s="196">
        <f>(1+assiette_csgcrds*(crds+tx_csgimp)/(1-tx_cotsal))*K50*12</f>
        <v>0</v>
      </c>
      <c r="L114" s="10"/>
      <c r="M114" s="196">
        <f>(1+assiette_csgcrds*(crds+tx_csgimp)/(1-tx_cotsal))*M50*12</f>
        <v>0</v>
      </c>
      <c r="N114" s="196">
        <f>(1+assiette_csgcrds*(crds+tx_csgimp)/(1-tx_cotsal))*N50*12</f>
        <v>0</v>
      </c>
      <c r="O114" s="196">
        <f>(1+assiette_csgcrds*(crds+tx_csgimp)/(1-tx_cotsal))*O50*12</f>
        <v>0</v>
      </c>
      <c r="P114" s="196">
        <f>(1+assiette_csgcrds*(crds+tx_csgimp)/(1-tx_cotsal))*P50*12</f>
        <v>0</v>
      </c>
      <c r="Q114" s="10"/>
      <c r="R114" s="196">
        <f>(1+assiette_csgcrds*(crds+tx_csgimp)/(1-tx_cotsal))*R50*12</f>
        <v>0</v>
      </c>
      <c r="S114" s="196">
        <f>(1+assiette_csgcrds*(crds+tx_csgimp)/(1-tx_cotsal))*S50*12</f>
        <v>0</v>
      </c>
      <c r="T114" s="196">
        <f>(1+assiette_csgcrds*(crds+tx_csgimp)/(1-tx_cotsal))*T50*12</f>
        <v>0</v>
      </c>
      <c r="U114" s="196">
        <f>(1+assiette_csgcrds*(crds+tx_csgimp)/(1-tx_cotsal))*U50*12</f>
        <v>0</v>
      </c>
    </row>
    <row r="115" spans="1:21" x14ac:dyDescent="0.25">
      <c r="A115" s="275" t="s">
        <v>339</v>
      </c>
      <c r="B115" s="10"/>
      <c r="C115" s="197">
        <f t="shared" ref="C115:D115" si="46">C114/(261*1.4)</f>
        <v>0</v>
      </c>
      <c r="D115" s="197">
        <f t="shared" si="46"/>
        <v>0</v>
      </c>
      <c r="E115" s="197">
        <f t="shared" ref="E115:F115" si="47">E114/(261*1.4)</f>
        <v>0</v>
      </c>
      <c r="F115" s="197">
        <f t="shared" si="47"/>
        <v>0</v>
      </c>
      <c r="G115" s="10"/>
      <c r="H115" s="197">
        <f t="shared" ref="H115:K115" si="48">H114/(261*1.4)</f>
        <v>0</v>
      </c>
      <c r="I115" s="197">
        <f t="shared" si="48"/>
        <v>0</v>
      </c>
      <c r="J115" s="197">
        <f t="shared" si="48"/>
        <v>0</v>
      </c>
      <c r="K115" s="197">
        <f t="shared" si="48"/>
        <v>0</v>
      </c>
      <c r="L115" s="10"/>
      <c r="M115" s="197">
        <f t="shared" ref="M115:P115" si="49">M114/(261*1.4)</f>
        <v>0</v>
      </c>
      <c r="N115" s="197">
        <f t="shared" si="49"/>
        <v>0</v>
      </c>
      <c r="O115" s="197">
        <f t="shared" si="49"/>
        <v>0</v>
      </c>
      <c r="P115" s="197">
        <f t="shared" si="49"/>
        <v>0</v>
      </c>
      <c r="Q115" s="10"/>
      <c r="R115" s="197">
        <f t="shared" ref="R115:U115" si="50">R114/(261*1.4)</f>
        <v>0</v>
      </c>
      <c r="S115" s="197">
        <f t="shared" si="50"/>
        <v>0</v>
      </c>
      <c r="T115" s="197">
        <f t="shared" si="50"/>
        <v>0</v>
      </c>
      <c r="U115" s="197">
        <f t="shared" si="50"/>
        <v>0</v>
      </c>
    </row>
    <row r="116" spans="1:21" ht="13" thickBot="1" x14ac:dyDescent="0.3">
      <c r="A116" s="193" t="s">
        <v>342</v>
      </c>
      <c r="B116" s="194"/>
      <c r="C116" s="200">
        <f t="shared" ref="C116:D116" si="51">30*MIN(75%*C115,MAX(29.26*C113,40.4%*C115+12*C113,57%*C115))</f>
        <v>0</v>
      </c>
      <c r="D116" s="200">
        <f t="shared" si="51"/>
        <v>0</v>
      </c>
      <c r="E116" s="200">
        <f t="shared" ref="E116:F116" si="52">30*MIN(75%*E115,MAX(29.26*E113,40.4%*E115+12*E113,57%*E115))</f>
        <v>0</v>
      </c>
      <c r="F116" s="200">
        <f t="shared" si="52"/>
        <v>0</v>
      </c>
      <c r="G116" s="10"/>
      <c r="H116" s="200">
        <f t="shared" ref="H116:K116" si="53">30*MIN(75%*H115,MAX(29.26*H113,40.4%*H115+12*H113,57%*H115))</f>
        <v>0</v>
      </c>
      <c r="I116" s="200">
        <f t="shared" si="53"/>
        <v>0</v>
      </c>
      <c r="J116" s="200">
        <f t="shared" si="53"/>
        <v>0</v>
      </c>
      <c r="K116" s="200">
        <f t="shared" si="53"/>
        <v>0</v>
      </c>
      <c r="L116" s="10"/>
      <c r="M116" s="200">
        <f t="shared" ref="M116:P116" si="54">30*MIN(75%*M115,MAX(29.26*M113,40.4%*M115+12*M113,57%*M115))</f>
        <v>0</v>
      </c>
      <c r="N116" s="200">
        <f t="shared" si="54"/>
        <v>0</v>
      </c>
      <c r="O116" s="200">
        <f t="shared" si="54"/>
        <v>0</v>
      </c>
      <c r="P116" s="200">
        <f t="shared" si="54"/>
        <v>0</v>
      </c>
      <c r="Q116" s="10"/>
      <c r="R116" s="200">
        <f t="shared" ref="R116:U116" si="55">30*MIN(75%*R115,MAX(29.26*R113,40.4%*R115+12*R113,57%*R115))</f>
        <v>0</v>
      </c>
      <c r="S116" s="200">
        <f t="shared" si="55"/>
        <v>0</v>
      </c>
      <c r="T116" s="200">
        <f t="shared" si="55"/>
        <v>0</v>
      </c>
      <c r="U116" s="200">
        <f t="shared" si="55"/>
        <v>0</v>
      </c>
    </row>
    <row r="117" spans="1:21" x14ac:dyDescent="0.25">
      <c r="A117" s="10"/>
      <c r="B117" s="10"/>
      <c r="C117" s="296"/>
      <c r="D117" s="296"/>
      <c r="E117" s="296"/>
      <c r="F117" s="296"/>
      <c r="G117" s="10"/>
      <c r="H117" s="296"/>
      <c r="I117" s="296"/>
      <c r="J117" s="296"/>
      <c r="K117" s="296"/>
      <c r="L117" s="10"/>
      <c r="M117" s="296"/>
      <c r="N117" s="296"/>
      <c r="O117" s="296"/>
      <c r="P117" s="296"/>
      <c r="Q117" s="10"/>
      <c r="R117" s="296"/>
      <c r="S117" s="296"/>
      <c r="T117" s="296"/>
      <c r="U117" s="296"/>
    </row>
    <row r="118" spans="1:21" ht="13.5" thickBot="1" x14ac:dyDescent="0.35">
      <c r="A118" s="295" t="s">
        <v>415</v>
      </c>
      <c r="B118" s="10"/>
      <c r="C118" s="296"/>
      <c r="D118" s="296"/>
      <c r="E118" s="296"/>
      <c r="F118" s="296"/>
      <c r="G118" s="10"/>
      <c r="H118" s="296"/>
      <c r="I118" s="296"/>
      <c r="J118" s="296"/>
      <c r="K118" s="296"/>
      <c r="L118" s="10"/>
      <c r="M118" s="296"/>
      <c r="N118" s="296"/>
      <c r="O118" s="296"/>
      <c r="P118" s="296"/>
      <c r="Q118" s="10"/>
      <c r="R118" s="296"/>
      <c r="S118" s="296"/>
      <c r="T118" s="296"/>
      <c r="U118" s="296"/>
    </row>
    <row r="119" spans="1:21" ht="13" thickBot="1" x14ac:dyDescent="0.3">
      <c r="A119" s="330" t="s">
        <v>485</v>
      </c>
      <c r="B119" s="329"/>
      <c r="C119" s="347">
        <f>MAX(0,Coef_n_2*C$58-MAX(irpp_min_reduc_fp,MIN(irpp_max_reduc_fp,irpp_taux_reduc_fp*Coef_n_2*C$58)))
+MAX(0,12*C$52-MAX(irpp_min_reduc_pens,MIN(irpp_max_reduc_pens,irpp_taux_reduc_pens*12*C$52)))
 -12*C$53</f>
        <v>0</v>
      </c>
      <c r="D119" s="347">
        <f>MAX(0,Coef_n_2*D$58-MAX(irpp_min_reduc_fp,MIN(irpp_max_reduc_fp,irpp_taux_reduc_fp*Coef_n_2*D$58)))
+MAX(0,12*D$52-MAX(irpp_min_reduc_pens,MIN(irpp_max_reduc_pens,irpp_taux_reduc_pens*12*D$52)))
 -12*D$53</f>
        <v>7105.035193964849</v>
      </c>
      <c r="E119" s="347">
        <f>MAX(0,Coef_n_2*E$58-MAX(irpp_min_reduc_fp,MIN(irpp_max_reduc_fp,irpp_taux_reduc_fp*Coef_n_2*E$58)))
+MAX(0,12*E$52-MAX(irpp_min_reduc_pens,MIN(irpp_max_reduc_pens,irpp_taux_reduc_pens*12*E$52)))
 -12*E$53</f>
        <v>14210.070387929698</v>
      </c>
      <c r="F119" s="347">
        <f>MAX(0,Coef_n_2*F$58-MAX(irpp_min_reduc_fp,MIN(irpp_max_reduc_fp,irpp_taux_reduc_fp*Coef_n_2*F$58)))
+MAX(0,12*F$52-MAX(irpp_min_reduc_pens,MIN(irpp_max_reduc_pens,irpp_taux_reduc_pens*12*F$52)))
 -12*F$53</f>
        <v>21315.10558189455</v>
      </c>
      <c r="G119" s="10"/>
      <c r="H119" s="347">
        <f>MAX(0,Coef_n_2*H$58-MAX(irpp_min_reduc_fp,MIN(irpp_max_reduc_fp,irpp_taux_reduc_fp*Coef_n_2*H$58)))
+MAX(0,12*H$52-MAX(irpp_min_reduc_pens,MIN(irpp_max_reduc_pens,irpp_taux_reduc_pens*12*H$52)))
 -12*H$53</f>
        <v>0</v>
      </c>
      <c r="I119" s="347">
        <f>MAX(0,Coef_n_2*I$58-MAX(irpp_min_reduc_fp,MIN(irpp_max_reduc_fp,irpp_taux_reduc_fp*Coef_n_2*I$58)))
+MAX(0,12*I$52-MAX(irpp_min_reduc_pens,MIN(irpp_max_reduc_pens,irpp_taux_reduc_pens*12*I$52)))
 -12*I$53</f>
        <v>7105.035193964849</v>
      </c>
      <c r="J119" s="347">
        <f>MAX(0,Coef_n_2*J$58-MAX(irpp_min_reduc_fp,MIN(irpp_max_reduc_fp,irpp_taux_reduc_fp*Coef_n_2*J$58)))
+MAX(0,12*J$52-MAX(irpp_min_reduc_pens,MIN(irpp_max_reduc_pens,irpp_taux_reduc_pens*12*J$52)))
 -12*J$53</f>
        <v>14210.070387929698</v>
      </c>
      <c r="K119" s="347">
        <f>MAX(0,Coef_n_2*K$58-MAX(irpp_min_reduc_fp,MIN(irpp_max_reduc_fp,irpp_taux_reduc_fp*Coef_n_2*K$58)))
+MAX(0,12*K$52-MAX(irpp_min_reduc_pens,MIN(irpp_max_reduc_pens,irpp_taux_reduc_pens*12*K$52)))
 -12*K$53</f>
        <v>21315.10558189455</v>
      </c>
      <c r="L119" s="10"/>
      <c r="M119" s="347">
        <f>MAX(0,Coef_n_2*M$58-MAX(irpp_min_reduc_fp,MIN(irpp_max_reduc_fp,irpp_taux_reduc_fp*Coef_n_2*M$58)))
+MAX(0,12*M$52-MAX(irpp_min_reduc_pens,MIN(irpp_max_reduc_pens,irpp_taux_reduc_pens*12*M$52)))
 -12*M$53</f>
        <v>0</v>
      </c>
      <c r="N119" s="347">
        <f>MAX(0,Coef_n_2*N$58-MAX(irpp_min_reduc_fp,MIN(irpp_max_reduc_fp,irpp_taux_reduc_fp*Coef_n_2*N$58)))
+MAX(0,12*N$52-MAX(irpp_min_reduc_pens,MIN(irpp_max_reduc_pens,irpp_taux_reduc_pens*12*N$52)))
 -12*N$53</f>
        <v>7105.035193964849</v>
      </c>
      <c r="O119" s="347">
        <f>MAX(0,Coef_n_2*O$58-MAX(irpp_min_reduc_fp,MIN(irpp_max_reduc_fp,irpp_taux_reduc_fp*Coef_n_2*O$58)))
+MAX(0,12*O$52-MAX(irpp_min_reduc_pens,MIN(irpp_max_reduc_pens,irpp_taux_reduc_pens*12*O$52)))
 -12*O$53</f>
        <v>14210.070387929698</v>
      </c>
      <c r="P119" s="347">
        <f>MAX(0,Coef_n_2*P$58-MAX(irpp_min_reduc_fp,MIN(irpp_max_reduc_fp,irpp_taux_reduc_fp*Coef_n_2*P$58)))
+MAX(0,12*P$52-MAX(irpp_min_reduc_pens,MIN(irpp_max_reduc_pens,irpp_taux_reduc_pens*12*P$52)))
 -12*P$53</f>
        <v>21315.10558189455</v>
      </c>
      <c r="Q119" s="10"/>
      <c r="R119" s="347">
        <f>MAX(0,Coef_n_2*R$58-MAX(irpp_min_reduc_fp,MIN(irpp_max_reduc_fp,irpp_taux_reduc_fp*Coef_n_2*R$58)))
+MAX(0,12*R$52-MAX(irpp_min_reduc_pens,MIN(irpp_max_reduc_pens,irpp_taux_reduc_pens*12*R$52)))
 -12*R$53</f>
        <v>0</v>
      </c>
      <c r="S119" s="347">
        <f>MAX(0,Coef_n_2*S$58-MAX(irpp_min_reduc_fp,MIN(irpp_max_reduc_fp,irpp_taux_reduc_fp*Coef_n_2*S$58)))
+MAX(0,12*S$52-MAX(irpp_min_reduc_pens,MIN(irpp_max_reduc_pens,irpp_taux_reduc_pens*12*S$52)))
 -12*S$53</f>
        <v>7105.035193964849</v>
      </c>
      <c r="T119" s="347">
        <f>MAX(0,Coef_n_2*T$58-MAX(irpp_min_reduc_fp,MIN(irpp_max_reduc_fp,irpp_taux_reduc_fp*Coef_n_2*T$58)))
+MAX(0,12*T$52-MAX(irpp_min_reduc_pens,MIN(irpp_max_reduc_pens,irpp_taux_reduc_pens*12*T$52)))
 -12*T$53</f>
        <v>14210.070387929698</v>
      </c>
      <c r="U119" s="347">
        <f>MAX(0,Coef_n_2*U$58-MAX(irpp_min_reduc_fp,MIN(irpp_max_reduc_fp,irpp_taux_reduc_fp*Coef_n_2*U$58)))
+MAX(0,12*U$52-MAX(irpp_min_reduc_pens,MIN(irpp_max_reduc_pens,irpp_taux_reduc_pens*12*U$52)))
 -12*U$53</f>
        <v>21315.10558189455</v>
      </c>
    </row>
    <row r="120" spans="1:21" x14ac:dyDescent="0.25">
      <c r="A120" s="10"/>
      <c r="B120" s="10"/>
      <c r="C120" s="296"/>
      <c r="D120" s="296"/>
      <c r="E120" s="296"/>
      <c r="F120" s="296"/>
      <c r="G120" s="10"/>
      <c r="H120" s="296"/>
      <c r="I120" s="296"/>
      <c r="J120" s="296"/>
      <c r="K120" s="296"/>
      <c r="L120" s="10"/>
      <c r="M120" s="296"/>
      <c r="N120" s="296"/>
      <c r="O120" s="296"/>
      <c r="P120" s="296"/>
      <c r="Q120" s="10"/>
      <c r="R120" s="296"/>
      <c r="S120" s="296"/>
      <c r="T120" s="296"/>
      <c r="U120" s="296"/>
    </row>
    <row r="121" spans="1:21" ht="13.5" thickBot="1" x14ac:dyDescent="0.35">
      <c r="A121" s="295" t="s">
        <v>484</v>
      </c>
      <c r="B121" s="10"/>
      <c r="C121" s="296"/>
      <c r="D121" s="296"/>
      <c r="E121" s="296"/>
      <c r="F121" s="296"/>
      <c r="G121" s="10"/>
      <c r="H121" s="296"/>
      <c r="I121" s="296"/>
      <c r="J121" s="296"/>
      <c r="K121" s="296"/>
      <c r="L121" s="10"/>
      <c r="M121" s="296"/>
      <c r="N121" s="296"/>
      <c r="O121" s="296"/>
      <c r="P121" s="296"/>
      <c r="Q121" s="10"/>
      <c r="R121" s="296"/>
      <c r="S121" s="296"/>
      <c r="T121" s="296"/>
      <c r="U121" s="296"/>
    </row>
    <row r="122" spans="1:21" ht="13" thickBot="1" x14ac:dyDescent="0.3">
      <c r="A122" s="430" t="s">
        <v>495</v>
      </c>
      <c r="B122" s="329"/>
      <c r="C122" s="431">
        <f>(C$13&lt;&gt;"png")*C$97</f>
        <v>0</v>
      </c>
      <c r="D122" s="431">
        <f>(D$13&lt;&gt;"png")*D$97</f>
        <v>0</v>
      </c>
      <c r="E122" s="431">
        <f>(E$13&lt;&gt;"png")*E$97</f>
        <v>0</v>
      </c>
      <c r="F122" s="431">
        <f>(F$13&lt;&gt;"png")*F$97</f>
        <v>0</v>
      </c>
      <c r="G122" s="10"/>
      <c r="H122" s="431">
        <f>(H$13&lt;&gt;"png")*H$97</f>
        <v>1</v>
      </c>
      <c r="I122" s="431">
        <f>(I$13&lt;&gt;"png")*I$97</f>
        <v>1</v>
      </c>
      <c r="J122" s="431">
        <f>(J$13&lt;&gt;"png")*J$97</f>
        <v>1</v>
      </c>
      <c r="K122" s="431">
        <f>(K$13&lt;&gt;"png")*K$97</f>
        <v>1</v>
      </c>
      <c r="L122" s="10"/>
      <c r="M122" s="431">
        <f>(M$13&lt;&gt;"png")*M$97</f>
        <v>2</v>
      </c>
      <c r="N122" s="431">
        <f>(N$13&lt;&gt;"png")*N$97</f>
        <v>2</v>
      </c>
      <c r="O122" s="431">
        <f>(O$13&lt;&gt;"png")*O$97</f>
        <v>2</v>
      </c>
      <c r="P122" s="431">
        <f>(P$13&lt;&gt;"png")*P$97</f>
        <v>2</v>
      </c>
      <c r="Q122" s="10"/>
      <c r="R122" s="431">
        <f>(R$13&lt;&gt;"png")*R$97</f>
        <v>3</v>
      </c>
      <c r="S122" s="431">
        <f>(S$13&lt;&gt;"png")*S$97</f>
        <v>3</v>
      </c>
      <c r="T122" s="431">
        <f>(T$13&lt;&gt;"png")*T$97</f>
        <v>3</v>
      </c>
      <c r="U122" s="431">
        <f>(U$13&lt;&gt;"png")*U$97</f>
        <v>3</v>
      </c>
    </row>
    <row r="123" spans="1:21" ht="13" thickBot="1" x14ac:dyDescent="0.3">
      <c r="A123" s="430" t="s">
        <v>497</v>
      </c>
      <c r="B123" s="329"/>
      <c r="C123" s="431">
        <f>(C$13&lt;&gt;"png")*C$98</f>
        <v>0</v>
      </c>
      <c r="D123" s="431">
        <f>(D$13&lt;&gt;"png")*D$98</f>
        <v>0</v>
      </c>
      <c r="E123" s="431">
        <f>(E$13&lt;&gt;"png")*E$98</f>
        <v>0</v>
      </c>
      <c r="F123" s="431">
        <f>(F$13&lt;&gt;"png")*F$98</f>
        <v>0</v>
      </c>
      <c r="G123" s="10"/>
      <c r="H123" s="431">
        <f>(H$13&lt;&gt;"png")*H$98</f>
        <v>1</v>
      </c>
      <c r="I123" s="431">
        <f>(I$13&lt;&gt;"png")*I$98</f>
        <v>1</v>
      </c>
      <c r="J123" s="431">
        <f>(J$13&lt;&gt;"png")*J$98</f>
        <v>1</v>
      </c>
      <c r="K123" s="431">
        <f>(K$13&lt;&gt;"png")*K$98</f>
        <v>1</v>
      </c>
      <c r="L123" s="10"/>
      <c r="M123" s="431">
        <f>(M$13&lt;&gt;"png")*M$98</f>
        <v>2</v>
      </c>
      <c r="N123" s="431">
        <f>(N$13&lt;&gt;"png")*N$98</f>
        <v>2</v>
      </c>
      <c r="O123" s="431">
        <f>(O$13&lt;&gt;"png")*O$98</f>
        <v>2</v>
      </c>
      <c r="P123" s="431">
        <f>(P$13&lt;&gt;"png")*P$98</f>
        <v>2</v>
      </c>
      <c r="Q123" s="10"/>
      <c r="R123" s="431">
        <f>(R$13&lt;&gt;"png")*R$98</f>
        <v>3</v>
      </c>
      <c r="S123" s="431">
        <f>(S$13&lt;&gt;"png")*S$98</f>
        <v>3</v>
      </c>
      <c r="T123" s="431">
        <f>(T$13&lt;&gt;"png")*T$98</f>
        <v>3</v>
      </c>
      <c r="U123" s="431">
        <f>(U$13&lt;&gt;"png")*U$98</f>
        <v>3</v>
      </c>
    </row>
    <row r="124" spans="1:21" x14ac:dyDescent="0.25">
      <c r="A124" s="10"/>
      <c r="B124" s="5"/>
      <c r="C124" s="184"/>
      <c r="D124" s="184"/>
      <c r="E124" s="184"/>
      <c r="F124" s="184"/>
      <c r="H124" s="184"/>
      <c r="I124" s="184"/>
      <c r="J124" s="184"/>
      <c r="K124" s="184"/>
      <c r="M124" s="184"/>
      <c r="N124" s="184"/>
      <c r="O124" s="184"/>
      <c r="P124" s="184"/>
      <c r="R124" s="184"/>
      <c r="S124" s="184"/>
      <c r="T124" s="184"/>
      <c r="U124" s="184"/>
    </row>
    <row r="125" spans="1:21" ht="13" x14ac:dyDescent="0.3">
      <c r="A125" s="295" t="s">
        <v>128</v>
      </c>
    </row>
    <row r="126" spans="1:21" ht="13.5" thickBot="1" x14ac:dyDescent="0.35">
      <c r="A126" s="295"/>
    </row>
    <row r="127" spans="1:21" x14ac:dyDescent="0.25">
      <c r="A127" s="117" t="s">
        <v>90</v>
      </c>
      <c r="B127" s="121"/>
      <c r="C127" s="123">
        <f>IF(C$122=2,af_2,0)+IF(C$122=3,af_3,0)+IF(C$122=4,af_4,0)+IF(C$122=5,af_5,0)+IF(C$122=6,af_6,0)</f>
        <v>0</v>
      </c>
      <c r="D127" s="123">
        <f>IF(D$122=2,af_2,0)+IF(D$122=3,af_3,0)+IF(D$122=4,af_4,0)+IF(D$122=5,af_5,0)+IF(D$122=6,af_6,0)</f>
        <v>0</v>
      </c>
      <c r="E127" s="123">
        <f>IF(E$122=2,af_2,0)+IF(E$122=3,af_3,0)+IF(E$122=4,af_4,0)+IF(E$122=5,af_5,0)+IF(E$122=6,af_6,0)</f>
        <v>0</v>
      </c>
      <c r="F127" s="123">
        <f>IF(F$122=2,af_2,0)+IF(F$122=3,af_3,0)+IF(F$122=4,af_4,0)+IF(F$122=5,af_5,0)+IF(F$122=6,af_6,0)</f>
        <v>0</v>
      </c>
      <c r="H127" s="123">
        <f>IF(H$122=2,af_2,0)+IF(H$122=3,af_3,0)+IF(H$122=4,af_4,0)+IF(H$122=5,af_5,0)+IF(H$122=6,af_6,0)</f>
        <v>0</v>
      </c>
      <c r="I127" s="123">
        <f>IF(I$122=2,af_2,0)+IF(I$122=3,af_3,0)+IF(I$122=4,af_4,0)+IF(I$122=5,af_5,0)+IF(I$122=6,af_6,0)</f>
        <v>0</v>
      </c>
      <c r="J127" s="123">
        <f>IF(J$122=2,af_2,0)+IF(J$122=3,af_3,0)+IF(J$122=4,af_4,0)+IF(J$122=5,af_5,0)+IF(J$122=6,af_6,0)</f>
        <v>0</v>
      </c>
      <c r="K127" s="123">
        <f>IF(K$122=2,af_2,0)+IF(K$122=3,af_3,0)+IF(K$122=4,af_4,0)+IF(K$122=5,af_5,0)+IF(K$122=6,af_6,0)</f>
        <v>0</v>
      </c>
      <c r="M127" s="123">
        <f>IF(M$122=2,af_2,0)+IF(M$122=3,af_3,0)+IF(M$122=4,af_4,0)+IF(M$122=5,af_5,0)+IF(M$122=6,af_6,0)</f>
        <v>148.51449599999998</v>
      </c>
      <c r="N127" s="123">
        <f>IF(N$122=2,af_2,0)+IF(N$122=3,af_3,0)+IF(N$122=4,af_4,0)+IF(N$122=5,af_5,0)+IF(N$122=6,af_6,0)</f>
        <v>148.51449599999998</v>
      </c>
      <c r="O127" s="123">
        <f>IF(O$122=2,af_2,0)+IF(O$122=3,af_3,0)+IF(O$122=4,af_4,0)+IF(O$122=5,af_5,0)+IF(O$122=6,af_6,0)</f>
        <v>148.51449599999998</v>
      </c>
      <c r="P127" s="123">
        <f>IF(P$122=2,af_2,0)+IF(P$122=3,af_3,0)+IF(P$122=4,af_4,0)+IF(P$122=5,af_5,0)+IF(P$122=6,af_6,0)</f>
        <v>148.51449599999998</v>
      </c>
      <c r="R127" s="123">
        <f>IF(R$122=2,af_2,0)+IF(R$122=3,af_3,0)+IF(R$122=4,af_4,0)+IF(R$122=5,af_5,0)+IF(R$122=6,af_6,0)</f>
        <v>338.79869399999995</v>
      </c>
      <c r="S127" s="123">
        <f>IF(S$122=2,af_2,0)+IF(S$122=3,af_3,0)+IF(S$122=4,af_4,0)+IF(S$122=5,af_5,0)+IF(S$122=6,af_6,0)</f>
        <v>338.79869399999995</v>
      </c>
      <c r="T127" s="123">
        <f>IF(T$122=2,af_2,0)+IF(T$122=3,af_3,0)+IF(T$122=4,af_4,0)+IF(T$122=5,af_5,0)+IF(T$122=6,af_6,0)</f>
        <v>338.79869399999995</v>
      </c>
      <c r="U127" s="123">
        <f>IF(U$122=2,af_2,0)+IF(U$122=3,af_3,0)+IF(U$122=4,af_4,0)+IF(U$122=5,af_5,0)+IF(U$122=6,af_6,0)</f>
        <v>338.79869399999995</v>
      </c>
    </row>
    <row r="128" spans="1:21" x14ac:dyDescent="0.25">
      <c r="A128" s="116" t="s">
        <v>91</v>
      </c>
      <c r="B128" s="5"/>
      <c r="C128" s="85">
        <f>(C$122&gt;=3)*C101*af_majo_âge+(C$122=2)*(MIN(C4,C5)&gt;=14)*af_majo_âge</f>
        <v>0</v>
      </c>
      <c r="D128" s="85">
        <f>(D$122&gt;=3)*D101*af_majo_âge+(D$122=2)*(MIN(D4,D5)&gt;=14)*af_majo_âge</f>
        <v>0</v>
      </c>
      <c r="E128" s="85">
        <f>(E$122&gt;=3)*E101*af_majo_âge+(E$122=2)*(MIN(E4,E5)&gt;=14)*af_majo_âge</f>
        <v>0</v>
      </c>
      <c r="F128" s="85">
        <f>(F$122&gt;=3)*F101*af_majo_âge+(F$122=2)*(MIN(F4,F5)&gt;=14)*af_majo_âge</f>
        <v>0</v>
      </c>
      <c r="H128" s="85">
        <f>(H$122&gt;=3)*H101*af_majo_âge+(H$122=2)*(MIN(H4,H5)&gt;=14)*af_majo_âge</f>
        <v>0</v>
      </c>
      <c r="I128" s="85">
        <f>(I$122&gt;=3)*I101*af_majo_âge+(I$122=2)*(MIN(I4,I5)&gt;=14)*af_majo_âge</f>
        <v>0</v>
      </c>
      <c r="J128" s="85">
        <f>(J$122&gt;=3)*J101*af_majo_âge+(J$122=2)*(MIN(J4,J5)&gt;=14)*af_majo_âge</f>
        <v>0</v>
      </c>
      <c r="K128" s="85">
        <f>(K$122&gt;=3)*K101*af_majo_âge+(K$122=2)*(MIN(K4,K5)&gt;=14)*af_majo_âge</f>
        <v>0</v>
      </c>
      <c r="M128" s="85">
        <f>(M$122&gt;=3)*M101*af_majo_âge+(M$122=2)*(MIN(M4,M5)&gt;=14)*af_majo_âge</f>
        <v>0</v>
      </c>
      <c r="N128" s="85">
        <f>(N$122&gt;=3)*N101*af_majo_âge+(N$122=2)*(MIN(N4,N5)&gt;=14)*af_majo_âge</f>
        <v>0</v>
      </c>
      <c r="O128" s="85">
        <f>(O$122&gt;=3)*O101*af_majo_âge+(O$122=2)*(MIN(O4,O5)&gt;=14)*af_majo_âge</f>
        <v>0</v>
      </c>
      <c r="P128" s="85">
        <f>(P$122&gt;=3)*P101*af_majo_âge+(P$122=2)*(MIN(P4,P5)&gt;=14)*af_majo_âge</f>
        <v>0</v>
      </c>
      <c r="R128" s="85">
        <f>(R$122&gt;=3)*R101*af_majo_âge+(R$122=2)*(MIN(R4,R5)&gt;=14)*af_majo_âge</f>
        <v>0</v>
      </c>
      <c r="S128" s="85">
        <f>(S$122&gt;=3)*S101*af_majo_âge+(S$122=2)*(MIN(S4,S5)&gt;=14)*af_majo_âge</f>
        <v>0</v>
      </c>
      <c r="T128" s="85">
        <f>(T$122&gt;=3)*T101*af_majo_âge+(T$122=2)*(MIN(T4,T5)&gt;=14)*af_majo_âge</f>
        <v>0</v>
      </c>
      <c r="U128" s="85">
        <f>(U$122&gt;=3)*U101*af_majo_âge+(U$122=2)*(MIN(U4,U5)&gt;=14)*af_majo_âge</f>
        <v>0</v>
      </c>
    </row>
    <row r="129" spans="1:21" x14ac:dyDescent="0.25">
      <c r="A129" s="116" t="s">
        <v>124</v>
      </c>
      <c r="B129" s="5"/>
      <c r="C129" s="85">
        <f>(C$122=C$123-1)*(C$123&gt;=3)*af_forfait</f>
        <v>0</v>
      </c>
      <c r="D129" s="85">
        <f>(D$122=D$123-1)*(D$123&gt;=3)*af_forfait</f>
        <v>0</v>
      </c>
      <c r="E129" s="85">
        <f>(E$122=E$123-1)*(E$123&gt;=3)*af_forfait</f>
        <v>0</v>
      </c>
      <c r="F129" s="85">
        <f>(F$122=F$123-1)*(F$123&gt;=3)*af_forfait</f>
        <v>0</v>
      </c>
      <c r="H129" s="85">
        <f>(H$122=H$123-1)*(H$123&gt;=3)*af_forfait</f>
        <v>0</v>
      </c>
      <c r="I129" s="85">
        <f>(I$122=I$123-1)*(I$123&gt;=3)*af_forfait</f>
        <v>0</v>
      </c>
      <c r="J129" s="85">
        <f>(J$122=J$123-1)*(J$123&gt;=3)*af_forfait</f>
        <v>0</v>
      </c>
      <c r="K129" s="85">
        <f>(K$122=K$123-1)*(K$123&gt;=3)*af_forfait</f>
        <v>0</v>
      </c>
      <c r="M129" s="85">
        <f>(M$122=M$123-1)*(M$123&gt;=3)*af_forfait</f>
        <v>0</v>
      </c>
      <c r="N129" s="85">
        <f>(N$122=N$123-1)*(N$123&gt;=3)*af_forfait</f>
        <v>0</v>
      </c>
      <c r="O129" s="85">
        <f>(O$122=O$123-1)*(O$123&gt;=3)*af_forfait</f>
        <v>0</v>
      </c>
      <c r="P129" s="85">
        <f>(P$122=P$123-1)*(P$123&gt;=3)*af_forfait</f>
        <v>0</v>
      </c>
      <c r="R129" s="85">
        <f>(R$122=R$123-1)*(R$123&gt;=3)*af_forfait</f>
        <v>0</v>
      </c>
      <c r="S129" s="85">
        <f>(S$122=S$123-1)*(S$123&gt;=3)*af_forfait</f>
        <v>0</v>
      </c>
      <c r="T129" s="85">
        <f>(T$122=T$123-1)*(T$123&gt;=3)*af_forfait</f>
        <v>0</v>
      </c>
      <c r="U129" s="85">
        <f>(U$122=U$123-1)*(U$123&gt;=3)*af_forfait</f>
        <v>0</v>
      </c>
    </row>
    <row r="130" spans="1:21" x14ac:dyDescent="0.25">
      <c r="A130" s="116" t="s">
        <v>129</v>
      </c>
      <c r="B130" s="5"/>
      <c r="C130" s="85">
        <f>(af_plaf1+MAX(0,C$122-2)*af_plaf_suppl_enf)</f>
        <v>74966</v>
      </c>
      <c r="D130" s="85">
        <f>(af_plaf1+MAX(0,D$122-2)*af_plaf_suppl_enf)</f>
        <v>74966</v>
      </c>
      <c r="E130" s="85">
        <f>(af_plaf1+MAX(0,E$122-2)*af_plaf_suppl_enf)</f>
        <v>74966</v>
      </c>
      <c r="F130" s="85">
        <f>(af_plaf1+MAX(0,F$122-2)*af_plaf_suppl_enf)</f>
        <v>74966</v>
      </c>
      <c r="H130" s="85">
        <f>(af_plaf1+MAX(0,H$122-2)*af_plaf_suppl_enf)</f>
        <v>74966</v>
      </c>
      <c r="I130" s="85">
        <f>(af_plaf1+MAX(0,I$122-2)*af_plaf_suppl_enf)</f>
        <v>74966</v>
      </c>
      <c r="J130" s="85">
        <f>(af_plaf1+MAX(0,J$122-2)*af_plaf_suppl_enf)</f>
        <v>74966</v>
      </c>
      <c r="K130" s="85">
        <f>(af_plaf1+MAX(0,K$122-2)*af_plaf_suppl_enf)</f>
        <v>74966</v>
      </c>
      <c r="M130" s="85">
        <f>(af_plaf1+MAX(0,M$122-2)*af_plaf_suppl_enf)</f>
        <v>74966</v>
      </c>
      <c r="N130" s="85">
        <f>(af_plaf1+MAX(0,N$122-2)*af_plaf_suppl_enf)</f>
        <v>74966</v>
      </c>
      <c r="O130" s="85">
        <f>(af_plaf1+MAX(0,O$122-2)*af_plaf_suppl_enf)</f>
        <v>74966</v>
      </c>
      <c r="P130" s="85">
        <f>(af_plaf1+MAX(0,P$122-2)*af_plaf_suppl_enf)</f>
        <v>74966</v>
      </c>
      <c r="R130" s="85">
        <f>(af_plaf1+MAX(0,R$122-2)*af_plaf_suppl_enf)</f>
        <v>81212</v>
      </c>
      <c r="S130" s="85">
        <f>(af_plaf1+MAX(0,S$122-2)*af_plaf_suppl_enf)</f>
        <v>81212</v>
      </c>
      <c r="T130" s="85">
        <f>(af_plaf1+MAX(0,T$122-2)*af_plaf_suppl_enf)</f>
        <v>81212</v>
      </c>
      <c r="U130" s="85">
        <f>(af_plaf1+MAX(0,U$122-2)*af_plaf_suppl_enf)</f>
        <v>81212</v>
      </c>
    </row>
    <row r="131" spans="1:21" x14ac:dyDescent="0.25">
      <c r="A131" s="116" t="s">
        <v>130</v>
      </c>
      <c r="B131" s="5"/>
      <c r="C131" s="85">
        <f>(af_plaf2+MAX(0,C$122-2)*af_plaf_suppl_enf)</f>
        <v>99922</v>
      </c>
      <c r="D131" s="85">
        <f>(af_plaf2+MAX(0,D$122-2)*af_plaf_suppl_enf)</f>
        <v>99922</v>
      </c>
      <c r="E131" s="85">
        <f>(af_plaf2+MAX(0,E$122-2)*af_plaf_suppl_enf)</f>
        <v>99922</v>
      </c>
      <c r="F131" s="85">
        <f>(af_plaf2+MAX(0,F$122-2)*af_plaf_suppl_enf)</f>
        <v>99922</v>
      </c>
      <c r="H131" s="85">
        <f>(af_plaf2+MAX(0,H$122-2)*af_plaf_suppl_enf)</f>
        <v>99922</v>
      </c>
      <c r="I131" s="85">
        <f>(af_plaf2+MAX(0,I$122-2)*af_plaf_suppl_enf)</f>
        <v>99922</v>
      </c>
      <c r="J131" s="85">
        <f>(af_plaf2+MAX(0,J$122-2)*af_plaf_suppl_enf)</f>
        <v>99922</v>
      </c>
      <c r="K131" s="85">
        <f>(af_plaf2+MAX(0,K$122-2)*af_plaf_suppl_enf)</f>
        <v>99922</v>
      </c>
      <c r="M131" s="85">
        <f>(af_plaf2+MAX(0,M$122-2)*af_plaf_suppl_enf)</f>
        <v>99922</v>
      </c>
      <c r="N131" s="85">
        <f>(af_plaf2+MAX(0,N$122-2)*af_plaf_suppl_enf)</f>
        <v>99922</v>
      </c>
      <c r="O131" s="85">
        <f>(af_plaf2+MAX(0,O$122-2)*af_plaf_suppl_enf)</f>
        <v>99922</v>
      </c>
      <c r="P131" s="85">
        <f>(af_plaf2+MAX(0,P$122-2)*af_plaf_suppl_enf)</f>
        <v>99922</v>
      </c>
      <c r="R131" s="85">
        <f>(af_plaf2+MAX(0,R$122-2)*af_plaf_suppl_enf)</f>
        <v>106168</v>
      </c>
      <c r="S131" s="85">
        <f>(af_plaf2+MAX(0,S$122-2)*af_plaf_suppl_enf)</f>
        <v>106168</v>
      </c>
      <c r="T131" s="85">
        <f>(af_plaf2+MAX(0,T$122-2)*af_plaf_suppl_enf)</f>
        <v>106168</v>
      </c>
      <c r="U131" s="85">
        <f>(af_plaf2+MAX(0,U$122-2)*af_plaf_suppl_enf)</f>
        <v>106168</v>
      </c>
    </row>
    <row r="132" spans="1:21" ht="13" thickBot="1" x14ac:dyDescent="0.3">
      <c r="A132" s="119" t="s">
        <v>140</v>
      </c>
      <c r="B132" s="122"/>
      <c r="C132" s="124">
        <f>(C$119&gt;C130)*(IF(C$119&gt;C131,(IF((C$119-C131&lt;(C127*0.25)),(C127*0.25+C131-C$119),0)),IF(C$119&gt;C130,IF(C$119-C130&lt;(C127*0.5),(C130+C127*0.5-C$119),0))))</f>
        <v>0</v>
      </c>
      <c r="D132" s="124">
        <f>(D$119&gt;D130)*(IF(D$119&gt;D131,(IF((D$119-D131&lt;(D127*0.25)),(D127*0.25+D131-D$119),0)),IF(D$119&gt;D130,IF(D$119-D130&lt;(D127*0.5),(D130+D127*0.5-D$119),0))))</f>
        <v>0</v>
      </c>
      <c r="E132" s="124">
        <f>(E$119&gt;E130)*(IF(E$119&gt;E131,(IF((E$119-E131&lt;(E127*0.25)),(E127*0.25+E131-E$119),0)),IF(E$119&gt;E130,IF(E$119-E130&lt;(E127*0.5),(E130+E127*0.5-E$119),0))))</f>
        <v>0</v>
      </c>
      <c r="F132" s="124">
        <f>(F$119&gt;F130)*(IF(F$119&gt;F131,(IF((F$119-F131&lt;(F127*0.25)),(F127*0.25+F131-F$119),0)),IF(F$119&gt;F130,IF(F$119-F130&lt;(F127*0.5),(F130+F127*0.5-F$119),0))))</f>
        <v>0</v>
      </c>
      <c r="H132" s="124">
        <f>(H$119&gt;H130)*(IF(H$119&gt;H131,(IF((H$119-H131&lt;(H127*0.25)),(H127*0.25+H131-H$119),0)),IF(H$119&gt;H130,IF(H$119-H130&lt;(H127*0.5),(H130+H127*0.5-H$119),0))))</f>
        <v>0</v>
      </c>
      <c r="I132" s="124">
        <f>(I$119&gt;I130)*(IF(I$119&gt;I131,(IF((I$119-I131&lt;(I127*0.25)),(I127*0.25+I131-I$119),0)),IF(I$119&gt;I130,IF(I$119-I130&lt;(I127*0.5),(I130+I127*0.5-I$119),0))))</f>
        <v>0</v>
      </c>
      <c r="J132" s="124">
        <f>(J$119&gt;J130)*(IF(J$119&gt;J131,(IF((J$119-J131&lt;(J127*0.25)),(J127*0.25+J131-J$119),0)),IF(J$119&gt;J130,IF(J$119-J130&lt;(J127*0.5),(J130+J127*0.5-J$119),0))))</f>
        <v>0</v>
      </c>
      <c r="K132" s="124">
        <f>(K$119&gt;K130)*(IF(K$119&gt;K131,(IF((K$119-K131&lt;(K127*0.25)),(K127*0.25+K131-K$119),0)),IF(K$119&gt;K130,IF(K$119-K130&lt;(K127*0.5),(K130+K127*0.5-K$119),0))))</f>
        <v>0</v>
      </c>
      <c r="M132" s="124">
        <f>(M$119&gt;M130)*(IF(M$119&gt;M131,(IF((M$119-M131&lt;(M127*0.25)),(M127*0.25+M131-M$119),0)),IF(M$119&gt;M130,IF(M$119-M130&lt;(M127*0.5),(M130+M127*0.5-M$119),0))))</f>
        <v>0</v>
      </c>
      <c r="N132" s="124">
        <f>(N$119&gt;N130)*(IF(N$119&gt;N131,(IF((N$119-N131&lt;(N127*0.25)),(N127*0.25+N131-N$119),0)),IF(N$119&gt;N130,IF(N$119-N130&lt;(N127*0.5),(N130+N127*0.5-N$119),0))))</f>
        <v>0</v>
      </c>
      <c r="O132" s="124">
        <f>(O$119&gt;O130)*(IF(O$119&gt;O131,(IF((O$119-O131&lt;(O127*0.25)),(O127*0.25+O131-O$119),0)),IF(O$119&gt;O130,IF(O$119-O130&lt;(O127*0.5),(O130+O127*0.5-O$119),0))))</f>
        <v>0</v>
      </c>
      <c r="P132" s="124">
        <f>(P$119&gt;P130)*(IF(P$119&gt;P131,(IF((P$119-P131&lt;(P127*0.25)),(P127*0.25+P131-P$119),0)),IF(P$119&gt;P130,IF(P$119-P130&lt;(P127*0.5),(P130+P127*0.5-P$119),0))))</f>
        <v>0</v>
      </c>
      <c r="R132" s="124">
        <f>(R$119&gt;R130)*(IF(R$119&gt;R131,(IF((R$119-R131&lt;(R127*0.25)),(R127*0.25+R131-R$119),0)),IF(R$119&gt;R130,IF(R$119-R130&lt;(R127*0.5),(R130+R127*0.5-R$119),0))))</f>
        <v>0</v>
      </c>
      <c r="S132" s="124">
        <f>(S$119&gt;S130)*(IF(S$119&gt;S131,(IF((S$119-S131&lt;(S127*0.25)),(S127*0.25+S131-S$119),0)),IF(S$119&gt;S130,IF(S$119-S130&lt;(S127*0.5),(S130+S127*0.5-S$119),0))))</f>
        <v>0</v>
      </c>
      <c r="T132" s="124">
        <f>(T$119&gt;T130)*(IF(T$119&gt;T131,(IF((T$119-T131&lt;(T127*0.25)),(T127*0.25+T131-T$119),0)),IF(T$119&gt;T130,IF(T$119-T130&lt;(T127*0.5),(T130+T127*0.5-T$119),0))))</f>
        <v>0</v>
      </c>
      <c r="U132" s="124">
        <f>(U$119&gt;U130)*(IF(U$119&gt;U131,(IF((U$119-U131&lt;(U127*0.25)),(U127*0.25+U131-U$119),0)),IF(U$119&gt;U130,IF(U$119-U130&lt;(U127*0.5),(U130+U127*0.5-U$119),0))))</f>
        <v>0</v>
      </c>
    </row>
    <row r="133" spans="1:21" x14ac:dyDescent="0.25">
      <c r="A133" s="4"/>
      <c r="B133" s="5"/>
      <c r="C133" s="201"/>
      <c r="D133" s="201"/>
      <c r="E133" s="201"/>
      <c r="F133" s="201"/>
      <c r="H133" s="201"/>
      <c r="I133" s="201"/>
      <c r="J133" s="201"/>
      <c r="K133" s="201"/>
      <c r="M133" s="201"/>
      <c r="N133" s="201"/>
      <c r="O133" s="201"/>
      <c r="P133" s="201"/>
      <c r="R133" s="201"/>
      <c r="S133" s="201"/>
      <c r="T133" s="201"/>
      <c r="U133" s="201"/>
    </row>
    <row r="134" spans="1:21" ht="13.5" thickBot="1" x14ac:dyDescent="0.35">
      <c r="A134" s="295" t="s">
        <v>85</v>
      </c>
      <c r="C134" s="201"/>
      <c r="D134" s="201"/>
      <c r="E134" s="201"/>
      <c r="F134" s="201"/>
      <c r="H134" s="201"/>
      <c r="I134" s="201"/>
      <c r="J134" s="201"/>
      <c r="K134" s="201"/>
      <c r="M134" s="201"/>
      <c r="N134" s="201"/>
      <c r="O134" s="201"/>
      <c r="P134" s="201"/>
      <c r="R134" s="201"/>
      <c r="S134" s="201"/>
      <c r="T134" s="201"/>
      <c r="U134" s="201"/>
    </row>
    <row r="135" spans="1:21" x14ac:dyDescent="0.25">
      <c r="A135" s="117" t="s">
        <v>120</v>
      </c>
      <c r="B135" s="121"/>
      <c r="C135" s="123">
        <f>IF(AND(C$122&gt;=3,C$100=0),1,0)*IF(OR(C$3="isolé",AND(Coef_n_2*C$38&gt;=cf_seuil_act,Coef_n_2*C$39&gt;=cf_seuil_act)),cf_plaf1_couple_biact_ou_iso_3_enf+(C$122-3)*cf_plaf1_sup_enf,cf_plaf1_couple_monoact_3_enf+(C$122-3)*cf_plaf1_sup_enf)</f>
        <v>0</v>
      </c>
      <c r="D135" s="123">
        <f>IF(AND(D$122&gt;=3,D$100=0),1,0)*IF(OR(D$3="isolé",AND(Coef_n_2*D$38&gt;=cf_seuil_act,Coef_n_2*D$39&gt;=cf_seuil_act)),cf_plaf1_couple_biact_ou_iso_3_enf+(D$122-3)*cf_plaf1_sup_enf,cf_plaf1_couple_monoact_3_enf+(D$122-3)*cf_plaf1_sup_enf)</f>
        <v>0</v>
      </c>
      <c r="E135" s="123">
        <f>IF(AND(E$122&gt;=3,E$100=0),1,0)*IF(OR(E$3="isolé",AND(Coef_n_2*E$38&gt;=cf_seuil_act,Coef_n_2*E$39&gt;=cf_seuil_act)),cf_plaf1_couple_biact_ou_iso_3_enf+(E$122-3)*cf_plaf1_sup_enf,cf_plaf1_couple_monoact_3_enf+(E$122-3)*cf_plaf1_sup_enf)</f>
        <v>0</v>
      </c>
      <c r="F135" s="123">
        <f>IF(AND(F$122&gt;=3,F$100=0),1,0)*IF(OR(F$3="isolé",AND(Coef_n_2*F$38&gt;=cf_seuil_act,Coef_n_2*F$39&gt;=cf_seuil_act)),cf_plaf1_couple_biact_ou_iso_3_enf+(F$122-3)*cf_plaf1_sup_enf,cf_plaf1_couple_monoact_3_enf+(F$122-3)*cf_plaf1_sup_enf)</f>
        <v>0</v>
      </c>
      <c r="H135" s="123">
        <f>IF(AND(H$122&gt;=3,H$100=0),1,0)*IF(OR(H$3="isolé",AND(Coef_n_2*H$38&gt;=cf_seuil_act,Coef_n_2*H$39&gt;=cf_seuil_act)),cf_plaf1_couple_biact_ou_iso_3_enf+(H$122-3)*cf_plaf1_sup_enf,cf_plaf1_couple_monoact_3_enf+(H$122-3)*cf_plaf1_sup_enf)</f>
        <v>0</v>
      </c>
      <c r="I135" s="123">
        <f>IF(AND(I$122&gt;=3,I$100=0),1,0)*IF(OR(I$3="isolé",AND(Coef_n_2*I$38&gt;=cf_seuil_act,Coef_n_2*I$39&gt;=cf_seuil_act)),cf_plaf1_couple_biact_ou_iso_3_enf+(I$122-3)*cf_plaf1_sup_enf,cf_plaf1_couple_monoact_3_enf+(I$122-3)*cf_plaf1_sup_enf)</f>
        <v>0</v>
      </c>
      <c r="J135" s="123">
        <f>IF(AND(J$122&gt;=3,J$100=0),1,0)*IF(OR(J$3="isolé",AND(Coef_n_2*J$38&gt;=cf_seuil_act,Coef_n_2*J$39&gt;=cf_seuil_act)),cf_plaf1_couple_biact_ou_iso_3_enf+(J$122-3)*cf_plaf1_sup_enf,cf_plaf1_couple_monoact_3_enf+(J$122-3)*cf_plaf1_sup_enf)</f>
        <v>0</v>
      </c>
      <c r="K135" s="123">
        <f>IF(AND(K$122&gt;=3,K$100=0),1,0)*IF(OR(K$3="isolé",AND(Coef_n_2*K$38&gt;=cf_seuil_act,Coef_n_2*K$39&gt;=cf_seuil_act)),cf_plaf1_couple_biact_ou_iso_3_enf+(K$122-3)*cf_plaf1_sup_enf,cf_plaf1_couple_monoact_3_enf+(K$122-3)*cf_plaf1_sup_enf)</f>
        <v>0</v>
      </c>
      <c r="M135" s="123">
        <f>IF(AND(M$122&gt;=3,M$100=0),1,0)*IF(OR(M$3="isolé",AND(Coef_n_2*M$38&gt;=cf_seuil_act,Coef_n_2*M$39&gt;=cf_seuil_act)),cf_plaf1_couple_biact_ou_iso_3_enf+(M$122-3)*cf_plaf1_sup_enf,cf_plaf1_couple_monoact_3_enf+(M$122-3)*cf_plaf1_sup_enf)</f>
        <v>0</v>
      </c>
      <c r="N135" s="123">
        <f>IF(AND(N$122&gt;=3,N$100=0),1,0)*IF(OR(N$3="isolé",AND(Coef_n_2*N$38&gt;=cf_seuil_act,Coef_n_2*N$39&gt;=cf_seuil_act)),cf_plaf1_couple_biact_ou_iso_3_enf+(N$122-3)*cf_plaf1_sup_enf,cf_plaf1_couple_monoact_3_enf+(N$122-3)*cf_plaf1_sup_enf)</f>
        <v>0</v>
      </c>
      <c r="O135" s="123">
        <f>IF(AND(O$122&gt;=3,O$100=0),1,0)*IF(OR(O$3="isolé",AND(Coef_n_2*O$38&gt;=cf_seuil_act,Coef_n_2*O$39&gt;=cf_seuil_act)),cf_plaf1_couple_biact_ou_iso_3_enf+(O$122-3)*cf_plaf1_sup_enf,cf_plaf1_couple_monoact_3_enf+(O$122-3)*cf_plaf1_sup_enf)</f>
        <v>0</v>
      </c>
      <c r="P135" s="123">
        <f>IF(AND(P$122&gt;=3,P$100=0),1,0)*IF(OR(P$3="isolé",AND(Coef_n_2*P$38&gt;=cf_seuil_act,Coef_n_2*P$39&gt;=cf_seuil_act)),cf_plaf1_couple_biact_ou_iso_3_enf+(P$122-3)*cf_plaf1_sup_enf,cf_plaf1_couple_monoact_3_enf+(P$122-3)*cf_plaf1_sup_enf)</f>
        <v>0</v>
      </c>
      <c r="R135" s="123">
        <f>IF(AND(R$122&gt;=3,R$100=0),1,0)*IF(OR(R$3="isolé",AND(Coef_n_2*R$38&gt;=cf_seuil_act,Coef_n_2*R$39&gt;=cf_seuil_act)),cf_plaf1_couple_biact_ou_iso_3_enf+(R$122-3)*cf_plaf1_sup_enf,cf_plaf1_couple_monoact_3_enf+(R$122-3)*cf_plaf1_sup_enf)</f>
        <v>25653</v>
      </c>
      <c r="S135" s="123">
        <f>IF(AND(S$122&gt;=3,S$100=0),1,0)*IF(OR(S$3="isolé",AND(Coef_n_2*S$38&gt;=cf_seuil_act,Coef_n_2*S$39&gt;=cf_seuil_act)),cf_plaf1_couple_biact_ou_iso_3_enf+(S$122-3)*cf_plaf1_sup_enf,cf_plaf1_couple_monoact_3_enf+(S$122-3)*cf_plaf1_sup_enf)</f>
        <v>25653</v>
      </c>
      <c r="T135" s="123">
        <f>IF(AND(T$122&gt;=3,T$100=0),1,0)*IF(OR(T$3="isolé",AND(Coef_n_2*T$38&gt;=cf_seuil_act,Coef_n_2*T$39&gt;=cf_seuil_act)),cf_plaf1_couple_biact_ou_iso_3_enf+(T$122-3)*cf_plaf1_sup_enf,cf_plaf1_couple_monoact_3_enf+(T$122-3)*cf_plaf1_sup_enf)</f>
        <v>25653</v>
      </c>
      <c r="U135" s="123">
        <f>IF(AND(U$122&gt;=3,U$100=0),1,0)*IF(OR(U$3="isolé",AND(Coef_n_2*U$38&gt;=cf_seuil_act,Coef_n_2*U$39&gt;=cf_seuil_act)),cf_plaf1_couple_biact_ou_iso_3_enf+(U$122-3)*cf_plaf1_sup_enf,cf_plaf1_couple_monoact_3_enf+(U$122-3)*cf_plaf1_sup_enf)</f>
        <v>25653</v>
      </c>
    </row>
    <row r="136" spans="1:21" x14ac:dyDescent="0.25">
      <c r="A136" s="116" t="s">
        <v>121</v>
      </c>
      <c r="B136" s="5"/>
      <c r="C136" s="85">
        <f>IF(AND(C$122&gt;=3,C$100=0),1,0)*IF(OR(C$3="isolé",AND(Coef_n_2*C$38&gt;=cf_seuil_act,Coef_n_2*C$39&gt;=cf_seuil_act)),cf_plaf2_couple_biact_ou_iso_3_enf+(C$122-3)*cf_plaf2_sup_enf,cf_plaf2_couple_monoact_3_enf+(C$122-3)*cf_plaf2_sup_enf)</f>
        <v>0</v>
      </c>
      <c r="D136" s="85">
        <f>IF(AND(D$122&gt;=3,D$100=0),1,0)*IF(OR(D$3="isolé",AND(Coef_n_2*D$38&gt;=cf_seuil_act,Coef_n_2*D$39&gt;=cf_seuil_act)),cf_plaf2_couple_biact_ou_iso_3_enf+(D$122-3)*cf_plaf2_sup_enf,cf_plaf2_couple_monoact_3_enf+(D$122-3)*cf_plaf2_sup_enf)</f>
        <v>0</v>
      </c>
      <c r="E136" s="85">
        <f>IF(AND(E$122&gt;=3,E$100=0),1,0)*IF(OR(E$3="isolé",AND(Coef_n_2*E$38&gt;=cf_seuil_act,Coef_n_2*E$39&gt;=cf_seuil_act)),cf_plaf2_couple_biact_ou_iso_3_enf+(E$122-3)*cf_plaf2_sup_enf,cf_plaf2_couple_monoact_3_enf+(E$122-3)*cf_plaf2_sup_enf)</f>
        <v>0</v>
      </c>
      <c r="F136" s="85">
        <f>IF(AND(F$122&gt;=3,F$100=0),1,0)*IF(OR(F$3="isolé",AND(Coef_n_2*F$38&gt;=cf_seuil_act,Coef_n_2*F$39&gt;=cf_seuil_act)),cf_plaf2_couple_biact_ou_iso_3_enf+(F$122-3)*cf_plaf2_sup_enf,cf_plaf2_couple_monoact_3_enf+(F$122-3)*cf_plaf2_sup_enf)</f>
        <v>0</v>
      </c>
      <c r="H136" s="85">
        <f>IF(AND(H$122&gt;=3,H$100=0),1,0)*IF(OR(H$3="isolé",AND(Coef_n_2*H$38&gt;=cf_seuil_act,Coef_n_2*H$39&gt;=cf_seuil_act)),cf_plaf2_couple_biact_ou_iso_3_enf+(H$122-3)*cf_plaf2_sup_enf,cf_plaf2_couple_monoact_3_enf+(H$122-3)*cf_plaf2_sup_enf)</f>
        <v>0</v>
      </c>
      <c r="I136" s="85">
        <f>IF(AND(I$122&gt;=3,I$100=0),1,0)*IF(OR(I$3="isolé",AND(Coef_n_2*I$38&gt;=cf_seuil_act,Coef_n_2*I$39&gt;=cf_seuil_act)),cf_plaf2_couple_biact_ou_iso_3_enf+(I$122-3)*cf_plaf2_sup_enf,cf_plaf2_couple_monoact_3_enf+(I$122-3)*cf_plaf2_sup_enf)</f>
        <v>0</v>
      </c>
      <c r="J136" s="85">
        <f>IF(AND(J$122&gt;=3,J$100=0),1,0)*IF(OR(J$3="isolé",AND(Coef_n_2*J$38&gt;=cf_seuil_act,Coef_n_2*J$39&gt;=cf_seuil_act)),cf_plaf2_couple_biact_ou_iso_3_enf+(J$122-3)*cf_plaf2_sup_enf,cf_plaf2_couple_monoact_3_enf+(J$122-3)*cf_plaf2_sup_enf)</f>
        <v>0</v>
      </c>
      <c r="K136" s="85">
        <f>IF(AND(K$122&gt;=3,K$100=0),1,0)*IF(OR(K$3="isolé",AND(Coef_n_2*K$38&gt;=cf_seuil_act,Coef_n_2*K$39&gt;=cf_seuil_act)),cf_plaf2_couple_biact_ou_iso_3_enf+(K$122-3)*cf_plaf2_sup_enf,cf_plaf2_couple_monoact_3_enf+(K$122-3)*cf_plaf2_sup_enf)</f>
        <v>0</v>
      </c>
      <c r="M136" s="85">
        <f>IF(AND(M$122&gt;=3,M$100=0),1,0)*IF(OR(M$3="isolé",AND(Coef_n_2*M$38&gt;=cf_seuil_act,Coef_n_2*M$39&gt;=cf_seuil_act)),cf_plaf2_couple_biact_ou_iso_3_enf+(M$122-3)*cf_plaf2_sup_enf,cf_plaf2_couple_monoact_3_enf+(M$122-3)*cf_plaf2_sup_enf)</f>
        <v>0</v>
      </c>
      <c r="N136" s="85">
        <f>IF(AND(N$122&gt;=3,N$100=0),1,0)*IF(OR(N$3="isolé",AND(Coef_n_2*N$38&gt;=cf_seuil_act,Coef_n_2*N$39&gt;=cf_seuil_act)),cf_plaf2_couple_biact_ou_iso_3_enf+(N$122-3)*cf_plaf2_sup_enf,cf_plaf2_couple_monoact_3_enf+(N$122-3)*cf_plaf2_sup_enf)</f>
        <v>0</v>
      </c>
      <c r="O136" s="85">
        <f>IF(AND(O$122&gt;=3,O$100=0),1,0)*IF(OR(O$3="isolé",AND(Coef_n_2*O$38&gt;=cf_seuil_act,Coef_n_2*O$39&gt;=cf_seuil_act)),cf_plaf2_couple_biact_ou_iso_3_enf+(O$122-3)*cf_plaf2_sup_enf,cf_plaf2_couple_monoact_3_enf+(O$122-3)*cf_plaf2_sup_enf)</f>
        <v>0</v>
      </c>
      <c r="P136" s="85">
        <f>IF(AND(P$122&gt;=3,P$100=0),1,0)*IF(OR(P$3="isolé",AND(Coef_n_2*P$38&gt;=cf_seuil_act,Coef_n_2*P$39&gt;=cf_seuil_act)),cf_plaf2_couple_biact_ou_iso_3_enf+(P$122-3)*cf_plaf2_sup_enf,cf_plaf2_couple_monoact_3_enf+(P$122-3)*cf_plaf2_sup_enf)</f>
        <v>0</v>
      </c>
      <c r="R136" s="85">
        <f>IF(AND(R$122&gt;=3,R$100=0),1,0)*IF(OR(R$3="isolé",AND(Coef_n_2*R$38&gt;=cf_seuil_act,Coef_n_2*R$39&gt;=cf_seuil_act)),cf_plaf2_couple_biact_ou_iso_3_enf+(R$122-3)*cf_plaf2_sup_enf,cf_plaf2_couple_monoact_3_enf+(R$122-3)*cf_plaf2_sup_enf)</f>
        <v>51296</v>
      </c>
      <c r="S136" s="85">
        <f>IF(AND(S$122&gt;=3,S$100=0),1,0)*IF(OR(S$3="isolé",AND(Coef_n_2*S$38&gt;=cf_seuil_act,Coef_n_2*S$39&gt;=cf_seuil_act)),cf_plaf2_couple_biact_ou_iso_3_enf+(S$122-3)*cf_plaf2_sup_enf,cf_plaf2_couple_monoact_3_enf+(S$122-3)*cf_plaf2_sup_enf)</f>
        <v>51296</v>
      </c>
      <c r="T136" s="85">
        <f>IF(AND(T$122&gt;=3,T$100=0),1,0)*IF(OR(T$3="isolé",AND(Coef_n_2*T$38&gt;=cf_seuil_act,Coef_n_2*T$39&gt;=cf_seuil_act)),cf_plaf2_couple_biact_ou_iso_3_enf+(T$122-3)*cf_plaf2_sup_enf,cf_plaf2_couple_monoact_3_enf+(T$122-3)*cf_plaf2_sup_enf)</f>
        <v>51296</v>
      </c>
      <c r="U136" s="85">
        <f>IF(AND(U$122&gt;=3,U$100=0),1,0)*IF(OR(U$3="isolé",AND(Coef_n_2*U$38&gt;=cf_seuil_act,Coef_n_2*U$39&gt;=cf_seuil_act)),cf_plaf2_couple_biact_ou_iso_3_enf+(U$122-3)*cf_plaf2_sup_enf,cf_plaf2_couple_monoact_3_enf+(U$122-3)*cf_plaf2_sup_enf)</f>
        <v>51296</v>
      </c>
    </row>
    <row r="137" spans="1:21" x14ac:dyDescent="0.25">
      <c r="A137" s="116" t="s">
        <v>132</v>
      </c>
      <c r="B137" s="5"/>
      <c r="C137" s="85">
        <f>(C$122&gt;=3)*(C$100=0)*(IF(C$119&lt;C$136,cf_base,IF(C$119&lt;C$136+12*cf_base,(C$136+12*cf_base-C$119)/12,0)))</f>
        <v>0</v>
      </c>
      <c r="D137" s="85">
        <f>(D$122&gt;=3)*(D$100=0)*(IF(D$119&lt;D$136,cf_base,IF(D$119&lt;D$136+12*cf_base,(D$136+12*cf_base-D$119)/12,0)))</f>
        <v>0</v>
      </c>
      <c r="E137" s="85">
        <f>(E$122&gt;=3)*(E$100=0)*(IF(E$119&lt;E$136,cf_base,IF(E$119&lt;E$136+12*cf_base,(E$136+12*cf_base-E$119)/12,0)))</f>
        <v>0</v>
      </c>
      <c r="F137" s="85">
        <f>(F$122&gt;=3)*(F$100=0)*(IF(F$119&lt;F$136,cf_base,IF(F$119&lt;F$136+12*cf_base,(F$136+12*cf_base-F$119)/12,0)))</f>
        <v>0</v>
      </c>
      <c r="H137" s="85">
        <f>(H$122&gt;=3)*(H$100=0)*(IF(H$119&lt;H$136,cf_base,IF(H$119&lt;H$136+12*cf_base,(H$136+12*cf_base-H$119)/12,0)))</f>
        <v>0</v>
      </c>
      <c r="I137" s="85">
        <f>(I$122&gt;=3)*(I$100=0)*(IF(I$119&lt;I$136,cf_base,IF(I$119&lt;I$136+12*cf_base,(I$136+12*cf_base-I$119)/12,0)))</f>
        <v>0</v>
      </c>
      <c r="J137" s="85">
        <f>(J$122&gt;=3)*(J$100=0)*(IF(J$119&lt;J$136,cf_base,IF(J$119&lt;J$136+12*cf_base,(J$136+12*cf_base-J$119)/12,0)))</f>
        <v>0</v>
      </c>
      <c r="K137" s="85">
        <f>(K$122&gt;=3)*(K$100=0)*(IF(K$119&lt;K$136,cf_base,IF(K$119&lt;K$136+12*cf_base,(K$136+12*cf_base-K$119)/12,0)))</f>
        <v>0</v>
      </c>
      <c r="M137" s="85">
        <f>(M$122&gt;=3)*(M$100=0)*(IF(M$119&lt;M$136,cf_base,IF(M$119&lt;M$136+12*cf_base,(M$136+12*cf_base-M$119)/12,0)))</f>
        <v>0</v>
      </c>
      <c r="N137" s="85">
        <f>(N$122&gt;=3)*(N$100=0)*(IF(N$119&lt;N$136,cf_base,IF(N$119&lt;N$136+12*cf_base,(N$136+12*cf_base-N$119)/12,0)))</f>
        <v>0</v>
      </c>
      <c r="O137" s="85">
        <f>(O$122&gt;=3)*(O$100=0)*(IF(O$119&lt;O$136,cf_base,IF(O$119&lt;O$136+12*cf_base,(O$136+12*cf_base-O$119)/12,0)))</f>
        <v>0</v>
      </c>
      <c r="P137" s="85">
        <f>(P$122&gt;=3)*(P$100=0)*(IF(P$119&lt;P$136,cf_base,IF(P$119&lt;P$136+12*cf_base,(P$136+12*cf_base-P$119)/12,0)))</f>
        <v>0</v>
      </c>
      <c r="R137" s="85">
        <f>(R$122&gt;=3)*(R$100=0)*(IF(R$119&lt;R$136,cf_base,IF(R$119&lt;R$136+12*cf_base,(R$136+12*cf_base-R$119)/12,0)))</f>
        <v>193.3008987</v>
      </c>
      <c r="S137" s="85">
        <f>(S$122&gt;=3)*(S$100=0)*(IF(S$119&lt;S$136,cf_base,IF(S$119&lt;S$136+12*cf_base,(S$136+12*cf_base-S$119)/12,0)))</f>
        <v>193.3008987</v>
      </c>
      <c r="T137" s="85">
        <f>(T$122&gt;=3)*(T$100=0)*(IF(T$119&lt;T$136,cf_base,IF(T$119&lt;T$136+12*cf_base,(T$136+12*cf_base-T$119)/12,0)))</f>
        <v>193.3008987</v>
      </c>
      <c r="U137" s="85">
        <f>(U$122&gt;=3)*(U$100=0)*(IF(U$119&lt;U$136,cf_base,IF(U$119&lt;U$136+12*cf_base,(U$136+12*cf_base-U$119)/12,0)))</f>
        <v>193.3008987</v>
      </c>
    </row>
    <row r="138" spans="1:21" ht="13" thickBot="1" x14ac:dyDescent="0.3">
      <c r="A138" s="119" t="s">
        <v>133</v>
      </c>
      <c r="B138" s="122"/>
      <c r="C138" s="124">
        <f>(C$123&gt;=3)*(C$100=0)*IF(C$119&lt;C135,cf_majoration,0)</f>
        <v>0</v>
      </c>
      <c r="D138" s="124">
        <f>(D$123&gt;=3)*(D$100=0)*IF(D$119&lt;D135,cf_majoration,0)</f>
        <v>0</v>
      </c>
      <c r="E138" s="124">
        <f>(E$123&gt;=3)*(E$100=0)*IF(E$119&lt;E135,cf_majoration,0)</f>
        <v>0</v>
      </c>
      <c r="F138" s="124">
        <f>(F$123&gt;=3)*(F$100=0)*IF(F$119&lt;F135,cf_majoration,0)</f>
        <v>0</v>
      </c>
      <c r="H138" s="124">
        <f>(H$123&gt;=3)*(H$100=0)*IF(H$119&lt;H135,cf_majoration,0)</f>
        <v>0</v>
      </c>
      <c r="I138" s="124">
        <f>(I$123&gt;=3)*(I$100=0)*IF(I$119&lt;I135,cf_majoration,0)</f>
        <v>0</v>
      </c>
      <c r="J138" s="124">
        <f>(J$123&gt;=3)*(J$100=0)*IF(J$119&lt;J135,cf_majoration,0)</f>
        <v>0</v>
      </c>
      <c r="K138" s="124">
        <f>(K$123&gt;=3)*(K$100=0)*IF(K$119&lt;K135,cf_majoration,0)</f>
        <v>0</v>
      </c>
      <c r="M138" s="124">
        <f>(M$123&gt;=3)*(M$100=0)*IF(M$119&lt;M135,cf_majoration,0)</f>
        <v>0</v>
      </c>
      <c r="N138" s="124">
        <f>(N$123&gt;=3)*(N$100=0)*IF(N$119&lt;N135,cf_majoration,0)</f>
        <v>0</v>
      </c>
      <c r="O138" s="124">
        <f>(O$123&gt;=3)*(O$100=0)*IF(O$119&lt;O135,cf_majoration,0)</f>
        <v>0</v>
      </c>
      <c r="P138" s="124">
        <f>(P$123&gt;=3)*(P$100=0)*IF(P$119&lt;P135,cf_majoration,0)</f>
        <v>0</v>
      </c>
      <c r="R138" s="124">
        <f>(R$123&gt;=3)*(R$100=0)*IF(R$119&lt;R135,cf_majoration,0)</f>
        <v>96.673654740000018</v>
      </c>
      <c r="S138" s="124">
        <f>(S$123&gt;=3)*(S$100=0)*IF(S$119&lt;S135,cf_majoration,0)</f>
        <v>96.673654740000018</v>
      </c>
      <c r="T138" s="124">
        <f>(T$123&gt;=3)*(T$100=0)*IF(T$119&lt;T135,cf_majoration,0)</f>
        <v>96.673654740000018</v>
      </c>
      <c r="U138" s="124">
        <f>(U$123&gt;=3)*(U$100=0)*IF(U$119&lt;U135,cf_majoration,0)</f>
        <v>96.673654740000018</v>
      </c>
    </row>
    <row r="139" spans="1:21" x14ac:dyDescent="0.25">
      <c r="B139" s="255"/>
      <c r="C139" s="201"/>
      <c r="D139" s="201"/>
      <c r="E139" s="201"/>
      <c r="F139" s="201"/>
      <c r="H139" s="201"/>
      <c r="I139" s="201"/>
      <c r="J139" s="201"/>
      <c r="K139" s="201"/>
      <c r="M139" s="201"/>
      <c r="N139" s="201"/>
      <c r="O139" s="201"/>
      <c r="P139" s="201"/>
      <c r="R139" s="201"/>
      <c r="S139" s="201"/>
      <c r="T139" s="201"/>
      <c r="U139" s="201"/>
    </row>
    <row r="140" spans="1:21" ht="13.5" thickBot="1" x14ac:dyDescent="0.35">
      <c r="A140" s="295" t="s">
        <v>86</v>
      </c>
      <c r="B140" s="255"/>
      <c r="C140" s="201"/>
      <c r="D140" s="201"/>
      <c r="E140" s="201"/>
      <c r="F140" s="201"/>
      <c r="H140" s="201"/>
      <c r="I140" s="201"/>
      <c r="J140" s="201"/>
      <c r="K140" s="201"/>
      <c r="M140" s="201"/>
      <c r="N140" s="201"/>
      <c r="O140" s="201"/>
      <c r="P140" s="201"/>
      <c r="R140" s="201"/>
      <c r="S140" s="201"/>
      <c r="T140" s="201"/>
      <c r="U140" s="201"/>
    </row>
    <row r="141" spans="1:21" x14ac:dyDescent="0.25">
      <c r="A141" s="117" t="s">
        <v>67</v>
      </c>
      <c r="B141" s="121"/>
      <c r="C141" s="123">
        <f>IF(C$122&gt;0,ars_plaf_1_enf+ars_plaf_sup_enf*(C$122-1),0)</f>
        <v>0</v>
      </c>
      <c r="D141" s="123">
        <f>IF(D$122&gt;0,ars_plaf_1_enf+ars_plaf_sup_enf*(D$122-1),0)</f>
        <v>0</v>
      </c>
      <c r="E141" s="123">
        <f>IF(E$122&gt;0,ars_plaf_1_enf+ars_plaf_sup_enf*(E$122-1),0)</f>
        <v>0</v>
      </c>
      <c r="F141" s="123">
        <f>IF(F$122&gt;0,ars_plaf_1_enf+ars_plaf_sup_enf*(F$122-1),0)</f>
        <v>0</v>
      </c>
      <c r="H141" s="123">
        <f>IF(H$122&gt;0,ars_plaf_1_enf+ars_plaf_sup_enf*(H$122-1),0)</f>
        <v>25775</v>
      </c>
      <c r="I141" s="123">
        <f>IF(I$122&gt;0,ars_plaf_1_enf+ars_plaf_sup_enf*(I$122-1),0)</f>
        <v>25775</v>
      </c>
      <c r="J141" s="123">
        <f>IF(J$122&gt;0,ars_plaf_1_enf+ars_plaf_sup_enf*(J$122-1),0)</f>
        <v>25775</v>
      </c>
      <c r="K141" s="123">
        <f>IF(K$122&gt;0,ars_plaf_1_enf+ars_plaf_sup_enf*(K$122-1),0)</f>
        <v>25775</v>
      </c>
      <c r="M141" s="123">
        <f>IF(M$122&gt;0,ars_plaf_1_enf+ars_plaf_sup_enf*(M$122-1),0)</f>
        <v>31723</v>
      </c>
      <c r="N141" s="123">
        <f>IF(N$122&gt;0,ars_plaf_1_enf+ars_plaf_sup_enf*(N$122-1),0)</f>
        <v>31723</v>
      </c>
      <c r="O141" s="123">
        <f>IF(O$122&gt;0,ars_plaf_1_enf+ars_plaf_sup_enf*(O$122-1),0)</f>
        <v>31723</v>
      </c>
      <c r="P141" s="123">
        <f>IF(P$122&gt;0,ars_plaf_1_enf+ars_plaf_sup_enf*(P$122-1),0)</f>
        <v>31723</v>
      </c>
      <c r="R141" s="123">
        <f>IF(R$122&gt;0,ars_plaf_1_enf+ars_plaf_sup_enf*(R$122-1),0)</f>
        <v>37671</v>
      </c>
      <c r="S141" s="123">
        <f>IF(S$122&gt;0,ars_plaf_1_enf+ars_plaf_sup_enf*(S$122-1),0)</f>
        <v>37671</v>
      </c>
      <c r="T141" s="123">
        <f>IF(T$122&gt;0,ars_plaf_1_enf+ars_plaf_sup_enf*(T$122-1),0)</f>
        <v>37671</v>
      </c>
      <c r="U141" s="123">
        <f>IF(U$122&gt;0,ars_plaf_1_enf+ars_plaf_sup_enf*(U$122-1),0)</f>
        <v>37671</v>
      </c>
    </row>
    <row r="142" spans="1:21" x14ac:dyDescent="0.25">
      <c r="A142" s="116" t="s">
        <v>82</v>
      </c>
      <c r="B142" s="255"/>
      <c r="C142" s="262">
        <f t="shared" ref="C142:U142" si="56">((6&lt;=C$4)*(C$4&lt;=10)*ars_6_10+(11&lt;=C$4)*(C$4&lt;=14)*ars_11_14+(15&lt;=C$4)*(C$4&lt;=18)*ars_15_18)+((6&lt;=C$5)*(C$5&lt;=10)*ars_6_10+(11&lt;=C$5)*(C$5&lt;=14)*ars_11_14+(15&lt;=C$5)*(C$5&lt;=18)*ars_15_18)+((6&lt;=C$6)*(C$6&lt;=10)*ars_6_10+(11&lt;=C$6)*(C$6&lt;=14)*ars_11_14+(15&lt;=C$6)*(C$6&lt;=18)*ars_15_18)+((6&lt;=C$7)*(C$7&lt;=10)*ars_6_10+(11&lt;=C$7)*(C$7&lt;=14)*ars_11_14+(15&lt;=C$7)*(C$7&lt;=18)*ars_15_18)+((6&lt;=C$8)*(C$8&lt;=10)*ars_6_10+(11&lt;=C$8)*(C$8&lt;=14)*ars_11_14+(15&lt;=C$8)*(C$8&lt;=18)*ars_15_18)+((6&lt;=C$9)*(C$9&lt;=10)*ars_6_10+(11&lt;=C$9)*(C$9&lt;=14)*ars_11_14+(15&lt;=C$9)*(C$9&lt;=18)*ars_15_18)</f>
        <v>0</v>
      </c>
      <c r="D142" s="262">
        <f t="shared" si="56"/>
        <v>0</v>
      </c>
      <c r="E142" s="262">
        <f t="shared" si="56"/>
        <v>0</v>
      </c>
      <c r="F142" s="262">
        <f t="shared" si="56"/>
        <v>0</v>
      </c>
      <c r="H142" s="262">
        <f t="shared" si="56"/>
        <v>0</v>
      </c>
      <c r="I142" s="262">
        <f t="shared" si="56"/>
        <v>0</v>
      </c>
      <c r="J142" s="262">
        <f t="shared" si="56"/>
        <v>0</v>
      </c>
      <c r="K142" s="262">
        <f t="shared" si="56"/>
        <v>0</v>
      </c>
      <c r="M142" s="262">
        <f t="shared" si="56"/>
        <v>416.39751816</v>
      </c>
      <c r="N142" s="262">
        <f t="shared" si="56"/>
        <v>416.39751816</v>
      </c>
      <c r="O142" s="262">
        <f t="shared" si="56"/>
        <v>416.39751816</v>
      </c>
      <c r="P142" s="262">
        <f t="shared" si="56"/>
        <v>416.39751816</v>
      </c>
      <c r="R142" s="262">
        <f t="shared" si="56"/>
        <v>832.79503632000001</v>
      </c>
      <c r="S142" s="262">
        <f t="shared" si="56"/>
        <v>832.79503632000001</v>
      </c>
      <c r="T142" s="262">
        <f t="shared" si="56"/>
        <v>832.79503632000001</v>
      </c>
      <c r="U142" s="262">
        <f t="shared" si="56"/>
        <v>832.79503632000001</v>
      </c>
    </row>
    <row r="143" spans="1:21" ht="13" thickBot="1" x14ac:dyDescent="0.3">
      <c r="A143" s="127" t="s">
        <v>81</v>
      </c>
      <c r="B143" s="292"/>
      <c r="C143" s="293">
        <f>IF(C$119&lt;C$141,C142,IF(C$119&lt;C$141+C$142,C$141+C$142-C$119,0))</f>
        <v>0</v>
      </c>
      <c r="D143" s="293">
        <f>IF(D$119&lt;D$141,D142,IF(D$119&lt;D$141+D$142,D$141+D$142-D$119,0))</f>
        <v>0</v>
      </c>
      <c r="E143" s="293">
        <f>IF(E$119&lt;E$141,E142,IF(E$119&lt;E$141+E$142,E$141+E$142-E$119,0))</f>
        <v>0</v>
      </c>
      <c r="F143" s="293">
        <f>IF(F$119&lt;F$141,F142,IF(F$119&lt;F$141+F$142,F$141+F$142-F$119,0))</f>
        <v>0</v>
      </c>
      <c r="H143" s="293">
        <f>IF(H$119&lt;H$141,H142,IF(H$119&lt;H$141+H$142,H$141+H$142-H$119,0))</f>
        <v>0</v>
      </c>
      <c r="I143" s="293">
        <f>IF(I$119&lt;I$141,I142,IF(I$119&lt;I$141+I$142,I$141+I$142-I$119,0))</f>
        <v>0</v>
      </c>
      <c r="J143" s="293">
        <f>IF(J$119&lt;J$141,J142,IF(J$119&lt;J$141+J$142,J$141+J$142-J$119,0))</f>
        <v>0</v>
      </c>
      <c r="K143" s="293">
        <f>IF(K$119&lt;K$141,K142,IF(K$119&lt;K$141+K$142,K$141+K$142-K$119,0))</f>
        <v>0</v>
      </c>
      <c r="M143" s="293">
        <f>IF(M$119&lt;M$141,M142,IF(M$119&lt;M$141+M$142,M$141+M$142-M$119,0))</f>
        <v>416.39751816</v>
      </c>
      <c r="N143" s="293">
        <f>IF(N$119&lt;N$141,N142,IF(N$119&lt;N$141+N$142,N$141+N$142-N$119,0))</f>
        <v>416.39751816</v>
      </c>
      <c r="O143" s="293">
        <f>IF(O$119&lt;O$141,O142,IF(O$119&lt;O$141+O$142,O$141+O$142-O$119,0))</f>
        <v>416.39751816</v>
      </c>
      <c r="P143" s="293">
        <f>IF(P$119&lt;P$141,P142,IF(P$119&lt;P$141+P$142,P$141+P$142-P$119,0))</f>
        <v>416.39751816</v>
      </c>
      <c r="R143" s="293">
        <f>IF(R$119&lt;R$141,R142,IF(R$119&lt;R$141+R$142,R$141+R$142-R$119,0))</f>
        <v>832.79503632000001</v>
      </c>
      <c r="S143" s="293">
        <f>IF(S$119&lt;S$141,S142,IF(S$119&lt;S$141+S$142,S$141+S$142-S$119,0))</f>
        <v>832.79503632000001</v>
      </c>
      <c r="T143" s="293">
        <f>IF(T$119&lt;T$141,T142,IF(T$119&lt;T$141+T$142,T$141+T$142-T$119,0))</f>
        <v>832.79503632000001</v>
      </c>
      <c r="U143" s="293">
        <f>IF(U$119&lt;U$141,U142,IF(U$119&lt;U$141+U$142,U$141+U$142-U$119,0))</f>
        <v>832.79503632000001</v>
      </c>
    </row>
    <row r="145" spans="1:21" ht="12.65" customHeight="1" thickBot="1" x14ac:dyDescent="0.35">
      <c r="A145" s="295" t="s">
        <v>87</v>
      </c>
      <c r="B145" s="255"/>
      <c r="C145" s="201"/>
      <c r="D145" s="201"/>
      <c r="E145" s="201"/>
      <c r="F145" s="201"/>
      <c r="H145" s="201"/>
      <c r="I145" s="201"/>
      <c r="J145" s="201"/>
      <c r="K145" s="201"/>
      <c r="M145" s="201"/>
      <c r="N145" s="201"/>
      <c r="O145" s="201"/>
      <c r="P145" s="201"/>
      <c r="R145" s="201"/>
      <c r="S145" s="201"/>
      <c r="T145" s="201"/>
      <c r="U145" s="201"/>
    </row>
    <row r="146" spans="1:21" ht="12.65" customHeight="1" x14ac:dyDescent="0.25">
      <c r="A146" s="117" t="s">
        <v>123</v>
      </c>
      <c r="B146" s="121"/>
      <c r="C146" s="123">
        <f>IF(C$100&gt;0,1,0)*IF(OR(C$3="isolé",AND(Coef_n_2*C$38&gt;=cf_seuil_act,Coef_n_2*C$39&gt;=cf_seuil_act)),(C$122=1)*ab_plaf1_couple_biact_ou_iso_1_enf+(C$122&gt;1)*(ab_plaf1_couple_biact_ou_iso_2_enf+(C$122-2)*ab_plaf1_sup_enf),(C$122=1)*ab_plaf1_couple_monoact_1_enf+(C$122&gt;1)*(ab_plaf1_couple_monact_2_enf+(C$122-2)*ab_plaf1_sup_enf))</f>
        <v>0</v>
      </c>
      <c r="D146" s="123">
        <f>IF(D$100&gt;0,1,0)*IF(OR(D$3="isolé",AND(Coef_n_2*D$38&gt;=cf_seuil_act,Coef_n_2*D$39&gt;=cf_seuil_act)),(D$122=1)*ab_plaf1_couple_biact_ou_iso_1_enf+(D$122&gt;1)*(ab_plaf1_couple_biact_ou_iso_2_enf+(D$122-2)*ab_plaf1_sup_enf),(D$122=1)*ab_plaf1_couple_monoact_1_enf+(D$122&gt;1)*(ab_plaf1_couple_monact_2_enf+(D$122-2)*ab_plaf1_sup_enf))</f>
        <v>0</v>
      </c>
      <c r="E146" s="123">
        <f>IF(E$100&gt;0,1,0)*IF(OR(E$3="isolé",AND(Coef_n_2*E$38&gt;=cf_seuil_act,Coef_n_2*E$39&gt;=cf_seuil_act)),(E$122=1)*ab_plaf1_couple_biact_ou_iso_1_enf+(E$122&gt;1)*(ab_plaf1_couple_biact_ou_iso_2_enf+(E$122-2)*ab_plaf1_sup_enf),(E$122=1)*ab_plaf1_couple_monoact_1_enf+(E$122&gt;1)*(ab_plaf1_couple_monact_2_enf+(E$122-2)*ab_plaf1_sup_enf))</f>
        <v>0</v>
      </c>
      <c r="F146" s="123">
        <f>IF(F$100&gt;0,1,0)*IF(OR(F$3="isolé",AND(Coef_n_2*F$38&gt;=cf_seuil_act,Coef_n_2*F$39&gt;=cf_seuil_act)),(F$122=1)*ab_plaf1_couple_biact_ou_iso_1_enf+(F$122&gt;1)*(ab_plaf1_couple_biact_ou_iso_2_enf+(F$122-2)*ab_plaf1_sup_enf),(F$122=1)*ab_plaf1_couple_monoact_1_enf+(F$122&gt;1)*(ab_plaf1_couple_monact_2_enf+(F$122-2)*ab_plaf1_sup_enf))</f>
        <v>0</v>
      </c>
      <c r="H146" s="123">
        <f>IF(H$100&gt;0,1,0)*IF(OR(H$3="isolé",AND(Coef_n_2*H$38&gt;=cf_seuil_act,Coef_n_2*H$39&gt;=cf_seuil_act)),(H$122=1)*ab_plaf1_couple_biact_ou_iso_1_enf+(H$122&gt;1)*(ab_plaf1_couple_biact_ou_iso_2_enf+(H$122-2)*ab_plaf1_sup_enf),(H$122=1)*ab_plaf1_couple_monoact_1_enf+(H$122&gt;1)*(ab_plaf1_couple_monact_2_enf+(H$122-2)*ab_plaf1_sup_enf))</f>
        <v>0</v>
      </c>
      <c r="I146" s="123">
        <f>IF(I$100&gt;0,1,0)*IF(OR(I$3="isolé",AND(Coef_n_2*I$38&gt;=cf_seuil_act,Coef_n_2*I$39&gt;=cf_seuil_act)),(I$122=1)*ab_plaf1_couple_biact_ou_iso_1_enf+(I$122&gt;1)*(ab_plaf1_couple_biact_ou_iso_2_enf+(I$122-2)*ab_plaf1_sup_enf),(I$122=1)*ab_plaf1_couple_monoact_1_enf+(I$122&gt;1)*(ab_plaf1_couple_monact_2_enf+(I$122-2)*ab_plaf1_sup_enf))</f>
        <v>0</v>
      </c>
      <c r="J146" s="123">
        <f>IF(J$100&gt;0,1,0)*IF(OR(J$3="isolé",AND(Coef_n_2*J$38&gt;=cf_seuil_act,Coef_n_2*J$39&gt;=cf_seuil_act)),(J$122=1)*ab_plaf1_couple_biact_ou_iso_1_enf+(J$122&gt;1)*(ab_plaf1_couple_biact_ou_iso_2_enf+(J$122-2)*ab_plaf1_sup_enf),(J$122=1)*ab_plaf1_couple_monoact_1_enf+(J$122&gt;1)*(ab_plaf1_couple_monact_2_enf+(J$122-2)*ab_plaf1_sup_enf))</f>
        <v>0</v>
      </c>
      <c r="K146" s="123">
        <f>IF(K$100&gt;0,1,0)*IF(OR(K$3="isolé",AND(Coef_n_2*K$38&gt;=cf_seuil_act,Coef_n_2*K$39&gt;=cf_seuil_act)),(K$122=1)*ab_plaf1_couple_biact_ou_iso_1_enf+(K$122&gt;1)*(ab_plaf1_couple_biact_ou_iso_2_enf+(K$122-2)*ab_plaf1_sup_enf),(K$122=1)*ab_plaf1_couple_monoact_1_enf+(K$122&gt;1)*(ab_plaf1_couple_monact_2_enf+(K$122-2)*ab_plaf1_sup_enf))</f>
        <v>0</v>
      </c>
      <c r="M146" s="123">
        <f>IF(M$100&gt;0,1,0)*IF(OR(M$3="isolé",AND(Coef_n_2*M$38&gt;=cf_seuil_act,Coef_n_2*M$39&gt;=cf_seuil_act)),(M$122=1)*ab_plaf1_couple_biact_ou_iso_1_enf+(M$122&gt;1)*(ab_plaf1_couple_biact_ou_iso_2_enf+(M$122-2)*ab_plaf1_sup_enf),(M$122=1)*ab_plaf1_couple_monoact_1_enf+(M$122&gt;1)*(ab_plaf1_couple_monact_2_enf+(M$122-2)*ab_plaf1_sup_enf))</f>
        <v>0</v>
      </c>
      <c r="N146" s="123">
        <f>IF(N$100&gt;0,1,0)*IF(OR(N$3="isolé",AND(Coef_n_2*N$38&gt;=cf_seuil_act,Coef_n_2*N$39&gt;=cf_seuil_act)),(N$122=1)*ab_plaf1_couple_biact_ou_iso_1_enf+(N$122&gt;1)*(ab_plaf1_couple_biact_ou_iso_2_enf+(N$122-2)*ab_plaf1_sup_enf),(N$122=1)*ab_plaf1_couple_monoact_1_enf+(N$122&gt;1)*(ab_plaf1_couple_monact_2_enf+(N$122-2)*ab_plaf1_sup_enf))</f>
        <v>0</v>
      </c>
      <c r="O146" s="123">
        <f>IF(O$100&gt;0,1,0)*IF(OR(O$3="isolé",AND(Coef_n_2*O$38&gt;=cf_seuil_act,Coef_n_2*O$39&gt;=cf_seuil_act)),(O$122=1)*ab_plaf1_couple_biact_ou_iso_1_enf+(O$122&gt;1)*(ab_plaf1_couple_biact_ou_iso_2_enf+(O$122-2)*ab_plaf1_sup_enf),(O$122=1)*ab_plaf1_couple_monoact_1_enf+(O$122&gt;1)*(ab_plaf1_couple_monact_2_enf+(O$122-2)*ab_plaf1_sup_enf))</f>
        <v>0</v>
      </c>
      <c r="P146" s="123">
        <f>IF(P$100&gt;0,1,0)*IF(OR(P$3="isolé",AND(Coef_n_2*P$38&gt;=cf_seuil_act,Coef_n_2*P$39&gt;=cf_seuil_act)),(P$122=1)*ab_plaf1_couple_biact_ou_iso_1_enf+(P$122&gt;1)*(ab_plaf1_couple_biact_ou_iso_2_enf+(P$122-2)*ab_plaf1_sup_enf),(P$122=1)*ab_plaf1_couple_monoact_1_enf+(P$122&gt;1)*(ab_plaf1_couple_monact_2_enf+(P$122-2)*ab_plaf1_sup_enf))</f>
        <v>0</v>
      </c>
      <c r="R146" s="123">
        <f>IF(R$100&gt;0,1,0)*IF(OR(R$3="isolé",AND(Coef_n_2*R$38&gt;=cf_seuil_act,Coef_n_2*R$39&gt;=cf_seuil_act)),(R$122=1)*ab_plaf1_couple_biact_ou_iso_1_enf+(R$122&gt;1)*(ab_plaf1_couple_biact_ou_iso_2_enf+(R$122-2)*ab_plaf1_sup_enf),(R$122=1)*ab_plaf1_couple_monoact_1_enf+(R$122&gt;1)*(ab_plaf1_couple_monact_2_enf+(R$122-2)*ab_plaf1_sup_enf))</f>
        <v>0</v>
      </c>
      <c r="S146" s="123">
        <f>IF(S$100&gt;0,1,0)*IF(OR(S$3="isolé",AND(Coef_n_2*S$38&gt;=cf_seuil_act,Coef_n_2*S$39&gt;=cf_seuil_act)),(S$122=1)*ab_plaf1_couple_biact_ou_iso_1_enf+(S$122&gt;1)*(ab_plaf1_couple_biact_ou_iso_2_enf+(S$122-2)*ab_plaf1_sup_enf),(S$122=1)*ab_plaf1_couple_monoact_1_enf+(S$122&gt;1)*(ab_plaf1_couple_monact_2_enf+(S$122-2)*ab_plaf1_sup_enf))</f>
        <v>0</v>
      </c>
      <c r="T146" s="123">
        <f>IF(T$100&gt;0,1,0)*IF(OR(T$3="isolé",AND(Coef_n_2*T$38&gt;=cf_seuil_act,Coef_n_2*T$39&gt;=cf_seuil_act)),(T$122=1)*ab_plaf1_couple_biact_ou_iso_1_enf+(T$122&gt;1)*(ab_plaf1_couple_biact_ou_iso_2_enf+(T$122-2)*ab_plaf1_sup_enf),(T$122=1)*ab_plaf1_couple_monoact_1_enf+(T$122&gt;1)*(ab_plaf1_couple_monact_2_enf+(T$122-2)*ab_plaf1_sup_enf))</f>
        <v>0</v>
      </c>
      <c r="U146" s="123">
        <f>IF(U$100&gt;0,1,0)*IF(OR(U$3="isolé",AND(Coef_n_2*U$38&gt;=cf_seuil_act,Coef_n_2*U$39&gt;=cf_seuil_act)),(U$122=1)*ab_plaf1_couple_biact_ou_iso_1_enf+(U$122&gt;1)*(ab_plaf1_couple_biact_ou_iso_2_enf+(U$122-2)*ab_plaf1_sup_enf),(U$122=1)*ab_plaf1_couple_monoact_1_enf+(U$122&gt;1)*(ab_plaf1_couple_monact_2_enf+(U$122-2)*ab_plaf1_sup_enf))</f>
        <v>0</v>
      </c>
    </row>
    <row r="147" spans="1:21" ht="12.65" customHeight="1" thickBot="1" x14ac:dyDescent="0.3">
      <c r="A147" s="119" t="s">
        <v>122</v>
      </c>
      <c r="B147" s="122"/>
      <c r="C147" s="124">
        <f>IF(C$100&gt;0,1,0)*IF(OR(C$3="isolé",AND(Coef_n_2*C$38&gt;=cf_seuil_act,Coef_n_2*C$39&gt;=cf_seuil_act)),(C$122=1)*ab_plaf2_couple_biact_ou_iso_1_enf+(C$122&gt;1)*(ab_plaf2_couple_biact_ou_iso_2_enf+(C$122-2)*ab_plaf2_sup_enf),(C$122=1)*ab_plaf2_couple_monoact_1_enf+(C$122&gt;1)*(ab_plaf2_couple_monact_2_enf+(C$122-2)*ab_plaf2_sup_enf))</f>
        <v>0</v>
      </c>
      <c r="D147" s="124">
        <f>IF(D$100&gt;0,1,0)*IF(OR(D$3="isolé",AND(Coef_n_2*D$38&gt;=cf_seuil_act,Coef_n_2*D$39&gt;=cf_seuil_act)),(D$122=1)*ab_plaf2_couple_biact_ou_iso_1_enf+(D$122&gt;1)*(ab_plaf2_couple_biact_ou_iso_2_enf+(D$122-2)*ab_plaf2_sup_enf),(D$122=1)*ab_plaf2_couple_monoact_1_enf+(D$122&gt;1)*(ab_plaf2_couple_monact_2_enf+(D$122-2)*ab_plaf2_sup_enf))</f>
        <v>0</v>
      </c>
      <c r="E147" s="124">
        <f>IF(E$100&gt;0,1,0)*IF(OR(E$3="isolé",AND(Coef_n_2*E$38&gt;=cf_seuil_act,Coef_n_2*E$39&gt;=cf_seuil_act)),(E$122=1)*ab_plaf2_couple_biact_ou_iso_1_enf+(E$122&gt;1)*(ab_plaf2_couple_biact_ou_iso_2_enf+(E$122-2)*ab_plaf2_sup_enf),(E$122=1)*ab_plaf2_couple_monoact_1_enf+(E$122&gt;1)*(ab_plaf2_couple_monact_2_enf+(E$122-2)*ab_plaf2_sup_enf))</f>
        <v>0</v>
      </c>
      <c r="F147" s="124">
        <f>IF(F$100&gt;0,1,0)*IF(OR(F$3="isolé",AND(Coef_n_2*F$38&gt;=cf_seuil_act,Coef_n_2*F$39&gt;=cf_seuil_act)),(F$122=1)*ab_plaf2_couple_biact_ou_iso_1_enf+(F$122&gt;1)*(ab_plaf2_couple_biact_ou_iso_2_enf+(F$122-2)*ab_plaf2_sup_enf),(F$122=1)*ab_plaf2_couple_monoact_1_enf+(F$122&gt;1)*(ab_plaf2_couple_monact_2_enf+(F$122-2)*ab_plaf2_sup_enf))</f>
        <v>0</v>
      </c>
      <c r="H147" s="124">
        <f>IF(H$100&gt;0,1,0)*IF(OR(H$3="isolé",AND(Coef_n_2*H$38&gt;=cf_seuil_act,Coef_n_2*H$39&gt;=cf_seuil_act)),(H$122=1)*ab_plaf2_couple_biact_ou_iso_1_enf+(H$122&gt;1)*(ab_plaf2_couple_biact_ou_iso_2_enf+(H$122-2)*ab_plaf2_sup_enf),(H$122=1)*ab_plaf2_couple_monoact_1_enf+(H$122&gt;1)*(ab_plaf2_couple_monact_2_enf+(H$122-2)*ab_plaf2_sup_enf))</f>
        <v>0</v>
      </c>
      <c r="I147" s="124">
        <f>IF(I$100&gt;0,1,0)*IF(OR(I$3="isolé",AND(Coef_n_2*I$38&gt;=cf_seuil_act,Coef_n_2*I$39&gt;=cf_seuil_act)),(I$122=1)*ab_plaf2_couple_biact_ou_iso_1_enf+(I$122&gt;1)*(ab_plaf2_couple_biact_ou_iso_2_enf+(I$122-2)*ab_plaf2_sup_enf),(I$122=1)*ab_plaf2_couple_monoact_1_enf+(I$122&gt;1)*(ab_plaf2_couple_monact_2_enf+(I$122-2)*ab_plaf2_sup_enf))</f>
        <v>0</v>
      </c>
      <c r="J147" s="124">
        <f>IF(J$100&gt;0,1,0)*IF(OR(J$3="isolé",AND(Coef_n_2*J$38&gt;=cf_seuil_act,Coef_n_2*J$39&gt;=cf_seuil_act)),(J$122=1)*ab_plaf2_couple_biact_ou_iso_1_enf+(J$122&gt;1)*(ab_plaf2_couple_biact_ou_iso_2_enf+(J$122-2)*ab_plaf2_sup_enf),(J$122=1)*ab_plaf2_couple_monoact_1_enf+(J$122&gt;1)*(ab_plaf2_couple_monact_2_enf+(J$122-2)*ab_plaf2_sup_enf))</f>
        <v>0</v>
      </c>
      <c r="K147" s="124">
        <f>IF(K$100&gt;0,1,0)*IF(OR(K$3="isolé",AND(Coef_n_2*K$38&gt;=cf_seuil_act,Coef_n_2*K$39&gt;=cf_seuil_act)),(K$122=1)*ab_plaf2_couple_biact_ou_iso_1_enf+(K$122&gt;1)*(ab_plaf2_couple_biact_ou_iso_2_enf+(K$122-2)*ab_plaf2_sup_enf),(K$122=1)*ab_plaf2_couple_monoact_1_enf+(K$122&gt;1)*(ab_plaf2_couple_monact_2_enf+(K$122-2)*ab_plaf2_sup_enf))</f>
        <v>0</v>
      </c>
      <c r="M147" s="124">
        <f>IF(M$100&gt;0,1,0)*IF(OR(M$3="isolé",AND(Coef_n_2*M$38&gt;=cf_seuil_act,Coef_n_2*M$39&gt;=cf_seuil_act)),(M$122=1)*ab_plaf2_couple_biact_ou_iso_1_enf+(M$122&gt;1)*(ab_plaf2_couple_biact_ou_iso_2_enf+(M$122-2)*ab_plaf2_sup_enf),(M$122=1)*ab_plaf2_couple_monoact_1_enf+(M$122&gt;1)*(ab_plaf2_couple_monact_2_enf+(M$122-2)*ab_plaf2_sup_enf))</f>
        <v>0</v>
      </c>
      <c r="N147" s="124">
        <f>IF(N$100&gt;0,1,0)*IF(OR(N$3="isolé",AND(Coef_n_2*N$38&gt;=cf_seuil_act,Coef_n_2*N$39&gt;=cf_seuil_act)),(N$122=1)*ab_plaf2_couple_biact_ou_iso_1_enf+(N$122&gt;1)*(ab_plaf2_couple_biact_ou_iso_2_enf+(N$122-2)*ab_plaf2_sup_enf),(N$122=1)*ab_plaf2_couple_monoact_1_enf+(N$122&gt;1)*(ab_plaf2_couple_monact_2_enf+(N$122-2)*ab_plaf2_sup_enf))</f>
        <v>0</v>
      </c>
      <c r="O147" s="124">
        <f>IF(O$100&gt;0,1,0)*IF(OR(O$3="isolé",AND(Coef_n_2*O$38&gt;=cf_seuil_act,Coef_n_2*O$39&gt;=cf_seuil_act)),(O$122=1)*ab_plaf2_couple_biact_ou_iso_1_enf+(O$122&gt;1)*(ab_plaf2_couple_biact_ou_iso_2_enf+(O$122-2)*ab_plaf2_sup_enf),(O$122=1)*ab_plaf2_couple_monoact_1_enf+(O$122&gt;1)*(ab_plaf2_couple_monact_2_enf+(O$122-2)*ab_plaf2_sup_enf))</f>
        <v>0</v>
      </c>
      <c r="P147" s="124">
        <f>IF(P$100&gt;0,1,0)*IF(OR(P$3="isolé",AND(Coef_n_2*P$38&gt;=cf_seuil_act,Coef_n_2*P$39&gt;=cf_seuil_act)),(P$122=1)*ab_plaf2_couple_biact_ou_iso_1_enf+(P$122&gt;1)*(ab_plaf2_couple_biact_ou_iso_2_enf+(P$122-2)*ab_plaf2_sup_enf),(P$122=1)*ab_plaf2_couple_monoact_1_enf+(P$122&gt;1)*(ab_plaf2_couple_monact_2_enf+(P$122-2)*ab_plaf2_sup_enf))</f>
        <v>0</v>
      </c>
      <c r="R147" s="124">
        <f>IF(R$100&gt;0,1,0)*IF(OR(R$3="isolé",AND(Coef_n_2*R$38&gt;=cf_seuil_act,Coef_n_2*R$39&gt;=cf_seuil_act)),(R$122=1)*ab_plaf2_couple_biact_ou_iso_1_enf+(R$122&gt;1)*(ab_plaf2_couple_biact_ou_iso_2_enf+(R$122-2)*ab_plaf2_sup_enf),(R$122=1)*ab_plaf2_couple_monoact_1_enf+(R$122&gt;1)*(ab_plaf2_couple_monact_2_enf+(R$122-2)*ab_plaf2_sup_enf))</f>
        <v>0</v>
      </c>
      <c r="S147" s="124">
        <f>IF(S$100&gt;0,1,0)*IF(OR(S$3="isolé",AND(Coef_n_2*S$38&gt;=cf_seuil_act,Coef_n_2*S$39&gt;=cf_seuil_act)),(S$122=1)*ab_plaf2_couple_biact_ou_iso_1_enf+(S$122&gt;1)*(ab_plaf2_couple_biact_ou_iso_2_enf+(S$122-2)*ab_plaf2_sup_enf),(S$122=1)*ab_plaf2_couple_monoact_1_enf+(S$122&gt;1)*(ab_plaf2_couple_monact_2_enf+(S$122-2)*ab_plaf2_sup_enf))</f>
        <v>0</v>
      </c>
      <c r="T147" s="124">
        <f>IF(T$100&gt;0,1,0)*IF(OR(T$3="isolé",AND(Coef_n_2*T$38&gt;=cf_seuil_act,Coef_n_2*T$39&gt;=cf_seuil_act)),(T$122=1)*ab_plaf2_couple_biact_ou_iso_1_enf+(T$122&gt;1)*(ab_plaf2_couple_biact_ou_iso_2_enf+(T$122-2)*ab_plaf2_sup_enf),(T$122=1)*ab_plaf2_couple_monoact_1_enf+(T$122&gt;1)*(ab_plaf2_couple_monact_2_enf+(T$122-2)*ab_plaf2_sup_enf))</f>
        <v>0</v>
      </c>
      <c r="U147" s="124">
        <f>IF(U$100&gt;0,1,0)*IF(OR(U$3="isolé",AND(Coef_n_2*U$38&gt;=cf_seuil_act,Coef_n_2*U$39&gt;=cf_seuil_act)),(U$122=1)*ab_plaf2_couple_biact_ou_iso_1_enf+(U$122&gt;1)*(ab_plaf2_couple_biact_ou_iso_2_enf+(U$122-2)*ab_plaf2_sup_enf),(U$122=1)*ab_plaf2_couple_monoact_1_enf+(U$122&gt;1)*(ab_plaf2_couple_monact_2_enf+(U$122-2)*ab_plaf2_sup_enf))</f>
        <v>0</v>
      </c>
    </row>
    <row r="148" spans="1:21" x14ac:dyDescent="0.25">
      <c r="B148" s="255"/>
      <c r="C148" s="201"/>
      <c r="D148" s="201"/>
      <c r="E148" s="201"/>
      <c r="F148" s="201"/>
      <c r="H148" s="201"/>
      <c r="I148" s="201"/>
      <c r="J148" s="201"/>
      <c r="K148" s="201"/>
      <c r="M148" s="201"/>
      <c r="N148" s="201"/>
      <c r="O148" s="201"/>
      <c r="P148" s="201"/>
      <c r="R148" s="201"/>
      <c r="S148" s="201"/>
      <c r="T148" s="201"/>
      <c r="U148" s="201"/>
    </row>
    <row r="149" spans="1:21" ht="13.5" thickBot="1" x14ac:dyDescent="0.35">
      <c r="A149" s="295" t="s">
        <v>238</v>
      </c>
      <c r="B149" s="255"/>
      <c r="C149" s="201"/>
      <c r="D149" s="201"/>
      <c r="E149" s="201"/>
      <c r="F149" s="201"/>
      <c r="H149" s="201"/>
      <c r="I149" s="201"/>
      <c r="J149" s="201"/>
      <c r="K149" s="201"/>
      <c r="M149" s="201"/>
      <c r="N149" s="201"/>
      <c r="O149" s="201"/>
      <c r="P149" s="201"/>
      <c r="R149" s="201"/>
      <c r="S149" s="201"/>
      <c r="T149" s="201"/>
      <c r="U149" s="201"/>
    </row>
    <row r="150" spans="1:21" x14ac:dyDescent="0.25">
      <c r="A150" s="282" t="s">
        <v>241</v>
      </c>
      <c r="B150" s="308"/>
      <c r="C150" s="273">
        <f>(C$100&gt;0)*(IF(C$25=0,clca_tp,IF(C$25&lt;=50%,clca_tr_1,IF(C$25&lt;=80%,clca_tr_2,0))))</f>
        <v>0</v>
      </c>
      <c r="D150" s="273">
        <f>(D$100&gt;0)*(IF(D$25=0,clca_tp,IF(D$25&lt;=50%,clca_tr_1,IF(D$25&lt;=80%,clca_tr_2,0))))</f>
        <v>0</v>
      </c>
      <c r="E150" s="273">
        <f>(E$100&gt;0)*(IF(E$25=0,clca_tp,IF(E$25&lt;=50%,clca_tr_1,IF(E$25&lt;=80%,clca_tr_2,0))))</f>
        <v>0</v>
      </c>
      <c r="F150" s="273">
        <f>(F$100&gt;0)*(IF(F$25=0,clca_tp,IF(F$25&lt;=50%,clca_tr_1,IF(F$25&lt;=80%,clca_tr_2,0))))</f>
        <v>0</v>
      </c>
      <c r="H150" s="273">
        <f>(H$100&gt;0)*(IF(H$25=0,clca_tp,IF(H$25&lt;=50%,clca_tr_1,IF(H$25&lt;=80%,clca_tr_2,0))))</f>
        <v>0</v>
      </c>
      <c r="I150" s="273">
        <f>(I$100&gt;0)*(IF(I$25=0,clca_tp,IF(I$25&lt;=50%,clca_tr_1,IF(I$25&lt;=80%,clca_tr_2,0))))</f>
        <v>0</v>
      </c>
      <c r="J150" s="273">
        <f>(J$100&gt;0)*(IF(J$25=0,clca_tp,IF(J$25&lt;=50%,clca_tr_1,IF(J$25&lt;=80%,clca_tr_2,0))))</f>
        <v>0</v>
      </c>
      <c r="K150" s="273">
        <f>(K$100&gt;0)*(IF(K$25=0,clca_tp,IF(K$25&lt;=50%,clca_tr_1,IF(K$25&lt;=80%,clca_tr_2,0))))</f>
        <v>0</v>
      </c>
      <c r="M150" s="273">
        <f>(M$100&gt;0)*(IF(M$25=0,clca_tp,IF(M$25&lt;=50%,clca_tr_1,IF(M$25&lt;=80%,clca_tr_2,0))))</f>
        <v>0</v>
      </c>
      <c r="N150" s="273">
        <f>(N$100&gt;0)*(IF(N$25=0,clca_tp,IF(N$25&lt;=50%,clca_tr_1,IF(N$25&lt;=80%,clca_tr_2,0))))</f>
        <v>0</v>
      </c>
      <c r="O150" s="273">
        <f>(O$100&gt;0)*(IF(O$25=0,clca_tp,IF(O$25&lt;=50%,clca_tr_1,IF(O$25&lt;=80%,clca_tr_2,0))))</f>
        <v>0</v>
      </c>
      <c r="P150" s="273">
        <f>(P$100&gt;0)*(IF(P$25=0,clca_tp,IF(P$25&lt;=50%,clca_tr_1,IF(P$25&lt;=80%,clca_tr_2,0))))</f>
        <v>0</v>
      </c>
      <c r="R150" s="273">
        <f>(R$100&gt;0)*(IF(R$25=0,clca_tp,IF(R$25&lt;=50%,clca_tr_1,IF(R$25&lt;=80%,clca_tr_2,0))))</f>
        <v>0</v>
      </c>
      <c r="S150" s="273">
        <f>(S$100&gt;0)*(IF(S$25=0,clca_tp,IF(S$25&lt;=50%,clca_tr_1,IF(S$25&lt;=80%,clca_tr_2,0))))</f>
        <v>0</v>
      </c>
      <c r="T150" s="273">
        <f>(T$100&gt;0)*(IF(T$25=0,clca_tp,IF(T$25&lt;=50%,clca_tr_1,IF(T$25&lt;=80%,clca_tr_2,0))))</f>
        <v>0</v>
      </c>
      <c r="U150" s="273">
        <f>(U$100&gt;0)*(IF(U$25=0,clca_tp,IF(U$25&lt;=50%,clca_tr_1,IF(U$25&lt;=80%,clca_tr_2,0))))</f>
        <v>0</v>
      </c>
    </row>
    <row r="151" spans="1:21" x14ac:dyDescent="0.25">
      <c r="A151" s="275" t="s">
        <v>242</v>
      </c>
      <c r="B151" s="255"/>
      <c r="C151" s="262">
        <f>(C$3="couple")*(C$100&gt;0)*(IF(C$26=0,clca_tp,IF(C$26&lt;=50%,clca_tr_1,IF(C$26&lt;=80%,clca_tr_2,0))))</f>
        <v>0</v>
      </c>
      <c r="D151" s="262">
        <f>(D$3="couple")*(D$100&gt;0)*(IF(D$26=0,clca_tp,IF(D$26&lt;=50%,clca_tr_1,IF(D$26&lt;=80%,clca_tr_2,0))))</f>
        <v>0</v>
      </c>
      <c r="E151" s="262">
        <f>(E$3="couple")*(E$100&gt;0)*(IF(E$26=0,clca_tp,IF(E$26&lt;=50%,clca_tr_1,IF(E$26&lt;=80%,clca_tr_2,0))))</f>
        <v>0</v>
      </c>
      <c r="F151" s="262">
        <f>(F$3="couple")*(F$100&gt;0)*(IF(F$26=0,clca_tp,IF(F$26&lt;=50%,clca_tr_1,IF(F$26&lt;=80%,clca_tr_2,0))))</f>
        <v>0</v>
      </c>
      <c r="H151" s="262">
        <f>(H$3="couple")*(H$100&gt;0)*(IF(H$26=0,clca_tp,IF(H$26&lt;=50%,clca_tr_1,IF(H$26&lt;=80%,clca_tr_2,0))))</f>
        <v>0</v>
      </c>
      <c r="I151" s="262">
        <f>(I$3="couple")*(I$100&gt;0)*(IF(I$26=0,clca_tp,IF(I$26&lt;=50%,clca_tr_1,IF(I$26&lt;=80%,clca_tr_2,0))))</f>
        <v>0</v>
      </c>
      <c r="J151" s="262">
        <f>(J$3="couple")*(J$100&gt;0)*(IF(J$26=0,clca_tp,IF(J$26&lt;=50%,clca_tr_1,IF(J$26&lt;=80%,clca_tr_2,0))))</f>
        <v>0</v>
      </c>
      <c r="K151" s="262">
        <f>(K$3="couple")*(K$100&gt;0)*(IF(K$26=0,clca_tp,IF(K$26&lt;=50%,clca_tr_1,IF(K$26&lt;=80%,clca_tr_2,0))))</f>
        <v>0</v>
      </c>
      <c r="M151" s="262">
        <f>(M$3="couple")*(M$100&gt;0)*(IF(M$26=0,clca_tp,IF(M$26&lt;=50%,clca_tr_1,IF(M$26&lt;=80%,clca_tr_2,0))))</f>
        <v>0</v>
      </c>
      <c r="N151" s="262">
        <f>(N$3="couple")*(N$100&gt;0)*(IF(N$26=0,clca_tp,IF(N$26&lt;=50%,clca_tr_1,IF(N$26&lt;=80%,clca_tr_2,0))))</f>
        <v>0</v>
      </c>
      <c r="O151" s="262">
        <f>(O$3="couple")*(O$100&gt;0)*(IF(O$26=0,clca_tp,IF(O$26&lt;=50%,clca_tr_1,IF(O$26&lt;=80%,clca_tr_2,0))))</f>
        <v>0</v>
      </c>
      <c r="P151" s="262">
        <f>(P$3="couple")*(P$100&gt;0)*(IF(P$26=0,clca_tp,IF(P$26&lt;=50%,clca_tr_1,IF(P$26&lt;=80%,clca_tr_2,0))))</f>
        <v>0</v>
      </c>
      <c r="R151" s="262">
        <f>(R$3="couple")*(R$100&gt;0)*(IF(R$26=0,clca_tp,IF(R$26&lt;=50%,clca_tr_1,IF(R$26&lt;=80%,clca_tr_2,0))))</f>
        <v>0</v>
      </c>
      <c r="S151" s="262">
        <f>(S$3="couple")*(S$100&gt;0)*(IF(S$26=0,clca_tp,IF(S$26&lt;=50%,clca_tr_1,IF(S$26&lt;=80%,clca_tr_2,0))))</f>
        <v>0</v>
      </c>
      <c r="T151" s="262">
        <f>(T$3="couple")*(T$100&gt;0)*(IF(T$26=0,clca_tp,IF(T$26&lt;=50%,clca_tr_1,IF(T$26&lt;=80%,clca_tr_2,0))))</f>
        <v>0</v>
      </c>
      <c r="U151" s="262">
        <f>(U$3="couple")*(U$100&gt;0)*(IF(U$26=0,clca_tp,IF(U$26&lt;=50%,clca_tr_1,IF(U$26&lt;=80%,clca_tr_2,0))))</f>
        <v>0</v>
      </c>
    </row>
    <row r="152" spans="1:21" ht="13.5" thickBot="1" x14ac:dyDescent="0.35">
      <c r="A152" s="279" t="s">
        <v>243</v>
      </c>
      <c r="B152" s="309"/>
      <c r="C152" s="310">
        <f t="shared" ref="C152:D152" si="57">MIN(C150+C151,clca_tp)</f>
        <v>0</v>
      </c>
      <c r="D152" s="310">
        <f t="shared" si="57"/>
        <v>0</v>
      </c>
      <c r="E152" s="310">
        <f t="shared" ref="E152:F152" si="58">MIN(E150+E151,clca_tp)</f>
        <v>0</v>
      </c>
      <c r="F152" s="310">
        <f t="shared" si="58"/>
        <v>0</v>
      </c>
      <c r="H152" s="310">
        <f t="shared" ref="H152:K152" si="59">MIN(H150+H151,clca_tp)</f>
        <v>0</v>
      </c>
      <c r="I152" s="310">
        <f t="shared" si="59"/>
        <v>0</v>
      </c>
      <c r="J152" s="310">
        <f t="shared" si="59"/>
        <v>0</v>
      </c>
      <c r="K152" s="310">
        <f t="shared" si="59"/>
        <v>0</v>
      </c>
      <c r="M152" s="310">
        <f t="shared" ref="M152:P152" si="60">MIN(M150+M151,clca_tp)</f>
        <v>0</v>
      </c>
      <c r="N152" s="310">
        <f t="shared" si="60"/>
        <v>0</v>
      </c>
      <c r="O152" s="310">
        <f t="shared" si="60"/>
        <v>0</v>
      </c>
      <c r="P152" s="310">
        <f t="shared" si="60"/>
        <v>0</v>
      </c>
      <c r="R152" s="310">
        <f t="shared" ref="R152:U152" si="61">MIN(R150+R151,clca_tp)</f>
        <v>0</v>
      </c>
      <c r="S152" s="310">
        <f t="shared" si="61"/>
        <v>0</v>
      </c>
      <c r="T152" s="310">
        <f t="shared" si="61"/>
        <v>0</v>
      </c>
      <c r="U152" s="310">
        <f t="shared" si="61"/>
        <v>0</v>
      </c>
    </row>
    <row r="153" spans="1:21" x14ac:dyDescent="0.25">
      <c r="C153" s="201"/>
      <c r="D153" s="201"/>
      <c r="E153" s="201"/>
      <c r="F153" s="201"/>
      <c r="H153" s="201"/>
      <c r="I153" s="201"/>
      <c r="J153" s="201"/>
      <c r="K153" s="201"/>
      <c r="M153" s="201"/>
      <c r="N153" s="201"/>
      <c r="O153" s="201"/>
      <c r="P153" s="201"/>
      <c r="R153" s="201"/>
      <c r="S153" s="201"/>
      <c r="T153" s="201"/>
      <c r="U153" s="201"/>
    </row>
    <row r="154" spans="1:21" ht="13.5" thickBot="1" x14ac:dyDescent="0.35">
      <c r="A154" s="295" t="s">
        <v>244</v>
      </c>
      <c r="C154" s="201"/>
      <c r="D154" s="201"/>
      <c r="E154" s="201"/>
      <c r="F154" s="201"/>
      <c r="H154" s="201"/>
      <c r="I154" s="201"/>
      <c r="J154" s="201"/>
      <c r="K154" s="201"/>
      <c r="M154" s="201"/>
      <c r="N154" s="201"/>
      <c r="O154" s="201"/>
      <c r="P154" s="201"/>
      <c r="R154" s="201"/>
      <c r="S154" s="201"/>
      <c r="T154" s="201"/>
      <c r="U154" s="201"/>
    </row>
    <row r="155" spans="1:21" x14ac:dyDescent="0.25">
      <c r="A155" s="282" t="s">
        <v>245</v>
      </c>
      <c r="B155" s="306"/>
      <c r="C155" s="284">
        <f t="shared" ref="C155:U155" si="62">C$21*cmg_cout_net_assmat</f>
        <v>0</v>
      </c>
      <c r="D155" s="284">
        <f t="shared" si="62"/>
        <v>0</v>
      </c>
      <c r="E155" s="284">
        <f t="shared" si="62"/>
        <v>0</v>
      </c>
      <c r="F155" s="284">
        <f t="shared" si="62"/>
        <v>0</v>
      </c>
      <c r="H155" s="284">
        <f t="shared" si="62"/>
        <v>0</v>
      </c>
      <c r="I155" s="284">
        <f t="shared" si="62"/>
        <v>0</v>
      </c>
      <c r="J155" s="284">
        <f t="shared" si="62"/>
        <v>0</v>
      </c>
      <c r="K155" s="284">
        <f t="shared" si="62"/>
        <v>0</v>
      </c>
      <c r="M155" s="284">
        <f t="shared" si="62"/>
        <v>0</v>
      </c>
      <c r="N155" s="284">
        <f t="shared" si="62"/>
        <v>0</v>
      </c>
      <c r="O155" s="284">
        <f t="shared" si="62"/>
        <v>0</v>
      </c>
      <c r="P155" s="284">
        <f t="shared" si="62"/>
        <v>0</v>
      </c>
      <c r="R155" s="284">
        <f t="shared" si="62"/>
        <v>0</v>
      </c>
      <c r="S155" s="284">
        <f t="shared" si="62"/>
        <v>0</v>
      </c>
      <c r="T155" s="284">
        <f t="shared" si="62"/>
        <v>0</v>
      </c>
      <c r="U155" s="284">
        <f t="shared" si="62"/>
        <v>0</v>
      </c>
    </row>
    <row r="156" spans="1:21" x14ac:dyDescent="0.25">
      <c r="A156" s="275" t="s">
        <v>246</v>
      </c>
      <c r="B156" s="298"/>
      <c r="C156" s="263">
        <f t="shared" ref="C156:U156" si="63">C$21*cmg_cotis_assmat</f>
        <v>0</v>
      </c>
      <c r="D156" s="263">
        <f t="shared" si="63"/>
        <v>0</v>
      </c>
      <c r="E156" s="263">
        <f t="shared" si="63"/>
        <v>0</v>
      </c>
      <c r="F156" s="263">
        <f t="shared" si="63"/>
        <v>0</v>
      </c>
      <c r="H156" s="263">
        <f t="shared" si="63"/>
        <v>0</v>
      </c>
      <c r="I156" s="263">
        <f t="shared" si="63"/>
        <v>0</v>
      </c>
      <c r="J156" s="263">
        <f t="shared" si="63"/>
        <v>0</v>
      </c>
      <c r="K156" s="263">
        <f t="shared" si="63"/>
        <v>0</v>
      </c>
      <c r="M156" s="263">
        <f t="shared" si="63"/>
        <v>0</v>
      </c>
      <c r="N156" s="263">
        <f t="shared" si="63"/>
        <v>0</v>
      </c>
      <c r="O156" s="263">
        <f t="shared" si="63"/>
        <v>0</v>
      </c>
      <c r="P156" s="263">
        <f t="shared" si="63"/>
        <v>0</v>
      </c>
      <c r="R156" s="263">
        <f t="shared" si="63"/>
        <v>0</v>
      </c>
      <c r="S156" s="263">
        <f t="shared" si="63"/>
        <v>0</v>
      </c>
      <c r="T156" s="263">
        <f t="shared" si="63"/>
        <v>0</v>
      </c>
      <c r="U156" s="263">
        <f t="shared" si="63"/>
        <v>0</v>
      </c>
    </row>
    <row r="157" spans="1:21" ht="13" thickBot="1" x14ac:dyDescent="0.3">
      <c r="A157" s="279" t="s">
        <v>247</v>
      </c>
      <c r="B157" s="307"/>
      <c r="C157" s="285">
        <f>MAX(0,C$21*irpp_cout_net_assmat-C$66)</f>
        <v>0</v>
      </c>
      <c r="D157" s="285">
        <f>MAX(0,D$21*irpp_cout_net_assmat-D$66)</f>
        <v>0</v>
      </c>
      <c r="E157" s="285">
        <f>MAX(0,E$21*irpp_cout_net_assmat-E$66)</f>
        <v>0</v>
      </c>
      <c r="F157" s="285">
        <f>MAX(0,F$21*irpp_cout_net_assmat-F$66)</f>
        <v>0</v>
      </c>
      <c r="H157" s="285">
        <f>MAX(0,H$21*irpp_cout_net_assmat-H$66)</f>
        <v>0</v>
      </c>
      <c r="I157" s="285">
        <f>MAX(0,I$21*irpp_cout_net_assmat-I$66)</f>
        <v>0</v>
      </c>
      <c r="J157" s="285">
        <f>MAX(0,J$21*irpp_cout_net_assmat-J$66)</f>
        <v>0</v>
      </c>
      <c r="K157" s="285">
        <f>MAX(0,K$21*irpp_cout_net_assmat-K$66)</f>
        <v>0</v>
      </c>
      <c r="M157" s="285">
        <f>MAX(0,M$21*irpp_cout_net_assmat-M$66)</f>
        <v>0</v>
      </c>
      <c r="N157" s="285">
        <f>MAX(0,N$21*irpp_cout_net_assmat-N$66)</f>
        <v>0</v>
      </c>
      <c r="O157" s="285">
        <f>MAX(0,O$21*irpp_cout_net_assmat-O$66)</f>
        <v>0</v>
      </c>
      <c r="P157" s="285">
        <f>MAX(0,P$21*irpp_cout_net_assmat-P$66)</f>
        <v>0</v>
      </c>
      <c r="R157" s="285">
        <f>MAX(0,R$21*irpp_cout_net_assmat-R$66)</f>
        <v>0</v>
      </c>
      <c r="S157" s="285">
        <f>MAX(0,S$21*irpp_cout_net_assmat-S$66)</f>
        <v>0</v>
      </c>
      <c r="T157" s="285">
        <f>MAX(0,T$21*irpp_cout_net_assmat-T$66)</f>
        <v>0</v>
      </c>
      <c r="U157" s="285">
        <f>MAX(0,U$21*irpp_cout_net_assmat-U$66)</f>
        <v>0</v>
      </c>
    </row>
    <row r="158" spans="1:21" x14ac:dyDescent="0.25">
      <c r="A158" s="10"/>
      <c r="B158" s="261"/>
      <c r="C158" s="201"/>
      <c r="D158" s="201"/>
      <c r="E158" s="201"/>
      <c r="F158" s="201"/>
      <c r="H158" s="201"/>
      <c r="I158" s="201"/>
      <c r="J158" s="201"/>
      <c r="K158" s="201"/>
      <c r="M158" s="201"/>
      <c r="N158" s="201"/>
      <c r="O158" s="201"/>
      <c r="P158" s="201"/>
      <c r="R158" s="201"/>
      <c r="S158" s="201"/>
      <c r="T158" s="201"/>
      <c r="U158" s="201"/>
    </row>
    <row r="159" spans="1:21" ht="13.5" thickBot="1" x14ac:dyDescent="0.35">
      <c r="A159" s="295" t="s">
        <v>248</v>
      </c>
      <c r="B159" s="261"/>
      <c r="C159" s="303"/>
      <c r="D159" s="303"/>
      <c r="E159" s="303"/>
      <c r="F159" s="303"/>
      <c r="H159" s="303"/>
      <c r="I159" s="303"/>
      <c r="J159" s="303"/>
      <c r="K159" s="303"/>
      <c r="M159" s="303"/>
      <c r="N159" s="303"/>
      <c r="O159" s="303"/>
      <c r="P159" s="303"/>
      <c r="R159" s="303"/>
      <c r="S159" s="303"/>
      <c r="T159" s="303"/>
      <c r="U159" s="303"/>
    </row>
    <row r="160" spans="1:21" x14ac:dyDescent="0.25">
      <c r="A160" s="282" t="s">
        <v>249</v>
      </c>
      <c r="B160" s="304"/>
      <c r="C160" s="284">
        <f t="shared" ref="C160:U160" si="64">(C$22+C$23/2)*(cmg_cout_net_gdom+cmg_cotis_gdom)</f>
        <v>0</v>
      </c>
      <c r="D160" s="284">
        <f t="shared" si="64"/>
        <v>0</v>
      </c>
      <c r="E160" s="284">
        <f t="shared" si="64"/>
        <v>0</v>
      </c>
      <c r="F160" s="284">
        <f t="shared" si="64"/>
        <v>0</v>
      </c>
      <c r="H160" s="284">
        <f t="shared" si="64"/>
        <v>0</v>
      </c>
      <c r="I160" s="284">
        <f t="shared" si="64"/>
        <v>0</v>
      </c>
      <c r="J160" s="284">
        <f t="shared" si="64"/>
        <v>0</v>
      </c>
      <c r="K160" s="284">
        <f t="shared" si="64"/>
        <v>0</v>
      </c>
      <c r="M160" s="284">
        <f t="shared" si="64"/>
        <v>0</v>
      </c>
      <c r="N160" s="284">
        <f t="shared" si="64"/>
        <v>0</v>
      </c>
      <c r="O160" s="284">
        <f t="shared" si="64"/>
        <v>0</v>
      </c>
      <c r="P160" s="284">
        <f t="shared" si="64"/>
        <v>0</v>
      </c>
      <c r="R160" s="284">
        <f t="shared" si="64"/>
        <v>0</v>
      </c>
      <c r="S160" s="284">
        <f t="shared" si="64"/>
        <v>0</v>
      </c>
      <c r="T160" s="284">
        <f t="shared" si="64"/>
        <v>0</v>
      </c>
      <c r="U160" s="284">
        <f t="shared" si="64"/>
        <v>0</v>
      </c>
    </row>
    <row r="161" spans="1:21" x14ac:dyDescent="0.25">
      <c r="A161" s="275" t="s">
        <v>246</v>
      </c>
      <c r="B161" s="261"/>
      <c r="C161" s="263">
        <f t="shared" ref="C161:U161" si="65">MIN(0.5*(C$22+C$23/2)*(cmg_cotis_gdom),cmg_max_pccs_gdom)</f>
        <v>0</v>
      </c>
      <c r="D161" s="263">
        <f t="shared" si="65"/>
        <v>0</v>
      </c>
      <c r="E161" s="263">
        <f t="shared" si="65"/>
        <v>0</v>
      </c>
      <c r="F161" s="263">
        <f t="shared" si="65"/>
        <v>0</v>
      </c>
      <c r="H161" s="263">
        <f t="shared" si="65"/>
        <v>0</v>
      </c>
      <c r="I161" s="263">
        <f t="shared" si="65"/>
        <v>0</v>
      </c>
      <c r="J161" s="263">
        <f t="shared" si="65"/>
        <v>0</v>
      </c>
      <c r="K161" s="263">
        <f t="shared" si="65"/>
        <v>0</v>
      </c>
      <c r="M161" s="263">
        <f t="shared" si="65"/>
        <v>0</v>
      </c>
      <c r="N161" s="263">
        <f t="shared" si="65"/>
        <v>0</v>
      </c>
      <c r="O161" s="263">
        <f t="shared" si="65"/>
        <v>0</v>
      </c>
      <c r="P161" s="263">
        <f t="shared" si="65"/>
        <v>0</v>
      </c>
      <c r="R161" s="263">
        <f t="shared" si="65"/>
        <v>0</v>
      </c>
      <c r="S161" s="263">
        <f t="shared" si="65"/>
        <v>0</v>
      </c>
      <c r="T161" s="263">
        <f t="shared" si="65"/>
        <v>0</v>
      </c>
      <c r="U161" s="263">
        <f t="shared" si="65"/>
        <v>0</v>
      </c>
    </row>
    <row r="162" spans="1:21" x14ac:dyDescent="0.25">
      <c r="A162" s="275" t="s">
        <v>250</v>
      </c>
      <c r="B162" s="261"/>
      <c r="C162" s="263">
        <f t="shared" ref="C162:U162" si="66">(C$22+C$23/2)*(cmg_cout_net_gdom)</f>
        <v>0</v>
      </c>
      <c r="D162" s="263">
        <f t="shared" si="66"/>
        <v>0</v>
      </c>
      <c r="E162" s="263">
        <f t="shared" si="66"/>
        <v>0</v>
      </c>
      <c r="F162" s="263">
        <f t="shared" si="66"/>
        <v>0</v>
      </c>
      <c r="H162" s="263">
        <f t="shared" si="66"/>
        <v>0</v>
      </c>
      <c r="I162" s="263">
        <f t="shared" si="66"/>
        <v>0</v>
      </c>
      <c r="J162" s="263">
        <f t="shared" si="66"/>
        <v>0</v>
      </c>
      <c r="K162" s="263">
        <f t="shared" si="66"/>
        <v>0</v>
      </c>
      <c r="M162" s="263">
        <f t="shared" si="66"/>
        <v>0</v>
      </c>
      <c r="N162" s="263">
        <f t="shared" si="66"/>
        <v>0</v>
      </c>
      <c r="O162" s="263">
        <f t="shared" si="66"/>
        <v>0</v>
      </c>
      <c r="P162" s="263">
        <f t="shared" si="66"/>
        <v>0</v>
      </c>
      <c r="R162" s="263">
        <f t="shared" si="66"/>
        <v>0</v>
      </c>
      <c r="S162" s="263">
        <f t="shared" si="66"/>
        <v>0</v>
      </c>
      <c r="T162" s="263">
        <f t="shared" si="66"/>
        <v>0</v>
      </c>
      <c r="U162" s="263">
        <f t="shared" si="66"/>
        <v>0</v>
      </c>
    </row>
    <row r="163" spans="1:21" ht="13" thickBot="1" x14ac:dyDescent="0.3">
      <c r="A163" s="279" t="s">
        <v>247</v>
      </c>
      <c r="B163" s="305"/>
      <c r="C163" s="285">
        <f>MAX(0,C$160-C$161-C$66)</f>
        <v>0</v>
      </c>
      <c r="D163" s="285">
        <f>MAX(0,D$160-D$161-D$66)</f>
        <v>0</v>
      </c>
      <c r="E163" s="285">
        <f>MAX(0,E$160-E$161-E$66)</f>
        <v>0</v>
      </c>
      <c r="F163" s="285">
        <f>MAX(0,F$160-F$161-F$66)</f>
        <v>0</v>
      </c>
      <c r="H163" s="285">
        <f>MAX(0,H$160-H$161-H$66)</f>
        <v>0</v>
      </c>
      <c r="I163" s="285">
        <f>MAX(0,I$160-I$161-I$66)</f>
        <v>0</v>
      </c>
      <c r="J163" s="285">
        <f>MAX(0,J$160-J$161-J$66)</f>
        <v>0</v>
      </c>
      <c r="K163" s="285">
        <f>MAX(0,K$160-K$161-K$66)</f>
        <v>0</v>
      </c>
      <c r="M163" s="285">
        <f>MAX(0,M$160-M$161-M$66)</f>
        <v>0</v>
      </c>
      <c r="N163" s="285">
        <f>MAX(0,N$160-N$161-N$66)</f>
        <v>0</v>
      </c>
      <c r="O163" s="285">
        <f>MAX(0,O$160-O$161-O$66)</f>
        <v>0</v>
      </c>
      <c r="P163" s="285">
        <f>MAX(0,P$160-P$161-P$66)</f>
        <v>0</v>
      </c>
      <c r="R163" s="285">
        <f>MAX(0,R$160-R$161-R$66)</f>
        <v>0</v>
      </c>
      <c r="S163" s="285">
        <f>MAX(0,S$160-S$161-S$66)</f>
        <v>0</v>
      </c>
      <c r="T163" s="285">
        <f>MAX(0,T$160-T$161-T$66)</f>
        <v>0</v>
      </c>
      <c r="U163" s="285">
        <f>MAX(0,U$160-U$161-U$66)</f>
        <v>0</v>
      </c>
    </row>
    <row r="164" spans="1:21" x14ac:dyDescent="0.25">
      <c r="A164" s="10"/>
      <c r="B164" s="261"/>
      <c r="C164" s="303"/>
      <c r="D164" s="303"/>
      <c r="E164" s="303"/>
      <c r="F164" s="303"/>
      <c r="H164" s="303"/>
      <c r="I164" s="303"/>
      <c r="J164" s="303"/>
      <c r="K164" s="303"/>
      <c r="M164" s="303"/>
      <c r="N164" s="303"/>
      <c r="O164" s="303"/>
      <c r="P164" s="303"/>
      <c r="R164" s="303"/>
      <c r="S164" s="303"/>
      <c r="T164" s="303"/>
      <c r="U164" s="303"/>
    </row>
    <row r="165" spans="1:21" ht="13.5" thickBot="1" x14ac:dyDescent="0.35">
      <c r="A165" s="295" t="s">
        <v>291</v>
      </c>
      <c r="B165" s="261"/>
      <c r="C165" s="303"/>
      <c r="D165" s="303"/>
      <c r="E165" s="303"/>
      <c r="F165" s="303"/>
      <c r="H165" s="303"/>
      <c r="I165" s="303"/>
      <c r="J165" s="303"/>
      <c r="K165" s="303"/>
      <c r="M165" s="303"/>
      <c r="N165" s="303"/>
      <c r="O165" s="303"/>
      <c r="P165" s="303"/>
      <c r="R165" s="303"/>
      <c r="S165" s="303"/>
      <c r="T165" s="303"/>
      <c r="U165" s="303"/>
    </row>
    <row r="166" spans="1:21" ht="13" thickBot="1" x14ac:dyDescent="0.3">
      <c r="A166" s="311" t="s">
        <v>289</v>
      </c>
      <c r="B166" s="312"/>
      <c r="C166" s="313">
        <f>(C$99&gt;0)*IF(C$3="isolé",(1+cmg_majo_plaf_isolé),1)*((C$122=1)*cmg_plaf_inter_1_enf+(C$122&gt;=2)*(cmg_plaf_inter_2_enf+cmg_plaf_inter_sup_enf*(C$122-2)))</f>
        <v>0</v>
      </c>
      <c r="D166" s="313">
        <f>(D$99&gt;0)*IF(D$3="isolé",(1+cmg_majo_plaf_isolé),1)*((D$122=1)*cmg_plaf_inter_1_enf+(D$122&gt;=2)*(cmg_plaf_inter_2_enf+cmg_plaf_inter_sup_enf*(D$122-2)))</f>
        <v>0</v>
      </c>
      <c r="E166" s="313">
        <f>(E$99&gt;0)*IF(E$3="isolé",(1+cmg_majo_plaf_isolé),1)*((E$122=1)*cmg_plaf_inter_1_enf+(E$122&gt;=2)*(cmg_plaf_inter_2_enf+cmg_plaf_inter_sup_enf*(E$122-2)))</f>
        <v>0</v>
      </c>
      <c r="F166" s="313">
        <f>(F$99&gt;0)*IF(F$3="isolé",(1+cmg_majo_plaf_isolé),1)*((F$122=1)*cmg_plaf_inter_1_enf+(F$122&gt;=2)*(cmg_plaf_inter_2_enf+cmg_plaf_inter_sup_enf*(F$122-2)))</f>
        <v>0</v>
      </c>
      <c r="H166" s="313">
        <f>(H$99&gt;0)*IF(H$3="isolé",(1+cmg_majo_plaf_isolé),1)*((H$122=1)*cmg_plaf_inter_1_enf+(H$122&gt;=2)*(cmg_plaf_inter_2_enf+cmg_plaf_inter_sup_enf*(H$122-2)))</f>
        <v>70960.399999999994</v>
      </c>
      <c r="I166" s="313">
        <f>(I$99&gt;0)*IF(I$3="isolé",(1+cmg_majo_plaf_isolé),1)*((I$122=1)*cmg_plaf_inter_1_enf+(I$122&gt;=2)*(cmg_plaf_inter_2_enf+cmg_plaf_inter_sup_enf*(I$122-2)))</f>
        <v>70960.399999999994</v>
      </c>
      <c r="J166" s="313">
        <f>(J$99&gt;0)*IF(J$3="isolé",(1+cmg_majo_plaf_isolé),1)*((J$122=1)*cmg_plaf_inter_1_enf+(J$122&gt;=2)*(cmg_plaf_inter_2_enf+cmg_plaf_inter_sup_enf*(J$122-2)))</f>
        <v>70960.399999999994</v>
      </c>
      <c r="K166" s="313">
        <f>(K$99&gt;0)*IF(K$3="isolé",(1+cmg_majo_plaf_isolé),1)*((K$122=1)*cmg_plaf_inter_1_enf+(K$122&gt;=2)*(cmg_plaf_inter_2_enf+cmg_plaf_inter_sup_enf*(K$122-2)))</f>
        <v>70960.399999999994</v>
      </c>
      <c r="M166" s="313">
        <f>(M$99&gt;0)*IF(M$3="isolé",(1+cmg_majo_plaf_isolé),1)*((M$122=1)*cmg_plaf_inter_1_enf+(M$122&gt;=2)*(cmg_plaf_inter_2_enf+cmg_plaf_inter_sup_enf*(M$122-2)))</f>
        <v>81033.399999999994</v>
      </c>
      <c r="N166" s="313">
        <f>(N$99&gt;0)*IF(N$3="isolé",(1+cmg_majo_plaf_isolé),1)*((N$122=1)*cmg_plaf_inter_1_enf+(N$122&gt;=2)*(cmg_plaf_inter_2_enf+cmg_plaf_inter_sup_enf*(N$122-2)))</f>
        <v>81033.399999999994</v>
      </c>
      <c r="O166" s="313">
        <f>(O$99&gt;0)*IF(O$3="isolé",(1+cmg_majo_plaf_isolé),1)*((O$122=1)*cmg_plaf_inter_1_enf+(O$122&gt;=2)*(cmg_plaf_inter_2_enf+cmg_plaf_inter_sup_enf*(O$122-2)))</f>
        <v>81033.399999999994</v>
      </c>
      <c r="P166" s="313">
        <f>(P$99&gt;0)*IF(P$3="isolé",(1+cmg_majo_plaf_isolé),1)*((P$122=1)*cmg_plaf_inter_1_enf+(P$122&gt;=2)*(cmg_plaf_inter_2_enf+cmg_plaf_inter_sup_enf*(P$122-2)))</f>
        <v>81033.399999999994</v>
      </c>
      <c r="R166" s="313">
        <f>(R$99&gt;0)*IF(R$3="isolé",(1+cmg_majo_plaf_isolé),1)*((R$122=1)*cmg_plaf_inter_1_enf+(R$122&gt;=2)*(cmg_plaf_inter_2_enf+cmg_plaf_inter_sup_enf*(R$122-2)))</f>
        <v>91106.4</v>
      </c>
      <c r="S166" s="313">
        <f>(S$99&gt;0)*IF(S$3="isolé",(1+cmg_majo_plaf_isolé),1)*((S$122=1)*cmg_plaf_inter_1_enf+(S$122&gt;=2)*(cmg_plaf_inter_2_enf+cmg_plaf_inter_sup_enf*(S$122-2)))</f>
        <v>91106.4</v>
      </c>
      <c r="T166" s="313">
        <f>(T$99&gt;0)*IF(T$3="isolé",(1+cmg_majo_plaf_isolé),1)*((T$122=1)*cmg_plaf_inter_1_enf+(T$122&gt;=2)*(cmg_plaf_inter_2_enf+cmg_plaf_inter_sup_enf*(T$122-2)))</f>
        <v>91106.4</v>
      </c>
      <c r="U166" s="313">
        <f>(U$99&gt;0)*IF(U$3="isolé",(1+cmg_majo_plaf_isolé),1)*((U$122=1)*cmg_plaf_inter_1_enf+(U$122&gt;=2)*(cmg_plaf_inter_2_enf+cmg_plaf_inter_sup_enf*(U$122-2)))</f>
        <v>91106.4</v>
      </c>
    </row>
    <row r="167" spans="1:21" x14ac:dyDescent="0.25">
      <c r="B167" s="261"/>
      <c r="C167" s="303"/>
      <c r="D167" s="303"/>
      <c r="E167" s="303"/>
      <c r="F167" s="303"/>
      <c r="H167" s="303"/>
      <c r="I167" s="303"/>
      <c r="J167" s="303"/>
      <c r="K167" s="303"/>
      <c r="M167" s="303"/>
      <c r="N167" s="303"/>
      <c r="O167" s="303"/>
      <c r="P167" s="303"/>
      <c r="R167" s="303"/>
      <c r="S167" s="303"/>
      <c r="T167" s="303"/>
      <c r="U167" s="303"/>
    </row>
    <row r="168" spans="1:21" ht="13.5" thickBot="1" x14ac:dyDescent="0.35">
      <c r="A168" s="295" t="s">
        <v>273</v>
      </c>
      <c r="B168" s="261"/>
      <c r="C168" s="303"/>
      <c r="D168" s="303"/>
      <c r="E168" s="303"/>
      <c r="F168" s="303"/>
      <c r="H168" s="303"/>
      <c r="I168" s="303"/>
      <c r="J168" s="303"/>
      <c r="K168" s="303"/>
      <c r="M168" s="303"/>
      <c r="N168" s="303"/>
      <c r="O168" s="303"/>
      <c r="P168" s="303"/>
      <c r="R168" s="303"/>
      <c r="S168" s="303"/>
      <c r="T168" s="303"/>
      <c r="U168" s="303"/>
    </row>
    <row r="169" spans="1:21" ht="13.5" thickBot="1" x14ac:dyDescent="0.35">
      <c r="A169" s="311" t="s">
        <v>290</v>
      </c>
      <c r="B169" s="314"/>
      <c r="C169" s="315">
        <f>(C$24*((C$122=1)*creche_coef_1_enf+(C$122=2)*creche_coef_2_enf+(C$122=3)*creche_coef_3_enf+(C$122&gt;3)*creche_coef_4_enf)*MAX(creche_plancher_ressource,MIN(creche_plafond_ressources,C$119/12)))/12</f>
        <v>0</v>
      </c>
      <c r="D169" s="315">
        <f>(D$24*((D$122=1)*creche_coef_1_enf+(D$122=2)*creche_coef_2_enf+(D$122=3)*creche_coef_3_enf+(D$122&gt;3)*creche_coef_4_enf)*MAX(creche_plancher_ressource,MIN(creche_plafond_ressources,D$119/12)))/12</f>
        <v>0</v>
      </c>
      <c r="E169" s="315">
        <f>(E$24*((E$122=1)*creche_coef_1_enf+(E$122=2)*creche_coef_2_enf+(E$122=3)*creche_coef_3_enf+(E$122&gt;3)*creche_coef_4_enf)*MAX(creche_plancher_ressource,MIN(creche_plafond_ressources,E$119/12)))/12</f>
        <v>0</v>
      </c>
      <c r="F169" s="315">
        <f>(F$24*((F$122=1)*creche_coef_1_enf+(F$122=2)*creche_coef_2_enf+(F$122=3)*creche_coef_3_enf+(F$122&gt;3)*creche_coef_4_enf)*MAX(creche_plancher_ressource,MIN(creche_plafond_ressources,F$119/12)))/12</f>
        <v>0</v>
      </c>
      <c r="H169" s="315">
        <f>(H$24*((H$122=1)*creche_coef_1_enf+(H$122=2)*creche_coef_2_enf+(H$122=3)*creche_coef_3_enf+(H$122&gt;3)*creche_coef_4_enf)*MAX(creche_plancher_ressource,MIN(creche_plafond_ressources,H$119/12)))/12</f>
        <v>0</v>
      </c>
      <c r="I169" s="315">
        <f>(I$24*((I$122=1)*creche_coef_1_enf+(I$122=2)*creche_coef_2_enf+(I$122=3)*creche_coef_3_enf+(I$122&gt;3)*creche_coef_4_enf)*MAX(creche_plancher_ressource,MIN(creche_plafond_ressources,I$119/12)))/12</f>
        <v>0</v>
      </c>
      <c r="J169" s="315">
        <f>(J$24*((J$122=1)*creche_coef_1_enf+(J$122=2)*creche_coef_2_enf+(J$122=3)*creche_coef_3_enf+(J$122&gt;3)*creche_coef_4_enf)*MAX(creche_plancher_ressource,MIN(creche_plafond_ressources,J$119/12)))/12</f>
        <v>0</v>
      </c>
      <c r="K169" s="315">
        <f>(K$24*((K$122=1)*creche_coef_1_enf+(K$122=2)*creche_coef_2_enf+(K$122=3)*creche_coef_3_enf+(K$122&gt;3)*creche_coef_4_enf)*MAX(creche_plancher_ressource,MIN(creche_plafond_ressources,K$119/12)))/12</f>
        <v>0</v>
      </c>
      <c r="M169" s="315">
        <f>(M$24*((M$122=1)*creche_coef_1_enf+(M$122=2)*creche_coef_2_enf+(M$122=3)*creche_coef_3_enf+(M$122&gt;3)*creche_coef_4_enf)*MAX(creche_plancher_ressource,MIN(creche_plafond_ressources,M$119/12)))/12</f>
        <v>0</v>
      </c>
      <c r="N169" s="315">
        <f>(N$24*((N$122=1)*creche_coef_1_enf+(N$122=2)*creche_coef_2_enf+(N$122=3)*creche_coef_3_enf+(N$122&gt;3)*creche_coef_4_enf)*MAX(creche_plancher_ressource,MIN(creche_plafond_ressources,N$119/12)))/12</f>
        <v>0</v>
      </c>
      <c r="O169" s="315">
        <f>(O$24*((O$122=1)*creche_coef_1_enf+(O$122=2)*creche_coef_2_enf+(O$122=3)*creche_coef_3_enf+(O$122&gt;3)*creche_coef_4_enf)*MAX(creche_plancher_ressource,MIN(creche_plafond_ressources,O$119/12)))/12</f>
        <v>0</v>
      </c>
      <c r="P169" s="315">
        <f>(P$24*((P$122=1)*creche_coef_1_enf+(P$122=2)*creche_coef_2_enf+(P$122=3)*creche_coef_3_enf+(P$122&gt;3)*creche_coef_4_enf)*MAX(creche_plancher_ressource,MIN(creche_plafond_ressources,P$119/12)))/12</f>
        <v>0</v>
      </c>
      <c r="R169" s="315">
        <f>(R$24*((R$122=1)*creche_coef_1_enf+(R$122=2)*creche_coef_2_enf+(R$122=3)*creche_coef_3_enf+(R$122&gt;3)*creche_coef_4_enf)*MAX(creche_plancher_ressource,MIN(creche_plafond_ressources,R$119/12)))/12</f>
        <v>0</v>
      </c>
      <c r="S169" s="315">
        <f>(S$24*((S$122=1)*creche_coef_1_enf+(S$122=2)*creche_coef_2_enf+(S$122=3)*creche_coef_3_enf+(S$122&gt;3)*creche_coef_4_enf)*MAX(creche_plancher_ressource,MIN(creche_plafond_ressources,S$119/12)))/12</f>
        <v>0</v>
      </c>
      <c r="T169" s="315">
        <f>(T$24*((T$122=1)*creche_coef_1_enf+(T$122=2)*creche_coef_2_enf+(T$122=3)*creche_coef_3_enf+(T$122&gt;3)*creche_coef_4_enf)*MAX(creche_plancher_ressource,MIN(creche_plafond_ressources,T$119/12)))/12</f>
        <v>0</v>
      </c>
      <c r="U169" s="315">
        <f>(U$24*((U$122=1)*creche_coef_1_enf+(U$122=2)*creche_coef_2_enf+(U$122=3)*creche_coef_3_enf+(U$122&gt;3)*creche_coef_4_enf)*MAX(creche_plancher_ressource,MIN(creche_plafond_ressources,U$119/12)))/12</f>
        <v>0</v>
      </c>
    </row>
    <row r="170" spans="1:21" x14ac:dyDescent="0.25">
      <c r="A170" s="372" t="s">
        <v>499</v>
      </c>
      <c r="C170" s="201"/>
      <c r="D170" s="201"/>
      <c r="E170" s="201"/>
      <c r="F170" s="201"/>
      <c r="H170" s="201"/>
      <c r="I170" s="201"/>
      <c r="J170" s="201"/>
      <c r="K170" s="201"/>
      <c r="M170" s="201"/>
      <c r="N170" s="201"/>
      <c r="O170" s="201"/>
      <c r="P170" s="201"/>
      <c r="R170" s="201"/>
      <c r="S170" s="201"/>
      <c r="T170" s="201"/>
      <c r="U170" s="201"/>
    </row>
    <row r="171" spans="1:21" ht="13.5" thickBot="1" x14ac:dyDescent="0.35">
      <c r="A171" s="295" t="s">
        <v>498</v>
      </c>
      <c r="B171" s="259"/>
    </row>
    <row r="172" spans="1:21" ht="13" x14ac:dyDescent="0.3">
      <c r="A172" s="286" t="s">
        <v>431</v>
      </c>
      <c r="B172" s="287"/>
      <c r="C172" s="432">
        <f>MAX(0,(Coef_impot/evol_smic)*C$58-MAX(irpp_min_reduc_fp,MIN(irpp_max_reduc_fp,irpp_taux_reduc_fp*(Coef_impot/evol_smic)*C$58)))
+(MAX(0,12*C$52-MAX(irpp_min_reduc_pens,MIN(irpp_max_reduc_pens,irpp_taux_reduc_pens*12*C$52)))
 -12*C$53)*(C$13&lt;&gt;"ga_m")*(C$13&lt;&gt;"ga_p")</f>
        <v>0</v>
      </c>
      <c r="D172" s="432">
        <f>MAX(0,(Coef_impot/evol_smic)*D$58-MAX(irpp_min_reduc_fp,MIN(irpp_max_reduc_fp,irpp_taux_reduc_fp*(Coef_impot/evol_smic)*D$58)))
+(MAX(0,12*D$52-MAX(irpp_min_reduc_pens,MIN(irpp_max_reduc_pens,irpp_taux_reduc_pens*12*D$52)))
 -12*D$53)*(D$13&lt;&gt;"ga_m")*(D$13&lt;&gt;"ga_p")</f>
        <v>7575.6173818363923</v>
      </c>
      <c r="E172" s="432">
        <f>MAX(0,(Coef_impot/evol_smic)*E$58-MAX(irpp_min_reduc_fp,MIN(irpp_max_reduc_fp,irpp_taux_reduc_fp*(Coef_impot/evol_smic)*E$58)))
+(MAX(0,12*E$52-MAX(irpp_min_reduc_pens,MIN(irpp_max_reduc_pens,irpp_taux_reduc_pens*12*E$52)))
 -12*E$53)*(E$13&lt;&gt;"ga_m")*(E$13&lt;&gt;"ga_p")</f>
        <v>15151.234763672785</v>
      </c>
      <c r="F172" s="432">
        <f>MAX(0,(Coef_impot/evol_smic)*F$58-MAX(irpp_min_reduc_fp,MIN(irpp_max_reduc_fp,irpp_taux_reduc_fp*(Coef_impot/evol_smic)*F$58)))
+(MAX(0,12*F$52-MAX(irpp_min_reduc_pens,MIN(irpp_max_reduc_pens,irpp_taux_reduc_pens*12*F$52)))
 -12*F$53)*(F$13&lt;&gt;"ga_m")*(F$13&lt;&gt;"ga_p")</f>
        <v>22726.852145509176</v>
      </c>
      <c r="H172" s="432">
        <f>MAX(0,(Coef_impot/evol_smic)*H$58-MAX(irpp_min_reduc_fp,MIN(irpp_max_reduc_fp,irpp_taux_reduc_fp*(Coef_impot/evol_smic)*H$58)))
+(MAX(0,12*H$52-MAX(irpp_min_reduc_pens,MIN(irpp_max_reduc_pens,irpp_taux_reduc_pens*12*H$52)))
 -12*H$53)*(H$13&lt;&gt;"ga_m")*(H$13&lt;&gt;"ga_p")</f>
        <v>0</v>
      </c>
      <c r="I172" s="432">
        <f>MAX(0,(Coef_impot/evol_smic)*I$58-MAX(irpp_min_reduc_fp,MIN(irpp_max_reduc_fp,irpp_taux_reduc_fp*(Coef_impot/evol_smic)*I$58)))
+(MAX(0,12*I$52-MAX(irpp_min_reduc_pens,MIN(irpp_max_reduc_pens,irpp_taux_reduc_pens*12*I$52)))
 -12*I$53)*(I$13&lt;&gt;"ga_m")*(I$13&lt;&gt;"ga_p")</f>
        <v>7575.6173818363923</v>
      </c>
      <c r="J172" s="432">
        <f>MAX(0,(Coef_impot/evol_smic)*J$58-MAX(irpp_min_reduc_fp,MIN(irpp_max_reduc_fp,irpp_taux_reduc_fp*(Coef_impot/evol_smic)*J$58)))
+(MAX(0,12*J$52-MAX(irpp_min_reduc_pens,MIN(irpp_max_reduc_pens,irpp_taux_reduc_pens*12*J$52)))
 -12*J$53)*(J$13&lt;&gt;"ga_m")*(J$13&lt;&gt;"ga_p")</f>
        <v>15151.234763672785</v>
      </c>
      <c r="K172" s="432">
        <f>MAX(0,(Coef_impot/evol_smic)*K$58-MAX(irpp_min_reduc_fp,MIN(irpp_max_reduc_fp,irpp_taux_reduc_fp*(Coef_impot/evol_smic)*K$58)))
+(MAX(0,12*K$52-MAX(irpp_min_reduc_pens,MIN(irpp_max_reduc_pens,irpp_taux_reduc_pens*12*K$52)))
 -12*K$53)*(K$13&lt;&gt;"ga_m")*(K$13&lt;&gt;"ga_p")</f>
        <v>22726.852145509176</v>
      </c>
      <c r="M172" s="432">
        <f>MAX(0,(Coef_impot/evol_smic)*M$58-MAX(irpp_min_reduc_fp,MIN(irpp_max_reduc_fp,irpp_taux_reduc_fp*(Coef_impot/evol_smic)*M$58)))
+(MAX(0,12*M$52-MAX(irpp_min_reduc_pens,MIN(irpp_max_reduc_pens,irpp_taux_reduc_pens*12*M$52)))
 -12*M$53)*(M$13&lt;&gt;"ga_m")*(M$13&lt;&gt;"ga_p")</f>
        <v>0</v>
      </c>
      <c r="N172" s="432">
        <f>MAX(0,(Coef_impot/evol_smic)*N$58-MAX(irpp_min_reduc_fp,MIN(irpp_max_reduc_fp,irpp_taux_reduc_fp*(Coef_impot/evol_smic)*N$58)))
+(MAX(0,12*N$52-MAX(irpp_min_reduc_pens,MIN(irpp_max_reduc_pens,irpp_taux_reduc_pens*12*N$52)))
 -12*N$53)*(N$13&lt;&gt;"ga_m")*(N$13&lt;&gt;"ga_p")</f>
        <v>7575.6173818363923</v>
      </c>
      <c r="O172" s="432">
        <f>MAX(0,(Coef_impot/evol_smic)*O$58-MAX(irpp_min_reduc_fp,MIN(irpp_max_reduc_fp,irpp_taux_reduc_fp*(Coef_impot/evol_smic)*O$58)))
+(MAX(0,12*O$52-MAX(irpp_min_reduc_pens,MIN(irpp_max_reduc_pens,irpp_taux_reduc_pens*12*O$52)))
 -12*O$53)*(O$13&lt;&gt;"ga_m")*(O$13&lt;&gt;"ga_p")</f>
        <v>15151.234763672785</v>
      </c>
      <c r="P172" s="432">
        <f>MAX(0,(Coef_impot/evol_smic)*P$58-MAX(irpp_min_reduc_fp,MIN(irpp_max_reduc_fp,irpp_taux_reduc_fp*(Coef_impot/evol_smic)*P$58)))
+(MAX(0,12*P$52-MAX(irpp_min_reduc_pens,MIN(irpp_max_reduc_pens,irpp_taux_reduc_pens*12*P$52)))
 -12*P$53)*(P$13&lt;&gt;"ga_m")*(P$13&lt;&gt;"ga_p")</f>
        <v>22726.852145509176</v>
      </c>
      <c r="R172" s="432">
        <f>MAX(0,(Coef_impot/evol_smic)*R$58-MAX(irpp_min_reduc_fp,MIN(irpp_max_reduc_fp,irpp_taux_reduc_fp*(Coef_impot/evol_smic)*R$58)))
+(MAX(0,12*R$52-MAX(irpp_min_reduc_pens,MIN(irpp_max_reduc_pens,irpp_taux_reduc_pens*12*R$52)))
 -12*R$53)*(R$13&lt;&gt;"ga_m")*(R$13&lt;&gt;"ga_p")</f>
        <v>0</v>
      </c>
      <c r="S172" s="432">
        <f>MAX(0,(Coef_impot/evol_smic)*S$58-MAX(irpp_min_reduc_fp,MIN(irpp_max_reduc_fp,irpp_taux_reduc_fp*(Coef_impot/evol_smic)*S$58)))
+(MAX(0,12*S$52-MAX(irpp_min_reduc_pens,MIN(irpp_max_reduc_pens,irpp_taux_reduc_pens*12*S$52)))
 -12*S$53)*(S$13&lt;&gt;"ga_m")*(S$13&lt;&gt;"ga_p")</f>
        <v>7575.6173818363923</v>
      </c>
      <c r="T172" s="432">
        <f>MAX(0,(Coef_impot/evol_smic)*T$58-MAX(irpp_min_reduc_fp,MIN(irpp_max_reduc_fp,irpp_taux_reduc_fp*(Coef_impot/evol_smic)*T$58)))
+(MAX(0,12*T$52-MAX(irpp_min_reduc_pens,MIN(irpp_max_reduc_pens,irpp_taux_reduc_pens*12*T$52)))
 -12*T$53)*(T$13&lt;&gt;"ga_m")*(T$13&lt;&gt;"ga_p")</f>
        <v>15151.234763672785</v>
      </c>
      <c r="U172" s="432">
        <f>MAX(0,(Coef_impot/evol_smic)*U$58-MAX(irpp_min_reduc_fp,MIN(irpp_max_reduc_fp,irpp_taux_reduc_fp*(Coef_impot/evol_smic)*U$58)))
+(MAX(0,12*U$52-MAX(irpp_min_reduc_pens,MIN(irpp_max_reduc_pens,irpp_taux_reduc_pens*12*U$52)))
 -12*U$53)*(U$13&lt;&gt;"ga_m")*(U$13&lt;&gt;"ga_p")</f>
        <v>22726.852145509176</v>
      </c>
    </row>
    <row r="173" spans="1:21" ht="13" x14ac:dyDescent="0.3">
      <c r="A173" s="276" t="s">
        <v>173</v>
      </c>
      <c r="B173" s="259"/>
      <c r="C173" s="262">
        <f>IF(C$30="plaf",C174,C$30)</f>
        <v>278.27999999999997</v>
      </c>
      <c r="D173" s="262">
        <f>IF(D$30="plaf",D174,D$30)</f>
        <v>278.27999999999997</v>
      </c>
      <c r="E173" s="262">
        <f>IF(E$30="plaf",E174,E$30)</f>
        <v>278.27999999999997</v>
      </c>
      <c r="F173" s="262">
        <f>IF(F$30="plaf",F174,F$30)</f>
        <v>278.27999999999997</v>
      </c>
      <c r="H173" s="262">
        <f>IF(H$30="plaf",H174,H$30)</f>
        <v>383.28</v>
      </c>
      <c r="I173" s="262">
        <f>IF(I$30="plaf",I174,I$30)</f>
        <v>383.28</v>
      </c>
      <c r="J173" s="262">
        <f>IF(J$30="plaf",J174,J$30)</f>
        <v>383.28</v>
      </c>
      <c r="K173" s="262">
        <f>IF(K$30="plaf",K174,K$30)</f>
        <v>383.28</v>
      </c>
      <c r="M173" s="262">
        <f>IF(M$30="plaf",M174,M$30)</f>
        <v>439.07</v>
      </c>
      <c r="N173" s="262">
        <f>IF(N$30="plaf",N174,N$30)</f>
        <v>439.07</v>
      </c>
      <c r="O173" s="262">
        <f>IF(O$30="plaf",O174,O$30)</f>
        <v>439.07</v>
      </c>
      <c r="P173" s="262">
        <f>IF(P$30="plaf",P174,P$30)</f>
        <v>439.07</v>
      </c>
      <c r="R173" s="262">
        <f>IF(R$30="plaf",R174,R$30)</f>
        <v>494.85999999999996</v>
      </c>
      <c r="S173" s="262">
        <f>IF(S$30="plaf",S174,S$30)</f>
        <v>494.85999999999996</v>
      </c>
      <c r="T173" s="262">
        <f>IF(T$30="plaf",T174,T$30)</f>
        <v>494.85999999999996</v>
      </c>
      <c r="U173" s="262">
        <f>IF(U$30="plaf",U174,U$30)</f>
        <v>494.85999999999996</v>
      </c>
    </row>
    <row r="174" spans="1:21" x14ac:dyDescent="0.25">
      <c r="A174" s="274" t="s">
        <v>511</v>
      </c>
      <c r="B174" s="259"/>
      <c r="C174" s="262">
        <f>(C$29=1)*IF(C$98=0,IF(C$3="isolé",al_loy_plaf_I0_z1,al_loy_plaf_c0_z1),al_loy_plaf_1_pac_z1+al_loy_plaf_sup_pac_z1*(C$98-1))+(C$29=2)*IF(C$98=0,IF(C$3="isolé",al_loy_plaf_I0_z2,al_loy_plaf_C0_z2),al_loy_plaf_1_pac_z2+al_loy_plaf_sup_pac_z2*(C$98-1))+(C$29=3)*IF(C$98=0,IF(C$3="isolé",al_loy_plaf_I0_z3,al_loy_plaf_C0_z3),al_loy_plaf_1_pac_z3+al_loy_plaf_sup_pac_z3*(C$98-1))</f>
        <v>278.27999999999997</v>
      </c>
      <c r="D174" s="262">
        <f>(D$29=1)*IF(D$98=0,IF(D$3="isolé",al_loy_plaf_I0_z1,al_loy_plaf_c0_z1),al_loy_plaf_1_pac_z1+al_loy_plaf_sup_pac_z1*(D$98-1))+(D$29=2)*IF(D$98=0,IF(D$3="isolé",al_loy_plaf_I0_z2,al_loy_plaf_C0_z2),al_loy_plaf_1_pac_z2+al_loy_plaf_sup_pac_z2*(D$98-1))+(D$29=3)*IF(D$98=0,IF(D$3="isolé",al_loy_plaf_I0_z3,al_loy_plaf_C0_z3),al_loy_plaf_1_pac_z3+al_loy_plaf_sup_pac_z3*(D$98-1))</f>
        <v>278.27999999999997</v>
      </c>
      <c r="E174" s="262">
        <f>(E$29=1)*IF(E$98=0,IF(E$3="isolé",al_loy_plaf_I0_z1,al_loy_plaf_c0_z1),al_loy_plaf_1_pac_z1+al_loy_plaf_sup_pac_z1*(E$98-1))+(E$29=2)*IF(E$98=0,IF(E$3="isolé",al_loy_plaf_I0_z2,al_loy_plaf_C0_z2),al_loy_plaf_1_pac_z2+al_loy_plaf_sup_pac_z2*(E$98-1))+(E$29=3)*IF(E$98=0,IF(E$3="isolé",al_loy_plaf_I0_z3,al_loy_plaf_C0_z3),al_loy_plaf_1_pac_z3+al_loy_plaf_sup_pac_z3*(E$98-1))</f>
        <v>278.27999999999997</v>
      </c>
      <c r="F174" s="262">
        <f>(F$29=1)*IF(F$98=0,IF(F$3="isolé",al_loy_plaf_I0_z1,al_loy_plaf_c0_z1),al_loy_plaf_1_pac_z1+al_loy_plaf_sup_pac_z1*(F$98-1))+(F$29=2)*IF(F$98=0,IF(F$3="isolé",al_loy_plaf_I0_z2,al_loy_plaf_C0_z2),al_loy_plaf_1_pac_z2+al_loy_plaf_sup_pac_z2*(F$98-1))+(F$29=3)*IF(F$98=0,IF(F$3="isolé",al_loy_plaf_I0_z3,al_loy_plaf_C0_z3),al_loy_plaf_1_pac_z3+al_loy_plaf_sup_pac_z3*(F$98-1))</f>
        <v>278.27999999999997</v>
      </c>
      <c r="H174" s="262">
        <f>(H$29=1)*IF(H$98=0,IF(H$3="isolé",al_loy_plaf_I0_z1,al_loy_plaf_c0_z1),al_loy_plaf_1_pac_z1+al_loy_plaf_sup_pac_z1*(H$98-1))+(H$29=2)*IF(H$98=0,IF(H$3="isolé",al_loy_plaf_I0_z2,al_loy_plaf_C0_z2),al_loy_plaf_1_pac_z2+al_loy_plaf_sup_pac_z2*(H$98-1))+(H$29=3)*IF(H$98=0,IF(H$3="isolé",al_loy_plaf_I0_z3,al_loy_plaf_C0_z3),al_loy_plaf_1_pac_z3+al_loy_plaf_sup_pac_z3*(H$98-1))</f>
        <v>383.28</v>
      </c>
      <c r="I174" s="262">
        <f>(I$29=1)*IF(I$98=0,IF(I$3="isolé",al_loy_plaf_I0_z1,al_loy_plaf_c0_z1),al_loy_plaf_1_pac_z1+al_loy_plaf_sup_pac_z1*(I$98-1))+(I$29=2)*IF(I$98=0,IF(I$3="isolé",al_loy_plaf_I0_z2,al_loy_plaf_C0_z2),al_loy_plaf_1_pac_z2+al_loy_plaf_sup_pac_z2*(I$98-1))+(I$29=3)*IF(I$98=0,IF(I$3="isolé",al_loy_plaf_I0_z3,al_loy_plaf_C0_z3),al_loy_plaf_1_pac_z3+al_loy_plaf_sup_pac_z3*(I$98-1))</f>
        <v>383.28</v>
      </c>
      <c r="J174" s="262">
        <f>(J$29=1)*IF(J$98=0,IF(J$3="isolé",al_loy_plaf_I0_z1,al_loy_plaf_c0_z1),al_loy_plaf_1_pac_z1+al_loy_plaf_sup_pac_z1*(J$98-1))+(J$29=2)*IF(J$98=0,IF(J$3="isolé",al_loy_plaf_I0_z2,al_loy_plaf_C0_z2),al_loy_plaf_1_pac_z2+al_loy_plaf_sup_pac_z2*(J$98-1))+(J$29=3)*IF(J$98=0,IF(J$3="isolé",al_loy_plaf_I0_z3,al_loy_plaf_C0_z3),al_loy_plaf_1_pac_z3+al_loy_plaf_sup_pac_z3*(J$98-1))</f>
        <v>383.28</v>
      </c>
      <c r="K174" s="262">
        <f>(K$29=1)*IF(K$98=0,IF(K$3="isolé",al_loy_plaf_I0_z1,al_loy_plaf_c0_z1),al_loy_plaf_1_pac_z1+al_loy_plaf_sup_pac_z1*(K$98-1))+(K$29=2)*IF(K$98=0,IF(K$3="isolé",al_loy_plaf_I0_z2,al_loy_plaf_C0_z2),al_loy_plaf_1_pac_z2+al_loy_plaf_sup_pac_z2*(K$98-1))+(K$29=3)*IF(K$98=0,IF(K$3="isolé",al_loy_plaf_I0_z3,al_loy_plaf_C0_z3),al_loy_plaf_1_pac_z3+al_loy_plaf_sup_pac_z3*(K$98-1))</f>
        <v>383.28</v>
      </c>
      <c r="M174" s="262">
        <f>(M$29=1)*IF(M$98=0,IF(M$3="isolé",al_loy_plaf_I0_z1,al_loy_plaf_c0_z1),al_loy_plaf_1_pac_z1+al_loy_plaf_sup_pac_z1*(M$98-1))+(M$29=2)*IF(M$98=0,IF(M$3="isolé",al_loy_plaf_I0_z2,al_loy_plaf_C0_z2),al_loy_plaf_1_pac_z2+al_loy_plaf_sup_pac_z2*(M$98-1))+(M$29=3)*IF(M$98=0,IF(M$3="isolé",al_loy_plaf_I0_z3,al_loy_plaf_C0_z3),al_loy_plaf_1_pac_z3+al_loy_plaf_sup_pac_z3*(M$98-1))</f>
        <v>439.07</v>
      </c>
      <c r="N174" s="262">
        <f>(N$29=1)*IF(N$98=0,IF(N$3="isolé",al_loy_plaf_I0_z1,al_loy_plaf_c0_z1),al_loy_plaf_1_pac_z1+al_loy_plaf_sup_pac_z1*(N$98-1))+(N$29=2)*IF(N$98=0,IF(N$3="isolé",al_loy_plaf_I0_z2,al_loy_plaf_C0_z2),al_loy_plaf_1_pac_z2+al_loy_plaf_sup_pac_z2*(N$98-1))+(N$29=3)*IF(N$98=0,IF(N$3="isolé",al_loy_plaf_I0_z3,al_loy_plaf_C0_z3),al_loy_plaf_1_pac_z3+al_loy_plaf_sup_pac_z3*(N$98-1))</f>
        <v>439.07</v>
      </c>
      <c r="O174" s="262">
        <f>(O$29=1)*IF(O$98=0,IF(O$3="isolé",al_loy_plaf_I0_z1,al_loy_plaf_c0_z1),al_loy_plaf_1_pac_z1+al_loy_plaf_sup_pac_z1*(O$98-1))+(O$29=2)*IF(O$98=0,IF(O$3="isolé",al_loy_plaf_I0_z2,al_loy_plaf_C0_z2),al_loy_plaf_1_pac_z2+al_loy_plaf_sup_pac_z2*(O$98-1))+(O$29=3)*IF(O$98=0,IF(O$3="isolé",al_loy_plaf_I0_z3,al_loy_plaf_C0_z3),al_loy_plaf_1_pac_z3+al_loy_plaf_sup_pac_z3*(O$98-1))</f>
        <v>439.07</v>
      </c>
      <c r="P174" s="262">
        <f>(P$29=1)*IF(P$98=0,IF(P$3="isolé",al_loy_plaf_I0_z1,al_loy_plaf_c0_z1),al_loy_plaf_1_pac_z1+al_loy_plaf_sup_pac_z1*(P$98-1))+(P$29=2)*IF(P$98=0,IF(P$3="isolé",al_loy_plaf_I0_z2,al_loy_plaf_C0_z2),al_loy_plaf_1_pac_z2+al_loy_plaf_sup_pac_z2*(P$98-1))+(P$29=3)*IF(P$98=0,IF(P$3="isolé",al_loy_plaf_I0_z3,al_loy_plaf_C0_z3),al_loy_plaf_1_pac_z3+al_loy_plaf_sup_pac_z3*(P$98-1))</f>
        <v>439.07</v>
      </c>
      <c r="R174" s="262">
        <f>(R$29=1)*IF(R$98=0,IF(R$3="isolé",al_loy_plaf_I0_z1,al_loy_plaf_c0_z1),al_loy_plaf_1_pac_z1+al_loy_plaf_sup_pac_z1*(R$98-1))+(R$29=2)*IF(R$98=0,IF(R$3="isolé",al_loy_plaf_I0_z2,al_loy_plaf_C0_z2),al_loy_plaf_1_pac_z2+al_loy_plaf_sup_pac_z2*(R$98-1))+(R$29=3)*IF(R$98=0,IF(R$3="isolé",al_loy_plaf_I0_z3,al_loy_plaf_C0_z3),al_loy_plaf_1_pac_z3+al_loy_plaf_sup_pac_z3*(R$98-1))</f>
        <v>494.85999999999996</v>
      </c>
      <c r="S174" s="262">
        <f>(S$29=1)*IF(S$98=0,IF(S$3="isolé",al_loy_plaf_I0_z1,al_loy_plaf_c0_z1),al_loy_plaf_1_pac_z1+al_loy_plaf_sup_pac_z1*(S$98-1))+(S$29=2)*IF(S$98=0,IF(S$3="isolé",al_loy_plaf_I0_z2,al_loy_plaf_C0_z2),al_loy_plaf_1_pac_z2+al_loy_plaf_sup_pac_z2*(S$98-1))+(S$29=3)*IF(S$98=0,IF(S$3="isolé",al_loy_plaf_I0_z3,al_loy_plaf_C0_z3),al_loy_plaf_1_pac_z3+al_loy_plaf_sup_pac_z3*(S$98-1))</f>
        <v>494.85999999999996</v>
      </c>
      <c r="T174" s="262">
        <f>(T$29=1)*IF(T$98=0,IF(T$3="isolé",al_loy_plaf_I0_z1,al_loy_plaf_c0_z1),al_loy_plaf_1_pac_z1+al_loy_plaf_sup_pac_z1*(T$98-1))+(T$29=2)*IF(T$98=0,IF(T$3="isolé",al_loy_plaf_I0_z2,al_loy_plaf_C0_z2),al_loy_plaf_1_pac_z2+al_loy_plaf_sup_pac_z2*(T$98-1))+(T$29=3)*IF(T$98=0,IF(T$3="isolé",al_loy_plaf_I0_z3,al_loy_plaf_C0_z3),al_loy_plaf_1_pac_z3+al_loy_plaf_sup_pac_z3*(T$98-1))</f>
        <v>494.85999999999996</v>
      </c>
      <c r="U174" s="262">
        <f>(U$29=1)*IF(U$98=0,IF(U$3="isolé",al_loy_plaf_I0_z1,al_loy_plaf_c0_z1),al_loy_plaf_1_pac_z1+al_loy_plaf_sup_pac_z1*(U$98-1))+(U$29=2)*IF(U$98=0,IF(U$3="isolé",al_loy_plaf_I0_z2,al_loy_plaf_C0_z2),al_loy_plaf_1_pac_z2+al_loy_plaf_sup_pac_z2*(U$98-1))+(U$29=3)*IF(U$98=0,IF(U$3="isolé",al_loy_plaf_I0_z3,al_loy_plaf_C0_z3),al_loy_plaf_1_pac_z3+al_loy_plaf_sup_pac_z3*(U$98-1))</f>
        <v>494.85999999999996</v>
      </c>
    </row>
    <row r="175" spans="1:21" x14ac:dyDescent="0.25">
      <c r="A175" s="274" t="s">
        <v>13</v>
      </c>
      <c r="B175" s="259"/>
      <c r="C175" s="262">
        <f>IF(C$98=0,al_forf_charges_0_pac,al_forf_charges_1_pac+(C$98-1)*al_forf_charges_sup_pac)</f>
        <v>58.08</v>
      </c>
      <c r="D175" s="262">
        <f>IF(D$98=0,al_forf_charges_0_pac,al_forf_charges_1_pac+(D$98-1)*al_forf_charges_sup_pac)</f>
        <v>58.08</v>
      </c>
      <c r="E175" s="262">
        <f>IF(E$98=0,al_forf_charges_0_pac,al_forf_charges_1_pac+(E$98-1)*al_forf_charges_sup_pac)</f>
        <v>58.08</v>
      </c>
      <c r="F175" s="262">
        <f>IF(F$98=0,al_forf_charges_0_pac,al_forf_charges_1_pac+(F$98-1)*al_forf_charges_sup_pac)</f>
        <v>58.08</v>
      </c>
      <c r="H175" s="262">
        <f>IF(H$98=0,al_forf_charges_0_pac,al_forf_charges_1_pac+(H$98-1)*al_forf_charges_sup_pac)</f>
        <v>71.25</v>
      </c>
      <c r="I175" s="262">
        <f>IF(I$98=0,al_forf_charges_0_pac,al_forf_charges_1_pac+(I$98-1)*al_forf_charges_sup_pac)</f>
        <v>71.25</v>
      </c>
      <c r="J175" s="262">
        <f>IF(J$98=0,al_forf_charges_0_pac,al_forf_charges_1_pac+(J$98-1)*al_forf_charges_sup_pac)</f>
        <v>71.25</v>
      </c>
      <c r="K175" s="262">
        <f>IF(K$98=0,al_forf_charges_0_pac,al_forf_charges_1_pac+(K$98-1)*al_forf_charges_sup_pac)</f>
        <v>71.25</v>
      </c>
      <c r="M175" s="262">
        <f>IF(M$98=0,al_forf_charges_0_pac,al_forf_charges_1_pac+(M$98-1)*al_forf_charges_sup_pac)</f>
        <v>84.42</v>
      </c>
      <c r="N175" s="262">
        <f>IF(N$98=0,al_forf_charges_0_pac,al_forf_charges_1_pac+(N$98-1)*al_forf_charges_sup_pac)</f>
        <v>84.42</v>
      </c>
      <c r="O175" s="262">
        <f>IF(O$98=0,al_forf_charges_0_pac,al_forf_charges_1_pac+(O$98-1)*al_forf_charges_sup_pac)</f>
        <v>84.42</v>
      </c>
      <c r="P175" s="262">
        <f>IF(P$98=0,al_forf_charges_0_pac,al_forf_charges_1_pac+(P$98-1)*al_forf_charges_sup_pac)</f>
        <v>84.42</v>
      </c>
      <c r="R175" s="262">
        <f>IF(R$98=0,al_forf_charges_0_pac,al_forf_charges_1_pac+(R$98-1)*al_forf_charges_sup_pac)</f>
        <v>97.59</v>
      </c>
      <c r="S175" s="262">
        <f>IF(S$98=0,al_forf_charges_0_pac,al_forf_charges_1_pac+(S$98-1)*al_forf_charges_sup_pac)</f>
        <v>97.59</v>
      </c>
      <c r="T175" s="262">
        <f>IF(T$98=0,al_forf_charges_0_pac,al_forf_charges_1_pac+(T$98-1)*al_forf_charges_sup_pac)</f>
        <v>97.59</v>
      </c>
      <c r="U175" s="262">
        <f>IF(U$98=0,al_forf_charges_0_pac,al_forf_charges_1_pac+(U$98-1)*al_forf_charges_sup_pac)</f>
        <v>97.59</v>
      </c>
    </row>
    <row r="176" spans="1:21" x14ac:dyDescent="0.25">
      <c r="A176" s="274" t="s">
        <v>175</v>
      </c>
      <c r="B176" s="259"/>
      <c r="C176" s="262">
        <f>MIN(C173,C174)+C175</f>
        <v>336.35999999999996</v>
      </c>
      <c r="D176" s="262">
        <f>MIN(D173,D174)+D175</f>
        <v>336.35999999999996</v>
      </c>
      <c r="E176" s="262">
        <f>MIN(E173,E174)+E175</f>
        <v>336.35999999999996</v>
      </c>
      <c r="F176" s="262">
        <f>MIN(F173,F174)+F175</f>
        <v>336.35999999999996</v>
      </c>
      <c r="H176" s="262">
        <f>MIN(H173,H174)+H175</f>
        <v>454.53</v>
      </c>
      <c r="I176" s="262">
        <f>MIN(I173,I174)+I175</f>
        <v>454.53</v>
      </c>
      <c r="J176" s="262">
        <f>MIN(J173,J174)+J175</f>
        <v>454.53</v>
      </c>
      <c r="K176" s="262">
        <f>MIN(K173,K174)+K175</f>
        <v>454.53</v>
      </c>
      <c r="M176" s="262">
        <f>MIN(M173,M174)+M175</f>
        <v>523.49</v>
      </c>
      <c r="N176" s="262">
        <f>MIN(N173,N174)+N175</f>
        <v>523.49</v>
      </c>
      <c r="O176" s="262">
        <f>MIN(O173,O174)+O175</f>
        <v>523.49</v>
      </c>
      <c r="P176" s="262">
        <f>MIN(P173,P174)+P175</f>
        <v>523.49</v>
      </c>
      <c r="R176" s="262">
        <f>MIN(R173,R174)+R175</f>
        <v>592.44999999999993</v>
      </c>
      <c r="S176" s="262">
        <f>MIN(S173,S174)+S175</f>
        <v>592.44999999999993</v>
      </c>
      <c r="T176" s="262">
        <f>MIN(T173,T174)+T175</f>
        <v>592.44999999999993</v>
      </c>
      <c r="U176" s="262">
        <f>MIN(U173,U174)+U175</f>
        <v>592.44999999999993</v>
      </c>
    </row>
    <row r="177" spans="1:21" x14ac:dyDescent="0.25">
      <c r="A177" s="275" t="s">
        <v>217</v>
      </c>
      <c r="B177" s="259"/>
      <c r="C177" s="262">
        <f>(C$98=0)*IF(C$3="isolé",al_R0_I0,al_R0_C0)
+(C$98=1)*al_R0_1pac+(C$98=2)*al_R0_2pac+(C$98=3)*al_R0_3pac+(C$98=4)*al_R0_4pac+(C$98=5)*al_R0_5pac
+(C$98&gt;=6)*(al_R0_6pac+(C$98-6)*al_R0_suppac)</f>
        <v>5186</v>
      </c>
      <c r="D177" s="262">
        <f>(D$98=0)*IF(D$3="isolé",al_R0_I0,al_R0_C0)
+(D$98=1)*al_R0_1pac+(D$98=2)*al_R0_2pac+(D$98=3)*al_R0_3pac+(D$98=4)*al_R0_4pac+(D$98=5)*al_R0_5pac
+(D$98&gt;=6)*(al_R0_6pac+(D$98-6)*al_R0_suppac)</f>
        <v>5186</v>
      </c>
      <c r="E177" s="262">
        <f>(E$98=0)*IF(E$3="isolé",al_R0_I0,al_R0_C0)
+(E$98=1)*al_R0_1pac+(E$98=2)*al_R0_2pac+(E$98=3)*al_R0_3pac+(E$98=4)*al_R0_4pac+(E$98=5)*al_R0_5pac
+(E$98&gt;=6)*(al_R0_6pac+(E$98-6)*al_R0_suppac)</f>
        <v>5186</v>
      </c>
      <c r="F177" s="262">
        <f>(F$98=0)*IF(F$3="isolé",al_R0_I0,al_R0_C0)
+(F$98=1)*al_R0_1pac+(F$98=2)*al_R0_2pac+(F$98=3)*al_R0_3pac+(F$98=4)*al_R0_4pac+(F$98=5)*al_R0_5pac
+(F$98&gt;=6)*(al_R0_6pac+(F$98-6)*al_R0_suppac)</f>
        <v>5186</v>
      </c>
      <c r="H177" s="262">
        <f>(H$98=0)*IF(H$3="isolé",al_R0_I0,al_R0_C0)
+(H$98=1)*al_R0_1pac+(H$98=2)*al_R0_2pac+(H$98=3)*al_R0_3pac+(H$98=4)*al_R0_4pac+(H$98=5)*al_R0_5pac
+(H$98&gt;=6)*(al_R0_6pac+(H$98-6)*al_R0_suppac)</f>
        <v>8862</v>
      </c>
      <c r="I177" s="262">
        <f>(I$98=0)*IF(I$3="isolé",al_R0_I0,al_R0_C0)
+(I$98=1)*al_R0_1pac+(I$98=2)*al_R0_2pac+(I$98=3)*al_R0_3pac+(I$98=4)*al_R0_4pac+(I$98=5)*al_R0_5pac
+(I$98&gt;=6)*(al_R0_6pac+(I$98-6)*al_R0_suppac)</f>
        <v>8862</v>
      </c>
      <c r="J177" s="262">
        <f>(J$98=0)*IF(J$3="isolé",al_R0_I0,al_R0_C0)
+(J$98=1)*al_R0_1pac+(J$98=2)*al_R0_2pac+(J$98=3)*al_R0_3pac+(J$98=4)*al_R0_4pac+(J$98=5)*al_R0_5pac
+(J$98&gt;=6)*(al_R0_6pac+(J$98-6)*al_R0_suppac)</f>
        <v>8862</v>
      </c>
      <c r="K177" s="262">
        <f>(K$98=0)*IF(K$3="isolé",al_R0_I0,al_R0_C0)
+(K$98=1)*al_R0_1pac+(K$98=2)*al_R0_2pac+(K$98=3)*al_R0_3pac+(K$98=4)*al_R0_4pac+(K$98=5)*al_R0_5pac
+(K$98&gt;=6)*(al_R0_6pac+(K$98-6)*al_R0_suppac)</f>
        <v>8862</v>
      </c>
      <c r="M177" s="262">
        <f>(M$98=0)*IF(M$3="isolé",al_R0_I0,al_R0_C0)
+(M$98=1)*al_R0_1pac+(M$98=2)*al_R0_2pac+(M$98=3)*al_R0_3pac+(M$98=4)*al_R0_4pac+(M$98=5)*al_R0_5pac
+(M$98&gt;=6)*(al_R0_6pac+(M$98-6)*al_R0_suppac)</f>
        <v>9061</v>
      </c>
      <c r="N177" s="262">
        <f>(N$98=0)*IF(N$3="isolé",al_R0_I0,al_R0_C0)
+(N$98=1)*al_R0_1pac+(N$98=2)*al_R0_2pac+(N$98=3)*al_R0_3pac+(N$98=4)*al_R0_4pac+(N$98=5)*al_R0_5pac
+(N$98&gt;=6)*(al_R0_6pac+(N$98-6)*al_R0_suppac)</f>
        <v>9061</v>
      </c>
      <c r="O177" s="262">
        <f>(O$98=0)*IF(O$3="isolé",al_R0_I0,al_R0_C0)
+(O$98=1)*al_R0_1pac+(O$98=2)*al_R0_2pac+(O$98=3)*al_R0_3pac+(O$98=4)*al_R0_4pac+(O$98=5)*al_R0_5pac
+(O$98&gt;=6)*(al_R0_6pac+(O$98-6)*al_R0_suppac)</f>
        <v>9061</v>
      </c>
      <c r="P177" s="262">
        <f>(P$98=0)*IF(P$3="isolé",al_R0_I0,al_R0_C0)
+(P$98=1)*al_R0_1pac+(P$98=2)*al_R0_2pac+(P$98=3)*al_R0_3pac+(P$98=4)*al_R0_4pac+(P$98=5)*al_R0_5pac
+(P$98&gt;=6)*(al_R0_6pac+(P$98-6)*al_R0_suppac)</f>
        <v>9061</v>
      </c>
      <c r="R177" s="262">
        <f>(R$98=0)*IF(R$3="isolé",al_R0_I0,al_R0_C0)
+(R$98=1)*al_R0_1pac+(R$98=2)*al_R0_2pac+(R$98=3)*al_R0_3pac+(R$98=4)*al_R0_4pac+(R$98=5)*al_R0_5pac
+(R$98&gt;=6)*(al_R0_6pac+(R$98-6)*al_R0_suppac)</f>
        <v>9408</v>
      </c>
      <c r="S177" s="262">
        <f>(S$98=0)*IF(S$3="isolé",al_R0_I0,al_R0_C0)
+(S$98=1)*al_R0_1pac+(S$98=2)*al_R0_2pac+(S$98=3)*al_R0_3pac+(S$98=4)*al_R0_4pac+(S$98=5)*al_R0_5pac
+(S$98&gt;=6)*(al_R0_6pac+(S$98-6)*al_R0_suppac)</f>
        <v>9408</v>
      </c>
      <c r="T177" s="262">
        <f>(T$98=0)*IF(T$3="isolé",al_R0_I0,al_R0_C0)
+(T$98=1)*al_R0_1pac+(T$98=2)*al_R0_2pac+(T$98=3)*al_R0_3pac+(T$98=4)*al_R0_4pac+(T$98=5)*al_R0_5pac
+(T$98&gt;=6)*(al_R0_6pac+(T$98-6)*al_R0_suppac)</f>
        <v>9408</v>
      </c>
      <c r="U177" s="262">
        <f>(U$98=0)*IF(U$3="isolé",al_R0_I0,al_R0_C0)
+(U$98=1)*al_R0_1pac+(U$98=2)*al_R0_2pac+(U$98=3)*al_R0_3pac+(U$98=4)*al_R0_4pac+(U$98=5)*al_R0_5pac
+(U$98&gt;=6)*(al_R0_6pac+(U$98-6)*al_R0_suppac)</f>
        <v>9408</v>
      </c>
    </row>
    <row r="178" spans="1:21" x14ac:dyDescent="0.25">
      <c r="A178" s="274" t="s">
        <v>195</v>
      </c>
      <c r="B178" s="259"/>
      <c r="C178" s="269">
        <f t="shared" ref="C178:D178" si="67">ROUND(MAX(al_p0,al_p0_taux*C176),2)</f>
        <v>37.909999999999997</v>
      </c>
      <c r="D178" s="269">
        <f t="shared" si="67"/>
        <v>37.909999999999997</v>
      </c>
      <c r="E178" s="269">
        <f t="shared" ref="E178:F178" si="68">ROUND(MAX(al_p0,al_p0_taux*E176),2)</f>
        <v>37.909999999999997</v>
      </c>
      <c r="F178" s="269">
        <f t="shared" si="68"/>
        <v>37.909999999999997</v>
      </c>
      <c r="H178" s="269">
        <f t="shared" ref="H178:K178" si="69">ROUND(MAX(al_p0,al_p0_taux*H176),2)</f>
        <v>38.64</v>
      </c>
      <c r="I178" s="269">
        <f t="shared" si="69"/>
        <v>38.64</v>
      </c>
      <c r="J178" s="269">
        <f t="shared" si="69"/>
        <v>38.64</v>
      </c>
      <c r="K178" s="269">
        <f t="shared" si="69"/>
        <v>38.64</v>
      </c>
      <c r="M178" s="269">
        <f t="shared" ref="M178:P178" si="70">ROUND(MAX(al_p0,al_p0_taux*M176),2)</f>
        <v>44.5</v>
      </c>
      <c r="N178" s="269">
        <f t="shared" si="70"/>
        <v>44.5</v>
      </c>
      <c r="O178" s="269">
        <f t="shared" si="70"/>
        <v>44.5</v>
      </c>
      <c r="P178" s="269">
        <f t="shared" si="70"/>
        <v>44.5</v>
      </c>
      <c r="R178" s="269">
        <f t="shared" ref="R178:U178" si="71">ROUND(MAX(al_p0,al_p0_taux*R176),2)</f>
        <v>50.36</v>
      </c>
      <c r="S178" s="269">
        <f t="shared" si="71"/>
        <v>50.36</v>
      </c>
      <c r="T178" s="269">
        <f t="shared" si="71"/>
        <v>50.36</v>
      </c>
      <c r="U178" s="269">
        <f t="shared" si="71"/>
        <v>50.36</v>
      </c>
    </row>
    <row r="179" spans="1:21" x14ac:dyDescent="0.25">
      <c r="A179" s="275" t="s">
        <v>192</v>
      </c>
      <c r="B179" s="259"/>
      <c r="C179" s="270">
        <f>(C$98=0)*IF(C$3="isolé",al_tf_I0,al_tf_C0)
+(C$98=1)*al_tf_1pac+(C$98=2)*al_tf_2pac+(C$98=3)*al_tf_3pac+(C$98&gt;=4)*(al_tf_4pac+(C$98-4)*al_tf_suppac)</f>
        <v>2.8299999999999999E-2</v>
      </c>
      <c r="D179" s="270">
        <f>(D$98=0)*IF(D$3="isolé",al_tf_I0,al_tf_C0)
+(D$98=1)*al_tf_1pac+(D$98=2)*al_tf_2pac+(D$98=3)*al_tf_3pac+(D$98&gt;=4)*(al_tf_4pac+(D$98-4)*al_tf_suppac)</f>
        <v>2.8299999999999999E-2</v>
      </c>
      <c r="E179" s="270">
        <f>(E$98=0)*IF(E$3="isolé",al_tf_I0,al_tf_C0)
+(E$98=1)*al_tf_1pac+(E$98=2)*al_tf_2pac+(E$98=3)*al_tf_3pac+(E$98&gt;=4)*(al_tf_4pac+(E$98-4)*al_tf_suppac)</f>
        <v>2.8299999999999999E-2</v>
      </c>
      <c r="F179" s="270">
        <f>(F$98=0)*IF(F$3="isolé",al_tf_I0,al_tf_C0)
+(F$98=1)*al_tf_1pac+(F$98=2)*al_tf_2pac+(F$98=3)*al_tf_3pac+(F$98&gt;=4)*(al_tf_4pac+(F$98-4)*al_tf_suppac)</f>
        <v>2.8299999999999999E-2</v>
      </c>
      <c r="H179" s="270">
        <f>(H$98=0)*IF(H$3="isolé",al_tf_I0,al_tf_C0)
+(H$98=1)*al_tf_1pac+(H$98=2)*al_tf_2pac+(H$98=3)*al_tf_3pac+(H$98&gt;=4)*(al_tf_4pac+(H$98-4)*al_tf_suppac)</f>
        <v>2.7E-2</v>
      </c>
      <c r="I179" s="270">
        <f>(I$98=0)*IF(I$3="isolé",al_tf_I0,al_tf_C0)
+(I$98=1)*al_tf_1pac+(I$98=2)*al_tf_2pac+(I$98=3)*al_tf_3pac+(I$98&gt;=4)*(al_tf_4pac+(I$98-4)*al_tf_suppac)</f>
        <v>2.7E-2</v>
      </c>
      <c r="J179" s="270">
        <f>(J$98=0)*IF(J$3="isolé",al_tf_I0,al_tf_C0)
+(J$98=1)*al_tf_1pac+(J$98=2)*al_tf_2pac+(J$98=3)*al_tf_3pac+(J$98&gt;=4)*(al_tf_4pac+(J$98-4)*al_tf_suppac)</f>
        <v>2.7E-2</v>
      </c>
      <c r="K179" s="270">
        <f>(K$98=0)*IF(K$3="isolé",al_tf_I0,al_tf_C0)
+(K$98=1)*al_tf_1pac+(K$98=2)*al_tf_2pac+(K$98=3)*al_tf_3pac+(K$98&gt;=4)*(al_tf_4pac+(K$98-4)*al_tf_suppac)</f>
        <v>2.7E-2</v>
      </c>
      <c r="M179" s="270">
        <f>(M$98=0)*IF(M$3="isolé",al_tf_I0,al_tf_C0)
+(M$98=1)*al_tf_1pac+(M$98=2)*al_tf_2pac+(M$98=3)*al_tf_3pac+(M$98&gt;=4)*(al_tf_4pac+(M$98-4)*al_tf_suppac)</f>
        <v>2.3800000000000002E-2</v>
      </c>
      <c r="N179" s="270">
        <f>(N$98=0)*IF(N$3="isolé",al_tf_I0,al_tf_C0)
+(N$98=1)*al_tf_1pac+(N$98=2)*al_tf_2pac+(N$98=3)*al_tf_3pac+(N$98&gt;=4)*(al_tf_4pac+(N$98-4)*al_tf_suppac)</f>
        <v>2.3800000000000002E-2</v>
      </c>
      <c r="O179" s="270">
        <f>(O$98=0)*IF(O$3="isolé",al_tf_I0,al_tf_C0)
+(O$98=1)*al_tf_1pac+(O$98=2)*al_tf_2pac+(O$98=3)*al_tf_3pac+(O$98&gt;=4)*(al_tf_4pac+(O$98-4)*al_tf_suppac)</f>
        <v>2.3800000000000002E-2</v>
      </c>
      <c r="P179" s="270">
        <f>(P$98=0)*IF(P$3="isolé",al_tf_I0,al_tf_C0)
+(P$98=1)*al_tf_1pac+(P$98=2)*al_tf_2pac+(P$98=3)*al_tf_3pac+(P$98&gt;=4)*(al_tf_4pac+(P$98-4)*al_tf_suppac)</f>
        <v>2.3800000000000002E-2</v>
      </c>
      <c r="R179" s="270">
        <f>(R$98=0)*IF(R$3="isolé",al_tf_I0,al_tf_C0)
+(R$98=1)*al_tf_1pac+(R$98=2)*al_tf_2pac+(R$98=3)*al_tf_3pac+(R$98&gt;=4)*(al_tf_4pac+(R$98-4)*al_tf_suppac)</f>
        <v>2.01E-2</v>
      </c>
      <c r="S179" s="270">
        <f>(S$98=0)*IF(S$3="isolé",al_tf_I0,al_tf_C0)
+(S$98=1)*al_tf_1pac+(S$98=2)*al_tf_2pac+(S$98=3)*al_tf_3pac+(S$98&gt;=4)*(al_tf_4pac+(S$98-4)*al_tf_suppac)</f>
        <v>2.01E-2</v>
      </c>
      <c r="T179" s="270">
        <f>(T$98=0)*IF(T$3="isolé",al_tf_I0,al_tf_C0)
+(T$98=1)*al_tf_1pac+(T$98=2)*al_tf_2pac+(T$98=3)*al_tf_3pac+(T$98&gt;=4)*(al_tf_4pac+(T$98-4)*al_tf_suppac)</f>
        <v>2.01E-2</v>
      </c>
      <c r="U179" s="270">
        <f>(U$98=0)*IF(U$3="isolé",al_tf_I0,al_tf_C0)
+(U$98=1)*al_tf_1pac+(U$98=2)*al_tf_2pac+(U$98=3)*al_tf_3pac+(U$98&gt;=4)*(al_tf_4pac+(U$98-4)*al_tf_suppac)</f>
        <v>2.01E-2</v>
      </c>
    </row>
    <row r="180" spans="1:21" x14ac:dyDescent="0.25">
      <c r="A180" s="275" t="s">
        <v>193</v>
      </c>
      <c r="B180" s="259"/>
      <c r="C180" s="278">
        <f t="shared" ref="C180:U180" si="72">(C$29=1)*al_tl_z1+(C$29=2)*al_tl_z2+(C$29=3)*al_tl_z3</f>
        <v>3.0500000000000006E-3</v>
      </c>
      <c r="D180" s="278">
        <f t="shared" si="72"/>
        <v>3.0500000000000006E-3</v>
      </c>
      <c r="E180" s="278">
        <f t="shared" si="72"/>
        <v>3.0500000000000006E-3</v>
      </c>
      <c r="F180" s="278">
        <f t="shared" si="72"/>
        <v>3.0500000000000006E-3</v>
      </c>
      <c r="H180" s="278">
        <f t="shared" si="72"/>
        <v>3.0500000000000006E-3</v>
      </c>
      <c r="I180" s="278">
        <f t="shared" si="72"/>
        <v>3.0500000000000006E-3</v>
      </c>
      <c r="J180" s="278">
        <f t="shared" si="72"/>
        <v>3.0500000000000006E-3</v>
      </c>
      <c r="K180" s="278">
        <f t="shared" si="72"/>
        <v>3.0500000000000006E-3</v>
      </c>
      <c r="M180" s="278">
        <f t="shared" si="72"/>
        <v>3.0500000000000006E-3</v>
      </c>
      <c r="N180" s="278">
        <f t="shared" si="72"/>
        <v>3.0500000000000006E-3</v>
      </c>
      <c r="O180" s="278">
        <f t="shared" si="72"/>
        <v>3.0500000000000006E-3</v>
      </c>
      <c r="P180" s="278">
        <f t="shared" si="72"/>
        <v>3.0500000000000006E-3</v>
      </c>
      <c r="R180" s="278">
        <f t="shared" si="72"/>
        <v>3.0500000000000006E-3</v>
      </c>
      <c r="S180" s="278">
        <f t="shared" si="72"/>
        <v>3.0500000000000006E-3</v>
      </c>
      <c r="T180" s="278">
        <f t="shared" si="72"/>
        <v>3.0500000000000006E-3</v>
      </c>
      <c r="U180" s="278">
        <f t="shared" si="72"/>
        <v>3.0500000000000006E-3</v>
      </c>
    </row>
    <row r="181" spans="1:21" x14ac:dyDescent="0.25">
      <c r="A181" s="275" t="s">
        <v>194</v>
      </c>
      <c r="B181" s="259"/>
      <c r="C181" s="271">
        <f t="shared" ref="C181:D181" si="73">C178+(C179+C180)*MAX(0,C172-C177)</f>
        <v>37.909999999999997</v>
      </c>
      <c r="D181" s="271">
        <f t="shared" si="73"/>
        <v>112.8245049205709</v>
      </c>
      <c r="E181" s="271">
        <f t="shared" ref="E181:F181" si="74">E178+(E179+E180)*MAX(0,E172-E177)</f>
        <v>350.32010984114186</v>
      </c>
      <c r="F181" s="271">
        <f t="shared" si="74"/>
        <v>587.81571476171268</v>
      </c>
      <c r="H181" s="271">
        <f t="shared" ref="H181:K181" si="75">H178+(H179+H180)*MAX(0,H172-H177)</f>
        <v>38.64</v>
      </c>
      <c r="I181" s="271">
        <f t="shared" si="75"/>
        <v>38.64</v>
      </c>
      <c r="J181" s="271">
        <f t="shared" si="75"/>
        <v>227.63150464836718</v>
      </c>
      <c r="K181" s="271">
        <f t="shared" si="75"/>
        <v>455.27880697255074</v>
      </c>
      <c r="M181" s="271">
        <f t="shared" ref="M181:P181" si="76">M178+(M179+M180)*MAX(0,M172-M177)</f>
        <v>44.5</v>
      </c>
      <c r="N181" s="271">
        <f t="shared" si="76"/>
        <v>44.5</v>
      </c>
      <c r="O181" s="271">
        <f t="shared" si="76"/>
        <v>208.02280340461428</v>
      </c>
      <c r="P181" s="271">
        <f t="shared" si="76"/>
        <v>411.4281301069214</v>
      </c>
      <c r="R181" s="271">
        <f t="shared" ref="R181:U181" si="77">R178+(R179+R180)*MAX(0,R172-R177)</f>
        <v>50.36</v>
      </c>
      <c r="S181" s="271">
        <f t="shared" si="77"/>
        <v>50.36</v>
      </c>
      <c r="T181" s="271">
        <f t="shared" si="77"/>
        <v>183.31588477902494</v>
      </c>
      <c r="U181" s="271">
        <f t="shared" si="77"/>
        <v>358.69142716853742</v>
      </c>
    </row>
    <row r="182" spans="1:21" ht="13" x14ac:dyDescent="0.3">
      <c r="A182" s="275" t="s">
        <v>210</v>
      </c>
      <c r="C182" s="264">
        <f t="shared" ref="C182:D182" si="78">MAX(C176-C181,0)</f>
        <v>298.44999999999993</v>
      </c>
      <c r="D182" s="264">
        <f t="shared" si="78"/>
        <v>223.53549507942904</v>
      </c>
      <c r="E182" s="264">
        <f t="shared" ref="E182:F182" si="79">MAX(E176-E181,0)</f>
        <v>0</v>
      </c>
      <c r="F182" s="264">
        <f t="shared" si="79"/>
        <v>0</v>
      </c>
      <c r="H182" s="264">
        <f t="shared" ref="H182:K182" si="80">MAX(H176-H181,0)</f>
        <v>415.89</v>
      </c>
      <c r="I182" s="264">
        <f t="shared" si="80"/>
        <v>415.89</v>
      </c>
      <c r="J182" s="264">
        <f t="shared" si="80"/>
        <v>226.89849535163279</v>
      </c>
      <c r="K182" s="264">
        <f t="shared" si="80"/>
        <v>0</v>
      </c>
      <c r="M182" s="264">
        <f t="shared" ref="M182:P182" si="81">MAX(M176-M181,0)</f>
        <v>478.99</v>
      </c>
      <c r="N182" s="264">
        <f t="shared" si="81"/>
        <v>478.99</v>
      </c>
      <c r="O182" s="264">
        <f t="shared" si="81"/>
        <v>315.46719659538576</v>
      </c>
      <c r="P182" s="264">
        <f t="shared" si="81"/>
        <v>112.06186989307861</v>
      </c>
      <c r="R182" s="264">
        <f t="shared" ref="R182:U182" si="82">MAX(R176-R181,0)</f>
        <v>542.08999999999992</v>
      </c>
      <c r="S182" s="264">
        <f t="shared" si="82"/>
        <v>542.08999999999992</v>
      </c>
      <c r="T182" s="264">
        <f t="shared" si="82"/>
        <v>409.13411522097499</v>
      </c>
      <c r="U182" s="264">
        <f t="shared" si="82"/>
        <v>233.75857283146252</v>
      </c>
    </row>
    <row r="183" spans="1:21" ht="13" x14ac:dyDescent="0.3">
      <c r="A183" s="275" t="s">
        <v>211</v>
      </c>
      <c r="C183" s="264">
        <f>(C$29=1)*(IF((C173/C174)&lt;al_seuil1_deg_z1,C182,IF((C173/C174)&lt;al_seuil2_deg_z1,(1-((C173/C174)-al_seuil1_deg_z1)/(al_seuil2_deg_z1-al_seuil1_deg_z1))*C182,0)))
+(C$29=2)*(IF((C173/C174)&lt;al_seuil1_deg_z2,C182,IF((C173/C174)&lt;al_seuil2_deg_z2,(1-((C173/C174)-al_seuil1_deg_z2)/(al_seuil2_deg_z2-al_seuil1_deg_z2))*C182,0)))
+(C$29=3)*(IF((C173/C174)&lt;al_seuil1_deg_z3,C182,IF((C173/C174)&lt;al_seuil2_deg_z3,(1-((C173/C174)-al_seuil1_deg_z3)/(al_seuil2_deg_z3-al_seuil1_deg_z3))*C182,0)))</f>
        <v>298.44999999999993</v>
      </c>
      <c r="D183" s="264">
        <f>(D$29=1)*(IF((D173/D174)&lt;al_seuil1_deg_z1,D182,IF((D173/D174)&lt;al_seuil2_deg_z1,(1-((D173/D174)-al_seuil1_deg_z1)/(al_seuil2_deg_z1-al_seuil1_deg_z1))*D182,0)))
+(D$29=2)*(IF((D173/D174)&lt;al_seuil1_deg_z2,D182,IF((D173/D174)&lt;al_seuil2_deg_z2,(1-((D173/D174)-al_seuil1_deg_z2)/(al_seuil2_deg_z2-al_seuil1_deg_z2))*D182,0)))
+(D$29=3)*(IF((D173/D174)&lt;al_seuil1_deg_z3,D182,IF((D173/D174)&lt;al_seuil2_deg_z3,(1-((D173/D174)-al_seuil1_deg_z3)/(al_seuil2_deg_z3-al_seuil1_deg_z3))*D182,0)))</f>
        <v>223.53549507942904</v>
      </c>
      <c r="E183" s="264">
        <f>(E$29=1)*(IF((E173/E174)&lt;al_seuil1_deg_z1,E182,IF((E173/E174)&lt;al_seuil2_deg_z1,(1-((E173/E174)-al_seuil1_deg_z1)/(al_seuil2_deg_z1-al_seuil1_deg_z1))*E182,0)))
+(E$29=2)*(IF((E173/E174)&lt;al_seuil1_deg_z2,E182,IF((E173/E174)&lt;al_seuil2_deg_z2,(1-((E173/E174)-al_seuil1_deg_z2)/(al_seuil2_deg_z2-al_seuil1_deg_z2))*E182,0)))
+(E$29=3)*(IF((E173/E174)&lt;al_seuil1_deg_z3,E182,IF((E173/E174)&lt;al_seuil2_deg_z3,(1-((E173/E174)-al_seuil1_deg_z3)/(al_seuil2_deg_z3-al_seuil1_deg_z3))*E182,0)))</f>
        <v>0</v>
      </c>
      <c r="F183" s="264">
        <f>(F$29=1)*(IF((F173/F174)&lt;al_seuil1_deg_z1,F182,IF((F173/F174)&lt;al_seuil2_deg_z1,(1-((F173/F174)-al_seuil1_deg_z1)/(al_seuil2_deg_z1-al_seuil1_deg_z1))*F182,0)))
+(F$29=2)*(IF((F173/F174)&lt;al_seuil1_deg_z2,F182,IF((F173/F174)&lt;al_seuil2_deg_z2,(1-((F173/F174)-al_seuil1_deg_z2)/(al_seuil2_deg_z2-al_seuil1_deg_z2))*F182,0)))
+(F$29=3)*(IF((F173/F174)&lt;al_seuil1_deg_z3,F182,IF((F173/F174)&lt;al_seuil2_deg_z3,(1-((F173/F174)-al_seuil1_deg_z3)/(al_seuil2_deg_z3-al_seuil1_deg_z3))*F182,0)))</f>
        <v>0</v>
      </c>
      <c r="H183" s="264">
        <f>(H$29=1)*(IF((H173/H174)&lt;al_seuil1_deg_z1,H182,IF((H173/H174)&lt;al_seuil2_deg_z1,(1-((H173/H174)-al_seuil1_deg_z1)/(al_seuil2_deg_z1-al_seuil1_deg_z1))*H182,0)))
+(H$29=2)*(IF((H173/H174)&lt;al_seuil1_deg_z2,H182,IF((H173/H174)&lt;al_seuil2_deg_z2,(1-((H173/H174)-al_seuil1_deg_z2)/(al_seuil2_deg_z2-al_seuil1_deg_z2))*H182,0)))
+(H$29=3)*(IF((H173/H174)&lt;al_seuil1_deg_z3,H182,IF((H173/H174)&lt;al_seuil2_deg_z3,(1-((H173/H174)-al_seuil1_deg_z3)/(al_seuil2_deg_z3-al_seuil1_deg_z3))*H182,0)))</f>
        <v>415.89</v>
      </c>
      <c r="I183" s="264">
        <f>(I$29=1)*(IF((I173/I174)&lt;al_seuil1_deg_z1,I182,IF((I173/I174)&lt;al_seuil2_deg_z1,(1-((I173/I174)-al_seuil1_deg_z1)/(al_seuil2_deg_z1-al_seuil1_deg_z1))*I182,0)))
+(I$29=2)*(IF((I173/I174)&lt;al_seuil1_deg_z2,I182,IF((I173/I174)&lt;al_seuil2_deg_z2,(1-((I173/I174)-al_seuil1_deg_z2)/(al_seuil2_deg_z2-al_seuil1_deg_z2))*I182,0)))
+(I$29=3)*(IF((I173/I174)&lt;al_seuil1_deg_z3,I182,IF((I173/I174)&lt;al_seuil2_deg_z3,(1-((I173/I174)-al_seuil1_deg_z3)/(al_seuil2_deg_z3-al_seuil1_deg_z3))*I182,0)))</f>
        <v>415.89</v>
      </c>
      <c r="J183" s="264">
        <f>(J$29=1)*(IF((J173/J174)&lt;al_seuil1_deg_z1,J182,IF((J173/J174)&lt;al_seuil2_deg_z1,(1-((J173/J174)-al_seuil1_deg_z1)/(al_seuil2_deg_z1-al_seuil1_deg_z1))*J182,0)))
+(J$29=2)*(IF((J173/J174)&lt;al_seuil1_deg_z2,J182,IF((J173/J174)&lt;al_seuil2_deg_z2,(1-((J173/J174)-al_seuil1_deg_z2)/(al_seuil2_deg_z2-al_seuil1_deg_z2))*J182,0)))
+(J$29=3)*(IF((J173/J174)&lt;al_seuil1_deg_z3,J182,IF((J173/J174)&lt;al_seuil2_deg_z3,(1-((J173/J174)-al_seuil1_deg_z3)/(al_seuil2_deg_z3-al_seuil1_deg_z3))*J182,0)))</f>
        <v>226.89849535163279</v>
      </c>
      <c r="K183" s="264">
        <f>(K$29=1)*(IF((K173/K174)&lt;al_seuil1_deg_z1,K182,IF((K173/K174)&lt;al_seuil2_deg_z1,(1-((K173/K174)-al_seuil1_deg_z1)/(al_seuil2_deg_z1-al_seuil1_deg_z1))*K182,0)))
+(K$29=2)*(IF((K173/K174)&lt;al_seuil1_deg_z2,K182,IF((K173/K174)&lt;al_seuil2_deg_z2,(1-((K173/K174)-al_seuil1_deg_z2)/(al_seuil2_deg_z2-al_seuil1_deg_z2))*K182,0)))
+(K$29=3)*(IF((K173/K174)&lt;al_seuil1_deg_z3,K182,IF((K173/K174)&lt;al_seuil2_deg_z3,(1-((K173/K174)-al_seuil1_deg_z3)/(al_seuil2_deg_z3-al_seuil1_deg_z3))*K182,0)))</f>
        <v>0</v>
      </c>
      <c r="M183" s="264">
        <f>(M$29=1)*(IF((M173/M174)&lt;al_seuil1_deg_z1,M182,IF((M173/M174)&lt;al_seuil2_deg_z1,(1-((M173/M174)-al_seuil1_deg_z1)/(al_seuil2_deg_z1-al_seuil1_deg_z1))*M182,0)))
+(M$29=2)*(IF((M173/M174)&lt;al_seuil1_deg_z2,M182,IF((M173/M174)&lt;al_seuil2_deg_z2,(1-((M173/M174)-al_seuil1_deg_z2)/(al_seuil2_deg_z2-al_seuil1_deg_z2))*M182,0)))
+(M$29=3)*(IF((M173/M174)&lt;al_seuil1_deg_z3,M182,IF((M173/M174)&lt;al_seuil2_deg_z3,(1-((M173/M174)-al_seuil1_deg_z3)/(al_seuil2_deg_z3-al_seuil1_deg_z3))*M182,0)))</f>
        <v>478.99</v>
      </c>
      <c r="N183" s="264">
        <f>(N$29=1)*(IF((N173/N174)&lt;al_seuil1_deg_z1,N182,IF((N173/N174)&lt;al_seuil2_deg_z1,(1-((N173/N174)-al_seuil1_deg_z1)/(al_seuil2_deg_z1-al_seuil1_deg_z1))*N182,0)))
+(N$29=2)*(IF((N173/N174)&lt;al_seuil1_deg_z2,N182,IF((N173/N174)&lt;al_seuil2_deg_z2,(1-((N173/N174)-al_seuil1_deg_z2)/(al_seuil2_deg_z2-al_seuil1_deg_z2))*N182,0)))
+(N$29=3)*(IF((N173/N174)&lt;al_seuil1_deg_z3,N182,IF((N173/N174)&lt;al_seuil2_deg_z3,(1-((N173/N174)-al_seuil1_deg_z3)/(al_seuil2_deg_z3-al_seuil1_deg_z3))*N182,0)))</f>
        <v>478.99</v>
      </c>
      <c r="O183" s="264">
        <f>(O$29=1)*(IF((O173/O174)&lt;al_seuil1_deg_z1,O182,IF((O173/O174)&lt;al_seuil2_deg_z1,(1-((O173/O174)-al_seuil1_deg_z1)/(al_seuil2_deg_z1-al_seuil1_deg_z1))*O182,0)))
+(O$29=2)*(IF((O173/O174)&lt;al_seuil1_deg_z2,O182,IF((O173/O174)&lt;al_seuil2_deg_z2,(1-((O173/O174)-al_seuil1_deg_z2)/(al_seuil2_deg_z2-al_seuil1_deg_z2))*O182,0)))
+(O$29=3)*(IF((O173/O174)&lt;al_seuil1_deg_z3,O182,IF((O173/O174)&lt;al_seuil2_deg_z3,(1-((O173/O174)-al_seuil1_deg_z3)/(al_seuil2_deg_z3-al_seuil1_deg_z3))*O182,0)))</f>
        <v>315.46719659538576</v>
      </c>
      <c r="P183" s="264">
        <f>(P$29=1)*(IF((P173/P174)&lt;al_seuil1_deg_z1,P182,IF((P173/P174)&lt;al_seuil2_deg_z1,(1-((P173/P174)-al_seuil1_deg_z1)/(al_seuil2_deg_z1-al_seuil1_deg_z1))*P182,0)))
+(P$29=2)*(IF((P173/P174)&lt;al_seuil1_deg_z2,P182,IF((P173/P174)&lt;al_seuil2_deg_z2,(1-((P173/P174)-al_seuil1_deg_z2)/(al_seuil2_deg_z2-al_seuil1_deg_z2))*P182,0)))
+(P$29=3)*(IF((P173/P174)&lt;al_seuil1_deg_z3,P182,IF((P173/P174)&lt;al_seuil2_deg_z3,(1-((P173/P174)-al_seuil1_deg_z3)/(al_seuil2_deg_z3-al_seuil1_deg_z3))*P182,0)))</f>
        <v>112.06186989307861</v>
      </c>
      <c r="R183" s="264">
        <f>(R$29=1)*(IF((R173/R174)&lt;al_seuil1_deg_z1,R182,IF((R173/R174)&lt;al_seuil2_deg_z1,(1-((R173/R174)-al_seuil1_deg_z1)/(al_seuil2_deg_z1-al_seuil1_deg_z1))*R182,0)))
+(R$29=2)*(IF((R173/R174)&lt;al_seuil1_deg_z2,R182,IF((R173/R174)&lt;al_seuil2_deg_z2,(1-((R173/R174)-al_seuil1_deg_z2)/(al_seuil2_deg_z2-al_seuil1_deg_z2))*R182,0)))
+(R$29=3)*(IF((R173/R174)&lt;al_seuil1_deg_z3,R182,IF((R173/R174)&lt;al_seuil2_deg_z3,(1-((R173/R174)-al_seuil1_deg_z3)/(al_seuil2_deg_z3-al_seuil1_deg_z3))*R182,0)))</f>
        <v>542.08999999999992</v>
      </c>
      <c r="S183" s="264">
        <f>(S$29=1)*(IF((S173/S174)&lt;al_seuil1_deg_z1,S182,IF((S173/S174)&lt;al_seuil2_deg_z1,(1-((S173/S174)-al_seuil1_deg_z1)/(al_seuil2_deg_z1-al_seuil1_deg_z1))*S182,0)))
+(S$29=2)*(IF((S173/S174)&lt;al_seuil1_deg_z2,S182,IF((S173/S174)&lt;al_seuil2_deg_z2,(1-((S173/S174)-al_seuil1_deg_z2)/(al_seuil2_deg_z2-al_seuil1_deg_z2))*S182,0)))
+(S$29=3)*(IF((S173/S174)&lt;al_seuil1_deg_z3,S182,IF((S173/S174)&lt;al_seuil2_deg_z3,(1-((S173/S174)-al_seuil1_deg_z3)/(al_seuil2_deg_z3-al_seuil1_deg_z3))*S182,0)))</f>
        <v>542.08999999999992</v>
      </c>
      <c r="T183" s="264">
        <f>(T$29=1)*(IF((T173/T174)&lt;al_seuil1_deg_z1,T182,IF((T173/T174)&lt;al_seuil2_deg_z1,(1-((T173/T174)-al_seuil1_deg_z1)/(al_seuil2_deg_z1-al_seuil1_deg_z1))*T182,0)))
+(T$29=2)*(IF((T173/T174)&lt;al_seuil1_deg_z2,T182,IF((T173/T174)&lt;al_seuil2_deg_z2,(1-((T173/T174)-al_seuil1_deg_z2)/(al_seuil2_deg_z2-al_seuil1_deg_z2))*T182,0)))
+(T$29=3)*(IF((T173/T174)&lt;al_seuil1_deg_z3,T182,IF((T173/T174)&lt;al_seuil2_deg_z3,(1-((T173/T174)-al_seuil1_deg_z3)/(al_seuil2_deg_z3-al_seuil1_deg_z3))*T182,0)))</f>
        <v>409.13411522097499</v>
      </c>
      <c r="U183" s="264">
        <f>(U$29=1)*(IF((U173/U174)&lt;al_seuil1_deg_z1,U182,IF((U173/U174)&lt;al_seuil2_deg_z1,(1-((U173/U174)-al_seuil1_deg_z1)/(al_seuil2_deg_z1-al_seuil1_deg_z1))*U182,0)))
+(U$29=2)*(IF((U173/U174)&lt;al_seuil1_deg_z2,U182,IF((U173/U174)&lt;al_seuil2_deg_z2,(1-((U173/U174)-al_seuil1_deg_z2)/(al_seuil2_deg_z2-al_seuil1_deg_z2))*U182,0)))
+(U$29=3)*(IF((U173/U174)&lt;al_seuil1_deg_z3,U182,IF((U173/U174)&lt;al_seuil2_deg_z3,(1-((U173/U174)-al_seuil1_deg_z3)/(al_seuil2_deg_z3-al_seuil1_deg_z3))*U182,0)))</f>
        <v>233.75857283146252</v>
      </c>
    </row>
    <row r="184" spans="1:21" ht="13" x14ac:dyDescent="0.3">
      <c r="A184" s="275" t="s">
        <v>212</v>
      </c>
      <c r="B184" s="10"/>
      <c r="C184" s="264">
        <f t="shared" ref="C184:D184" si="83">C183-al_reduc</f>
        <v>293.44999999999993</v>
      </c>
      <c r="D184" s="264">
        <f t="shared" si="83"/>
        <v>218.53549507942904</v>
      </c>
      <c r="E184" s="264">
        <f t="shared" ref="E184:F184" si="84">E183-al_reduc</f>
        <v>-5</v>
      </c>
      <c r="F184" s="264">
        <f t="shared" si="84"/>
        <v>-5</v>
      </c>
      <c r="H184" s="264">
        <f t="shared" ref="H184:K184" si="85">H183-al_reduc</f>
        <v>410.89</v>
      </c>
      <c r="I184" s="264">
        <f t="shared" si="85"/>
        <v>410.89</v>
      </c>
      <c r="J184" s="264">
        <f t="shared" si="85"/>
        <v>221.89849535163279</v>
      </c>
      <c r="K184" s="264">
        <f t="shared" si="85"/>
        <v>-5</v>
      </c>
      <c r="M184" s="264">
        <f t="shared" ref="M184:P184" si="86">M183-al_reduc</f>
        <v>473.99</v>
      </c>
      <c r="N184" s="264">
        <f t="shared" si="86"/>
        <v>473.99</v>
      </c>
      <c r="O184" s="264">
        <f t="shared" si="86"/>
        <v>310.46719659538576</v>
      </c>
      <c r="P184" s="264">
        <f t="shared" si="86"/>
        <v>107.06186989307861</v>
      </c>
      <c r="R184" s="264">
        <f t="shared" ref="R184:U184" si="87">R183-al_reduc</f>
        <v>537.08999999999992</v>
      </c>
      <c r="S184" s="264">
        <f t="shared" si="87"/>
        <v>537.08999999999992</v>
      </c>
      <c r="T184" s="264">
        <f t="shared" si="87"/>
        <v>404.13411522097499</v>
      </c>
      <c r="U184" s="264">
        <f t="shared" si="87"/>
        <v>228.75857283146252</v>
      </c>
    </row>
    <row r="185" spans="1:21" ht="13.5" thickBot="1" x14ac:dyDescent="0.35">
      <c r="A185" s="288" t="s">
        <v>213</v>
      </c>
      <c r="B185" s="290"/>
      <c r="C185" s="291">
        <f t="shared" ref="C185:D185" si="88">IF(ROUNDDOWN(C184,0)&gt;=al_seuil_versement,C184,0)*(1-taux_CRDS)</f>
        <v>291.98274999999995</v>
      </c>
      <c r="D185" s="291">
        <f t="shared" si="88"/>
        <v>217.44281760403189</v>
      </c>
      <c r="E185" s="291">
        <f t="shared" ref="E185:F185" si="89">IF(ROUNDDOWN(E184,0)&gt;=al_seuil_versement,E184,0)*(1-taux_CRDS)</f>
        <v>0</v>
      </c>
      <c r="F185" s="291">
        <f t="shared" si="89"/>
        <v>0</v>
      </c>
      <c r="H185" s="291">
        <f t="shared" ref="H185:K185" si="90">IF(ROUNDDOWN(H184,0)&gt;=al_seuil_versement,H184,0)*(1-taux_CRDS)</f>
        <v>408.83555000000001</v>
      </c>
      <c r="I185" s="291">
        <f t="shared" si="90"/>
        <v>408.83555000000001</v>
      </c>
      <c r="J185" s="291">
        <f t="shared" si="90"/>
        <v>220.78900287487463</v>
      </c>
      <c r="K185" s="291">
        <f t="shared" si="90"/>
        <v>0</v>
      </c>
      <c r="M185" s="291">
        <f t="shared" ref="M185:P185" si="91">IF(ROUNDDOWN(M184,0)&gt;=al_seuil_versement,M184,0)*(1-taux_CRDS)</f>
        <v>471.62004999999999</v>
      </c>
      <c r="N185" s="291">
        <f t="shared" si="91"/>
        <v>471.62004999999999</v>
      </c>
      <c r="O185" s="291">
        <f t="shared" si="91"/>
        <v>308.9148606124088</v>
      </c>
      <c r="P185" s="291">
        <f t="shared" si="91"/>
        <v>106.52656054361321</v>
      </c>
      <c r="R185" s="291">
        <f t="shared" ref="R185:U185" si="92">IF(ROUNDDOWN(R184,0)&gt;=al_seuil_versement,R184,0)*(1-taux_CRDS)</f>
        <v>534.40454999999997</v>
      </c>
      <c r="S185" s="291">
        <f t="shared" si="92"/>
        <v>534.40454999999997</v>
      </c>
      <c r="T185" s="291">
        <f t="shared" si="92"/>
        <v>402.11344464487013</v>
      </c>
      <c r="U185" s="291">
        <f t="shared" si="92"/>
        <v>227.6147799673052</v>
      </c>
    </row>
    <row r="186" spans="1:21" ht="13.5" thickBot="1" x14ac:dyDescent="0.35">
      <c r="A186" s="295" t="s">
        <v>496</v>
      </c>
      <c r="C186" s="201"/>
      <c r="D186" s="201"/>
      <c r="E186" s="201"/>
      <c r="F186" s="201"/>
      <c r="H186" s="201"/>
      <c r="I186" s="201"/>
      <c r="J186" s="201"/>
      <c r="K186" s="201"/>
      <c r="M186" s="201"/>
      <c r="N186" s="201"/>
      <c r="O186" s="201"/>
      <c r="P186" s="201"/>
      <c r="R186" s="201"/>
      <c r="S186" s="201"/>
      <c r="T186" s="201"/>
      <c r="U186" s="201"/>
    </row>
    <row r="187" spans="1:21" ht="13" x14ac:dyDescent="0.3">
      <c r="A187" s="286" t="s">
        <v>431</v>
      </c>
      <c r="B187" s="287"/>
      <c r="C187" s="432">
        <f>MAX(0,(Coef_impot/evol_smic)*C$58-MAX(irpp_min_reduc_fp,MIN(irpp_max_reduc_fp,irpp_taux_reduc_fp*(Coef_impot/evol_smic)*C$58)))
+(MAX(0,12*C$52-MAX(irpp_min_reduc_pens,MIN(irpp_max_reduc_pens,irpp_taux_reduc_pens*12*C$52)))
 -12*C$53)*(C$13&lt;&gt;"ga_m")*(C$13&lt;&gt;"ga_p")</f>
        <v>0</v>
      </c>
      <c r="D187" s="432">
        <f>MAX(0,(Coef_impot/evol_smic)*D$58-MAX(irpp_min_reduc_fp,MIN(irpp_max_reduc_fp,irpp_taux_reduc_fp*(Coef_impot/evol_smic)*D$58)))
+(MAX(0,12*D$52-MAX(irpp_min_reduc_pens,MIN(irpp_max_reduc_pens,irpp_taux_reduc_pens*12*D$52)))
 -12*D$53)*(D$13&lt;&gt;"ga_m")*(D$13&lt;&gt;"ga_p")</f>
        <v>7575.6173818363923</v>
      </c>
      <c r="E187" s="432">
        <f>MAX(0,(Coef_impot/evol_smic)*E$58-MAX(irpp_min_reduc_fp,MIN(irpp_max_reduc_fp,irpp_taux_reduc_fp*(Coef_impot/evol_smic)*E$58)))
+(MAX(0,12*E$52-MAX(irpp_min_reduc_pens,MIN(irpp_max_reduc_pens,irpp_taux_reduc_pens*12*E$52)))
 -12*E$53)*(E$13&lt;&gt;"ga_m")*(E$13&lt;&gt;"ga_p")</f>
        <v>15151.234763672785</v>
      </c>
      <c r="F187" s="432">
        <f>MAX(0,(Coef_impot/evol_smic)*F$58-MAX(irpp_min_reduc_fp,MIN(irpp_max_reduc_fp,irpp_taux_reduc_fp*(Coef_impot/evol_smic)*F$58)))
+(MAX(0,12*F$52-MAX(irpp_min_reduc_pens,MIN(irpp_max_reduc_pens,irpp_taux_reduc_pens*12*F$52)))
 -12*F$53)*(F$13&lt;&gt;"ga_m")*(F$13&lt;&gt;"ga_p")</f>
        <v>22726.852145509176</v>
      </c>
      <c r="H187" s="432">
        <f>MAX(0,(Coef_impot/evol_smic)*H$58-MAX(irpp_min_reduc_fp,MIN(irpp_max_reduc_fp,irpp_taux_reduc_fp*(Coef_impot/evol_smic)*H$58)))
+(MAX(0,12*H$52-MAX(irpp_min_reduc_pens,MIN(irpp_max_reduc_pens,irpp_taux_reduc_pens*12*H$52)))
 -12*H$53)*(H$13&lt;&gt;"ga_m")*(H$13&lt;&gt;"ga_p")</f>
        <v>0</v>
      </c>
      <c r="I187" s="432">
        <f>MAX(0,(Coef_impot/evol_smic)*I$58-MAX(irpp_min_reduc_fp,MIN(irpp_max_reduc_fp,irpp_taux_reduc_fp*(Coef_impot/evol_smic)*I$58)))
+(MAX(0,12*I$52-MAX(irpp_min_reduc_pens,MIN(irpp_max_reduc_pens,irpp_taux_reduc_pens*12*I$52)))
 -12*I$53)*(I$13&lt;&gt;"ga_m")*(I$13&lt;&gt;"ga_p")</f>
        <v>7575.6173818363923</v>
      </c>
      <c r="J187" s="432">
        <f>MAX(0,(Coef_impot/evol_smic)*J$58-MAX(irpp_min_reduc_fp,MIN(irpp_max_reduc_fp,irpp_taux_reduc_fp*(Coef_impot/evol_smic)*J$58)))
+(MAX(0,12*J$52-MAX(irpp_min_reduc_pens,MIN(irpp_max_reduc_pens,irpp_taux_reduc_pens*12*J$52)))
 -12*J$53)*(J$13&lt;&gt;"ga_m")*(J$13&lt;&gt;"ga_p")</f>
        <v>15151.234763672785</v>
      </c>
      <c r="K187" s="432">
        <f>MAX(0,(Coef_impot/evol_smic)*K$58-MAX(irpp_min_reduc_fp,MIN(irpp_max_reduc_fp,irpp_taux_reduc_fp*(Coef_impot/evol_smic)*K$58)))
+(MAX(0,12*K$52-MAX(irpp_min_reduc_pens,MIN(irpp_max_reduc_pens,irpp_taux_reduc_pens*12*K$52)))
 -12*K$53)*(K$13&lt;&gt;"ga_m")*(K$13&lt;&gt;"ga_p")</f>
        <v>22726.852145509176</v>
      </c>
      <c r="M187" s="432">
        <f>MAX(0,(Coef_impot/evol_smic)*M$58-MAX(irpp_min_reduc_fp,MIN(irpp_max_reduc_fp,irpp_taux_reduc_fp*(Coef_impot/evol_smic)*M$58)))
+(MAX(0,12*M$52-MAX(irpp_min_reduc_pens,MIN(irpp_max_reduc_pens,irpp_taux_reduc_pens*12*M$52)))
 -12*M$53)*(M$13&lt;&gt;"ga_m")*(M$13&lt;&gt;"ga_p")</f>
        <v>0</v>
      </c>
      <c r="N187" s="432">
        <f>MAX(0,(Coef_impot/evol_smic)*N$58-MAX(irpp_min_reduc_fp,MIN(irpp_max_reduc_fp,irpp_taux_reduc_fp*(Coef_impot/evol_smic)*N$58)))
+(MAX(0,12*N$52-MAX(irpp_min_reduc_pens,MIN(irpp_max_reduc_pens,irpp_taux_reduc_pens*12*N$52)))
 -12*N$53)*(N$13&lt;&gt;"ga_m")*(N$13&lt;&gt;"ga_p")</f>
        <v>7575.6173818363923</v>
      </c>
      <c r="O187" s="432">
        <f>MAX(0,(Coef_impot/evol_smic)*O$58-MAX(irpp_min_reduc_fp,MIN(irpp_max_reduc_fp,irpp_taux_reduc_fp*(Coef_impot/evol_smic)*O$58)))
+(MAX(0,12*O$52-MAX(irpp_min_reduc_pens,MIN(irpp_max_reduc_pens,irpp_taux_reduc_pens*12*O$52)))
 -12*O$53)*(O$13&lt;&gt;"ga_m")*(O$13&lt;&gt;"ga_p")</f>
        <v>15151.234763672785</v>
      </c>
      <c r="P187" s="432">
        <f>MAX(0,(Coef_impot/evol_smic)*P$58-MAX(irpp_min_reduc_fp,MIN(irpp_max_reduc_fp,irpp_taux_reduc_fp*(Coef_impot/evol_smic)*P$58)))
+(MAX(0,12*P$52-MAX(irpp_min_reduc_pens,MIN(irpp_max_reduc_pens,irpp_taux_reduc_pens*12*P$52)))
 -12*P$53)*(P$13&lt;&gt;"ga_m")*(P$13&lt;&gt;"ga_p")</f>
        <v>22726.852145509176</v>
      </c>
      <c r="R187" s="432">
        <f>MAX(0,(Coef_impot/evol_smic)*R$58-MAX(irpp_min_reduc_fp,MIN(irpp_max_reduc_fp,irpp_taux_reduc_fp*(Coef_impot/evol_smic)*R$58)))
+(MAX(0,12*R$52-MAX(irpp_min_reduc_pens,MIN(irpp_max_reduc_pens,irpp_taux_reduc_pens*12*R$52)))
 -12*R$53)*(R$13&lt;&gt;"ga_m")*(R$13&lt;&gt;"ga_p")</f>
        <v>0</v>
      </c>
      <c r="S187" s="432">
        <f>MAX(0,(Coef_impot/evol_smic)*S$58-MAX(irpp_min_reduc_fp,MIN(irpp_max_reduc_fp,irpp_taux_reduc_fp*(Coef_impot/evol_smic)*S$58)))
+(MAX(0,12*S$52-MAX(irpp_min_reduc_pens,MIN(irpp_max_reduc_pens,irpp_taux_reduc_pens*12*S$52)))
 -12*S$53)*(S$13&lt;&gt;"ga_m")*(S$13&lt;&gt;"ga_p")</f>
        <v>7575.6173818363923</v>
      </c>
      <c r="T187" s="432">
        <f>MAX(0,(Coef_impot/evol_smic)*T$58-MAX(irpp_min_reduc_fp,MIN(irpp_max_reduc_fp,irpp_taux_reduc_fp*(Coef_impot/evol_smic)*T$58)))
+(MAX(0,12*T$52-MAX(irpp_min_reduc_pens,MIN(irpp_max_reduc_pens,irpp_taux_reduc_pens*12*T$52)))
 -12*T$53)*(T$13&lt;&gt;"ga_m")*(T$13&lt;&gt;"ga_p")</f>
        <v>15151.234763672785</v>
      </c>
      <c r="U187" s="432">
        <f>MAX(0,(Coef_impot/evol_smic)*U$58-MAX(irpp_min_reduc_fp,MIN(irpp_max_reduc_fp,irpp_taux_reduc_fp*(Coef_impot/evol_smic)*U$58)))
+(MAX(0,12*U$52-MAX(irpp_min_reduc_pens,MIN(irpp_max_reduc_pens,irpp_taux_reduc_pens*12*U$52)))
 -12*U$53)*(U$13&lt;&gt;"ga_m")*(U$13&lt;&gt;"ga_p")</f>
        <v>22726.852145509176</v>
      </c>
    </row>
    <row r="188" spans="1:21" ht="13" x14ac:dyDescent="0.3">
      <c r="A188" s="276" t="s">
        <v>173</v>
      </c>
      <c r="B188" s="259"/>
      <c r="C188" s="262">
        <f>IF(C$30="plaf",C189,C$30)</f>
        <v>278.27999999999997</v>
      </c>
      <c r="D188" s="262">
        <f>IF(D$30="plaf",D189,D$30)</f>
        <v>278.27999999999997</v>
      </c>
      <c r="E188" s="262">
        <f>IF(E$30="plaf",E189,E$30)</f>
        <v>278.27999999999997</v>
      </c>
      <c r="F188" s="262">
        <f>IF(F$30="plaf",F189,F$30)</f>
        <v>278.27999999999997</v>
      </c>
      <c r="H188" s="262">
        <f>IF(H$30="plaf",H189,H$30)</f>
        <v>278.27999999999997</v>
      </c>
      <c r="I188" s="262">
        <f>IF(I$30="plaf",I189,I$30)</f>
        <v>278.27999999999997</v>
      </c>
      <c r="J188" s="262">
        <f>IF(J$30="plaf",J189,J$30)</f>
        <v>278.27999999999997</v>
      </c>
      <c r="K188" s="262">
        <f>IF(K$30="plaf",K189,K$30)</f>
        <v>278.27999999999997</v>
      </c>
      <c r="M188" s="262">
        <f>IF(M$30="plaf",M189,M$30)</f>
        <v>278.27999999999997</v>
      </c>
      <c r="N188" s="262">
        <f>IF(N$30="plaf",N189,N$30)</f>
        <v>278.27999999999997</v>
      </c>
      <c r="O188" s="262">
        <f>IF(O$30="plaf",O189,O$30)</f>
        <v>278.27999999999997</v>
      </c>
      <c r="P188" s="262">
        <f>IF(P$30="plaf",P189,P$30)</f>
        <v>278.27999999999997</v>
      </c>
      <c r="R188" s="262">
        <f>IF(R$30="plaf",R189,R$30)</f>
        <v>278.27999999999997</v>
      </c>
      <c r="S188" s="262">
        <f>IF(S$30="plaf",S189,S$30)</f>
        <v>278.27999999999997</v>
      </c>
      <c r="T188" s="262">
        <f>IF(T$30="plaf",T189,T$30)</f>
        <v>278.27999999999997</v>
      </c>
      <c r="U188" s="262">
        <f>IF(U$30="plaf",U189,U$30)</f>
        <v>278.27999999999997</v>
      </c>
    </row>
    <row r="189" spans="1:21" x14ac:dyDescent="0.25">
      <c r="A189" s="274" t="s">
        <v>172</v>
      </c>
      <c r="B189" s="259"/>
      <c r="C189" s="262">
        <f>(C$29=1)*IF(C$3="isolé",al_loy_plaf_I0_z1,al_loy_plaf_c0_z1)+(C$29=2)*IF(C$3="isolé",al_loy_plaf_I0_z2,al_loy_plaf_C0_z2)+(C$29=3)*IF(C$3="isolé",al_loy_plaf_I0_z3,al_loy_plaf_C0_z3)</f>
        <v>278.27999999999997</v>
      </c>
      <c r="D189" s="262">
        <f>(D$29=1)*IF(D$3="isolé",al_loy_plaf_I0_z1,al_loy_plaf_c0_z1)+(D$29=2)*IF(D$3="isolé",al_loy_plaf_I0_z2,al_loy_plaf_C0_z2)+(D$29=3)*IF(D$3="isolé",al_loy_plaf_I0_z3,al_loy_plaf_C0_z3)</f>
        <v>278.27999999999997</v>
      </c>
      <c r="E189" s="262">
        <f>(E$29=1)*IF(E$3="isolé",al_loy_plaf_I0_z1,al_loy_plaf_c0_z1)+(E$29=2)*IF(E$3="isolé",al_loy_plaf_I0_z2,al_loy_plaf_C0_z2)+(E$29=3)*IF(E$3="isolé",al_loy_plaf_I0_z3,al_loy_plaf_C0_z3)</f>
        <v>278.27999999999997</v>
      </c>
      <c r="F189" s="262">
        <f>(F$29=1)*IF(F$3="isolé",al_loy_plaf_I0_z1,al_loy_plaf_c0_z1)+(F$29=2)*IF(F$3="isolé",al_loy_plaf_I0_z2,al_loy_plaf_C0_z2)+(F$29=3)*IF(F$3="isolé",al_loy_plaf_I0_z3,al_loy_plaf_C0_z3)</f>
        <v>278.27999999999997</v>
      </c>
      <c r="H189" s="262">
        <f>(H$29=1)*IF(H$3="isolé",al_loy_plaf_I0_z1,al_loy_plaf_c0_z1)+(H$29=2)*IF(H$3="isolé",al_loy_plaf_I0_z2,al_loy_plaf_C0_z2)+(H$29=3)*IF(H$3="isolé",al_loy_plaf_I0_z3,al_loy_plaf_C0_z3)</f>
        <v>278.27999999999997</v>
      </c>
      <c r="I189" s="262">
        <f>(I$29=1)*IF(I$3="isolé",al_loy_plaf_I0_z1,al_loy_plaf_c0_z1)+(I$29=2)*IF(I$3="isolé",al_loy_plaf_I0_z2,al_loy_plaf_C0_z2)+(I$29=3)*IF(I$3="isolé",al_loy_plaf_I0_z3,al_loy_plaf_C0_z3)</f>
        <v>278.27999999999997</v>
      </c>
      <c r="J189" s="262">
        <f>(J$29=1)*IF(J$3="isolé",al_loy_plaf_I0_z1,al_loy_plaf_c0_z1)+(J$29=2)*IF(J$3="isolé",al_loy_plaf_I0_z2,al_loy_plaf_C0_z2)+(J$29=3)*IF(J$3="isolé",al_loy_plaf_I0_z3,al_loy_plaf_C0_z3)</f>
        <v>278.27999999999997</v>
      </c>
      <c r="K189" s="262">
        <f>(K$29=1)*IF(K$3="isolé",al_loy_plaf_I0_z1,al_loy_plaf_c0_z1)+(K$29=2)*IF(K$3="isolé",al_loy_plaf_I0_z2,al_loy_plaf_C0_z2)+(K$29=3)*IF(K$3="isolé",al_loy_plaf_I0_z3,al_loy_plaf_C0_z3)</f>
        <v>278.27999999999997</v>
      </c>
      <c r="M189" s="262">
        <f>(M$29=1)*IF(M$3="isolé",al_loy_plaf_I0_z1,al_loy_plaf_c0_z1)+(M$29=2)*IF(M$3="isolé",al_loy_plaf_I0_z2,al_loy_plaf_C0_z2)+(M$29=3)*IF(M$3="isolé",al_loy_plaf_I0_z3,al_loy_plaf_C0_z3)</f>
        <v>278.27999999999997</v>
      </c>
      <c r="N189" s="262">
        <f>(N$29=1)*IF(N$3="isolé",al_loy_plaf_I0_z1,al_loy_plaf_c0_z1)+(N$29=2)*IF(N$3="isolé",al_loy_plaf_I0_z2,al_loy_plaf_C0_z2)+(N$29=3)*IF(N$3="isolé",al_loy_plaf_I0_z3,al_loy_plaf_C0_z3)</f>
        <v>278.27999999999997</v>
      </c>
      <c r="O189" s="262">
        <f>(O$29=1)*IF(O$3="isolé",al_loy_plaf_I0_z1,al_loy_plaf_c0_z1)+(O$29=2)*IF(O$3="isolé",al_loy_plaf_I0_z2,al_loy_plaf_C0_z2)+(O$29=3)*IF(O$3="isolé",al_loy_plaf_I0_z3,al_loy_plaf_C0_z3)</f>
        <v>278.27999999999997</v>
      </c>
      <c r="P189" s="262">
        <f>(P$29=1)*IF(P$3="isolé",al_loy_plaf_I0_z1,al_loy_plaf_c0_z1)+(P$29=2)*IF(P$3="isolé",al_loy_plaf_I0_z2,al_loy_plaf_C0_z2)+(P$29=3)*IF(P$3="isolé",al_loy_plaf_I0_z3,al_loy_plaf_C0_z3)</f>
        <v>278.27999999999997</v>
      </c>
      <c r="R189" s="262">
        <f>(R$29=1)*IF(R$3="isolé",al_loy_plaf_I0_z1,al_loy_plaf_c0_z1)+(R$29=2)*IF(R$3="isolé",al_loy_plaf_I0_z2,al_loy_plaf_C0_z2)+(R$29=3)*IF(R$3="isolé",al_loy_plaf_I0_z3,al_loy_plaf_C0_z3)</f>
        <v>278.27999999999997</v>
      </c>
      <c r="S189" s="262">
        <f>(S$29=1)*IF(S$3="isolé",al_loy_plaf_I0_z1,al_loy_plaf_c0_z1)+(S$29=2)*IF(S$3="isolé",al_loy_plaf_I0_z2,al_loy_plaf_C0_z2)+(S$29=3)*IF(S$3="isolé",al_loy_plaf_I0_z3,al_loy_plaf_C0_z3)</f>
        <v>278.27999999999997</v>
      </c>
      <c r="T189" s="262">
        <f>(T$29=1)*IF(T$3="isolé",al_loy_plaf_I0_z1,al_loy_plaf_c0_z1)+(T$29=2)*IF(T$3="isolé",al_loy_plaf_I0_z2,al_loy_plaf_C0_z2)+(T$29=3)*IF(T$3="isolé",al_loy_plaf_I0_z3,al_loy_plaf_C0_z3)</f>
        <v>278.27999999999997</v>
      </c>
      <c r="U189" s="262">
        <f>(U$29=1)*IF(U$3="isolé",al_loy_plaf_I0_z1,al_loy_plaf_c0_z1)+(U$29=2)*IF(U$3="isolé",al_loy_plaf_I0_z2,al_loy_plaf_C0_z2)+(U$29=3)*IF(U$3="isolé",al_loy_plaf_I0_z3,al_loy_plaf_C0_z3)</f>
        <v>278.27999999999997</v>
      </c>
    </row>
    <row r="190" spans="1:21" x14ac:dyDescent="0.25">
      <c r="A190" s="274" t="s">
        <v>13</v>
      </c>
      <c r="B190" s="259"/>
      <c r="C190" s="262">
        <f>al_forf_charges_0_pac</f>
        <v>58.08</v>
      </c>
      <c r="D190" s="262">
        <f>al_forf_charges_0_pac</f>
        <v>58.08</v>
      </c>
      <c r="E190" s="262">
        <f>al_forf_charges_0_pac</f>
        <v>58.08</v>
      </c>
      <c r="F190" s="262">
        <f>al_forf_charges_0_pac</f>
        <v>58.08</v>
      </c>
      <c r="H190" s="262">
        <f>al_forf_charges_0_pac</f>
        <v>58.08</v>
      </c>
      <c r="I190" s="262">
        <f>al_forf_charges_0_pac</f>
        <v>58.08</v>
      </c>
      <c r="J190" s="262">
        <f>al_forf_charges_0_pac</f>
        <v>58.08</v>
      </c>
      <c r="K190" s="262">
        <f>al_forf_charges_0_pac</f>
        <v>58.08</v>
      </c>
      <c r="M190" s="262">
        <f>al_forf_charges_0_pac</f>
        <v>58.08</v>
      </c>
      <c r="N190" s="262">
        <f>al_forf_charges_0_pac</f>
        <v>58.08</v>
      </c>
      <c r="O190" s="262">
        <f>al_forf_charges_0_pac</f>
        <v>58.08</v>
      </c>
      <c r="P190" s="262">
        <f>al_forf_charges_0_pac</f>
        <v>58.08</v>
      </c>
      <c r="R190" s="262">
        <f>al_forf_charges_0_pac</f>
        <v>58.08</v>
      </c>
      <c r="S190" s="262">
        <f>al_forf_charges_0_pac</f>
        <v>58.08</v>
      </c>
      <c r="T190" s="262">
        <f>al_forf_charges_0_pac</f>
        <v>58.08</v>
      </c>
      <c r="U190" s="262">
        <f>al_forf_charges_0_pac</f>
        <v>58.08</v>
      </c>
    </row>
    <row r="191" spans="1:21" x14ac:dyDescent="0.25">
      <c r="A191" s="274" t="s">
        <v>175</v>
      </c>
      <c r="B191" s="259"/>
      <c r="C191" s="262">
        <f>MIN(C188,C189)+C190</f>
        <v>336.35999999999996</v>
      </c>
      <c r="D191" s="262">
        <f>MIN(D188,D189)+D190</f>
        <v>336.35999999999996</v>
      </c>
      <c r="E191" s="262">
        <f>MIN(E188,E189)+E190</f>
        <v>336.35999999999996</v>
      </c>
      <c r="F191" s="262">
        <f>MIN(F188,F189)+F190</f>
        <v>336.35999999999996</v>
      </c>
      <c r="H191" s="262">
        <f>MIN(H188,H189)+H190</f>
        <v>336.35999999999996</v>
      </c>
      <c r="I191" s="262">
        <f>MIN(I188,I189)+I190</f>
        <v>336.35999999999996</v>
      </c>
      <c r="J191" s="262">
        <f>MIN(J188,J189)+J190</f>
        <v>336.35999999999996</v>
      </c>
      <c r="K191" s="262">
        <f>MIN(K188,K189)+K190</f>
        <v>336.35999999999996</v>
      </c>
      <c r="M191" s="262">
        <f>MIN(M188,M189)+M190</f>
        <v>336.35999999999996</v>
      </c>
      <c r="N191" s="262">
        <f>MIN(N188,N189)+N190</f>
        <v>336.35999999999996</v>
      </c>
      <c r="O191" s="262">
        <f>MIN(O188,O189)+O190</f>
        <v>336.35999999999996</v>
      </c>
      <c r="P191" s="262">
        <f>MIN(P188,P189)+P190</f>
        <v>336.35999999999996</v>
      </c>
      <c r="R191" s="262">
        <f>MIN(R188,R189)+R190</f>
        <v>336.35999999999996</v>
      </c>
      <c r="S191" s="262">
        <f>MIN(S188,S189)+S190</f>
        <v>336.35999999999996</v>
      </c>
      <c r="T191" s="262">
        <f>MIN(T188,T189)+T190</f>
        <v>336.35999999999996</v>
      </c>
      <c r="U191" s="262">
        <f>MIN(U188,U189)+U190</f>
        <v>336.35999999999996</v>
      </c>
    </row>
    <row r="192" spans="1:21" x14ac:dyDescent="0.25">
      <c r="A192" s="275" t="s">
        <v>217</v>
      </c>
      <c r="B192" s="259"/>
      <c r="C192" s="262">
        <f>IF(C$3="isolé",al_R0_I0,al_R0_C0)</f>
        <v>5186</v>
      </c>
      <c r="D192" s="262">
        <f>IF(D$3="isolé",al_R0_I0,al_R0_C0)</f>
        <v>5186</v>
      </c>
      <c r="E192" s="262">
        <f>IF(E$3="isolé",al_R0_I0,al_R0_C0)</f>
        <v>5186</v>
      </c>
      <c r="F192" s="262">
        <f>IF(F$3="isolé",al_R0_I0,al_R0_C0)</f>
        <v>5186</v>
      </c>
      <c r="H192" s="262">
        <f>IF(H$3="isolé",al_R0_I0,al_R0_C0)</f>
        <v>5186</v>
      </c>
      <c r="I192" s="262">
        <f>IF(I$3="isolé",al_R0_I0,al_R0_C0)</f>
        <v>5186</v>
      </c>
      <c r="J192" s="262">
        <f>IF(J$3="isolé",al_R0_I0,al_R0_C0)</f>
        <v>5186</v>
      </c>
      <c r="K192" s="262">
        <f>IF(K$3="isolé",al_R0_I0,al_R0_C0)</f>
        <v>5186</v>
      </c>
      <c r="M192" s="262">
        <f>IF(M$3="isolé",al_R0_I0,al_R0_C0)</f>
        <v>5186</v>
      </c>
      <c r="N192" s="262">
        <f>IF(N$3="isolé",al_R0_I0,al_R0_C0)</f>
        <v>5186</v>
      </c>
      <c r="O192" s="262">
        <f>IF(O$3="isolé",al_R0_I0,al_R0_C0)</f>
        <v>5186</v>
      </c>
      <c r="P192" s="262">
        <f>IF(P$3="isolé",al_R0_I0,al_R0_C0)</f>
        <v>5186</v>
      </c>
      <c r="R192" s="262">
        <f>IF(R$3="isolé",al_R0_I0,al_R0_C0)</f>
        <v>5186</v>
      </c>
      <c r="S192" s="262">
        <f>IF(S$3="isolé",al_R0_I0,al_R0_C0)</f>
        <v>5186</v>
      </c>
      <c r="T192" s="262">
        <f>IF(T$3="isolé",al_R0_I0,al_R0_C0)</f>
        <v>5186</v>
      </c>
      <c r="U192" s="262">
        <f>IF(U$3="isolé",al_R0_I0,al_R0_C0)</f>
        <v>5186</v>
      </c>
    </row>
    <row r="193" spans="1:21" x14ac:dyDescent="0.25">
      <c r="A193" s="274" t="s">
        <v>195</v>
      </c>
      <c r="B193" s="259"/>
      <c r="C193" s="269">
        <f t="shared" ref="C193:D193" si="93">ROUND(MAX(al_p0,al_p0_taux*C191),2)</f>
        <v>37.909999999999997</v>
      </c>
      <c r="D193" s="269">
        <f t="shared" si="93"/>
        <v>37.909999999999997</v>
      </c>
      <c r="E193" s="269">
        <f t="shared" ref="E193:F193" si="94">ROUND(MAX(al_p0,al_p0_taux*E191),2)</f>
        <v>37.909999999999997</v>
      </c>
      <c r="F193" s="269">
        <f t="shared" si="94"/>
        <v>37.909999999999997</v>
      </c>
      <c r="H193" s="269">
        <f t="shared" ref="H193:K193" si="95">ROUND(MAX(al_p0,al_p0_taux*H191),2)</f>
        <v>37.909999999999997</v>
      </c>
      <c r="I193" s="269">
        <f t="shared" si="95"/>
        <v>37.909999999999997</v>
      </c>
      <c r="J193" s="269">
        <f t="shared" si="95"/>
        <v>37.909999999999997</v>
      </c>
      <c r="K193" s="269">
        <f t="shared" si="95"/>
        <v>37.909999999999997</v>
      </c>
      <c r="M193" s="269">
        <f t="shared" ref="M193:P193" si="96">ROUND(MAX(al_p0,al_p0_taux*M191),2)</f>
        <v>37.909999999999997</v>
      </c>
      <c r="N193" s="269">
        <f t="shared" si="96"/>
        <v>37.909999999999997</v>
      </c>
      <c r="O193" s="269">
        <f t="shared" si="96"/>
        <v>37.909999999999997</v>
      </c>
      <c r="P193" s="269">
        <f t="shared" si="96"/>
        <v>37.909999999999997</v>
      </c>
      <c r="R193" s="269">
        <f t="shared" ref="R193:U193" si="97">ROUND(MAX(al_p0,al_p0_taux*R191),2)</f>
        <v>37.909999999999997</v>
      </c>
      <c r="S193" s="269">
        <f t="shared" si="97"/>
        <v>37.909999999999997</v>
      </c>
      <c r="T193" s="269">
        <f t="shared" si="97"/>
        <v>37.909999999999997</v>
      </c>
      <c r="U193" s="269">
        <f t="shared" si="97"/>
        <v>37.909999999999997</v>
      </c>
    </row>
    <row r="194" spans="1:21" x14ac:dyDescent="0.25">
      <c r="A194" s="275" t="s">
        <v>192</v>
      </c>
      <c r="B194" s="259"/>
      <c r="C194" s="270">
        <f>IF(C$3="isolé",al_tf_I0,al_tf_C0)</f>
        <v>2.8299999999999999E-2</v>
      </c>
      <c r="D194" s="270">
        <f>IF(D$3="isolé",al_tf_I0,al_tf_C0)</f>
        <v>2.8299999999999999E-2</v>
      </c>
      <c r="E194" s="270">
        <f>IF(E$3="isolé",al_tf_I0,al_tf_C0)</f>
        <v>2.8299999999999999E-2</v>
      </c>
      <c r="F194" s="270">
        <f>IF(F$3="isolé",al_tf_I0,al_tf_C0)</f>
        <v>2.8299999999999999E-2</v>
      </c>
      <c r="H194" s="270">
        <f>IF(H$3="isolé",al_tf_I0,al_tf_C0)</f>
        <v>2.8299999999999999E-2</v>
      </c>
      <c r="I194" s="270">
        <f>IF(I$3="isolé",al_tf_I0,al_tf_C0)</f>
        <v>2.8299999999999999E-2</v>
      </c>
      <c r="J194" s="270">
        <f>IF(J$3="isolé",al_tf_I0,al_tf_C0)</f>
        <v>2.8299999999999999E-2</v>
      </c>
      <c r="K194" s="270">
        <f>IF(K$3="isolé",al_tf_I0,al_tf_C0)</f>
        <v>2.8299999999999999E-2</v>
      </c>
      <c r="M194" s="270">
        <f>IF(M$3="isolé",al_tf_I0,al_tf_C0)</f>
        <v>2.8299999999999999E-2</v>
      </c>
      <c r="N194" s="270">
        <f>IF(N$3="isolé",al_tf_I0,al_tf_C0)</f>
        <v>2.8299999999999999E-2</v>
      </c>
      <c r="O194" s="270">
        <f>IF(O$3="isolé",al_tf_I0,al_tf_C0)</f>
        <v>2.8299999999999999E-2</v>
      </c>
      <c r="P194" s="270">
        <f>IF(P$3="isolé",al_tf_I0,al_tf_C0)</f>
        <v>2.8299999999999999E-2</v>
      </c>
      <c r="R194" s="270">
        <f>IF(R$3="isolé",al_tf_I0,al_tf_C0)</f>
        <v>2.8299999999999999E-2</v>
      </c>
      <c r="S194" s="270">
        <f>IF(S$3="isolé",al_tf_I0,al_tf_C0)</f>
        <v>2.8299999999999999E-2</v>
      </c>
      <c r="T194" s="270">
        <f>IF(T$3="isolé",al_tf_I0,al_tf_C0)</f>
        <v>2.8299999999999999E-2</v>
      </c>
      <c r="U194" s="270">
        <f>IF(U$3="isolé",al_tf_I0,al_tf_C0)</f>
        <v>2.8299999999999999E-2</v>
      </c>
    </row>
    <row r="195" spans="1:21" x14ac:dyDescent="0.25">
      <c r="A195" s="275" t="s">
        <v>193</v>
      </c>
      <c r="B195" s="259"/>
      <c r="C195" s="278">
        <f t="shared" ref="C195:U195" si="98">(C$29=1)*al_tl_z1+(C$29=2)*al_tl_z2+(C$29=3)*al_tl_z3</f>
        <v>3.0500000000000006E-3</v>
      </c>
      <c r="D195" s="278">
        <f t="shared" si="98"/>
        <v>3.0500000000000006E-3</v>
      </c>
      <c r="E195" s="278">
        <f t="shared" si="98"/>
        <v>3.0500000000000006E-3</v>
      </c>
      <c r="F195" s="278">
        <f t="shared" si="98"/>
        <v>3.0500000000000006E-3</v>
      </c>
      <c r="H195" s="278">
        <f t="shared" si="98"/>
        <v>3.0500000000000006E-3</v>
      </c>
      <c r="I195" s="278">
        <f t="shared" si="98"/>
        <v>3.0500000000000006E-3</v>
      </c>
      <c r="J195" s="278">
        <f t="shared" si="98"/>
        <v>3.0500000000000006E-3</v>
      </c>
      <c r="K195" s="278">
        <f t="shared" si="98"/>
        <v>3.0500000000000006E-3</v>
      </c>
      <c r="M195" s="278">
        <f t="shared" si="98"/>
        <v>3.0500000000000006E-3</v>
      </c>
      <c r="N195" s="278">
        <f t="shared" si="98"/>
        <v>3.0500000000000006E-3</v>
      </c>
      <c r="O195" s="278">
        <f t="shared" si="98"/>
        <v>3.0500000000000006E-3</v>
      </c>
      <c r="P195" s="278">
        <f t="shared" si="98"/>
        <v>3.0500000000000006E-3</v>
      </c>
      <c r="R195" s="278">
        <f t="shared" si="98"/>
        <v>3.0500000000000006E-3</v>
      </c>
      <c r="S195" s="278">
        <f t="shared" si="98"/>
        <v>3.0500000000000006E-3</v>
      </c>
      <c r="T195" s="278">
        <f t="shared" si="98"/>
        <v>3.0500000000000006E-3</v>
      </c>
      <c r="U195" s="278">
        <f t="shared" si="98"/>
        <v>3.0500000000000006E-3</v>
      </c>
    </row>
    <row r="196" spans="1:21" x14ac:dyDescent="0.25">
      <c r="A196" s="275" t="s">
        <v>194</v>
      </c>
      <c r="B196" s="259"/>
      <c r="C196" s="271">
        <f t="shared" ref="C196:D196" si="99">C193+(C194+C195)*MAX(0,C187-C192)</f>
        <v>37.909999999999997</v>
      </c>
      <c r="D196" s="271">
        <f t="shared" si="99"/>
        <v>112.8245049205709</v>
      </c>
      <c r="E196" s="271">
        <f t="shared" ref="E196:F196" si="100">E193+(E194+E195)*MAX(0,E187-E192)</f>
        <v>350.32010984114186</v>
      </c>
      <c r="F196" s="271">
        <f t="shared" si="100"/>
        <v>587.81571476171268</v>
      </c>
      <c r="H196" s="271">
        <f t="shared" ref="H196:K196" si="101">H193+(H194+H195)*MAX(0,H187-H192)</f>
        <v>37.909999999999997</v>
      </c>
      <c r="I196" s="271">
        <f t="shared" si="101"/>
        <v>112.8245049205709</v>
      </c>
      <c r="J196" s="271">
        <f t="shared" si="101"/>
        <v>350.32010984114186</v>
      </c>
      <c r="K196" s="271">
        <f t="shared" si="101"/>
        <v>587.81571476171268</v>
      </c>
      <c r="M196" s="271">
        <f t="shared" ref="M196:P196" si="102">M193+(M194+M195)*MAX(0,M187-M192)</f>
        <v>37.909999999999997</v>
      </c>
      <c r="N196" s="271">
        <f t="shared" si="102"/>
        <v>112.8245049205709</v>
      </c>
      <c r="O196" s="271">
        <f t="shared" si="102"/>
        <v>350.32010984114186</v>
      </c>
      <c r="P196" s="271">
        <f t="shared" si="102"/>
        <v>587.81571476171268</v>
      </c>
      <c r="R196" s="271">
        <f t="shared" ref="R196:U196" si="103">R193+(R194+R195)*MAX(0,R187-R192)</f>
        <v>37.909999999999997</v>
      </c>
      <c r="S196" s="271">
        <f t="shared" si="103"/>
        <v>112.8245049205709</v>
      </c>
      <c r="T196" s="271">
        <f t="shared" si="103"/>
        <v>350.32010984114186</v>
      </c>
      <c r="U196" s="271">
        <f t="shared" si="103"/>
        <v>587.81571476171268</v>
      </c>
    </row>
    <row r="197" spans="1:21" ht="13" x14ac:dyDescent="0.3">
      <c r="A197" s="275" t="s">
        <v>210</v>
      </c>
      <c r="C197" s="264">
        <f t="shared" ref="C197:D197" si="104">MAX(C191-C196,0)</f>
        <v>298.44999999999993</v>
      </c>
      <c r="D197" s="264">
        <f t="shared" si="104"/>
        <v>223.53549507942904</v>
      </c>
      <c r="E197" s="264">
        <f t="shared" ref="E197:F197" si="105">MAX(E191-E196,0)</f>
        <v>0</v>
      </c>
      <c r="F197" s="264">
        <f t="shared" si="105"/>
        <v>0</v>
      </c>
      <c r="H197" s="264">
        <f t="shared" ref="H197:K197" si="106">MAX(H191-H196,0)</f>
        <v>298.44999999999993</v>
      </c>
      <c r="I197" s="264">
        <f t="shared" si="106"/>
        <v>223.53549507942904</v>
      </c>
      <c r="J197" s="264">
        <f t="shared" si="106"/>
        <v>0</v>
      </c>
      <c r="K197" s="264">
        <f t="shared" si="106"/>
        <v>0</v>
      </c>
      <c r="M197" s="264">
        <f t="shared" ref="M197:P197" si="107">MAX(M191-M196,0)</f>
        <v>298.44999999999993</v>
      </c>
      <c r="N197" s="264">
        <f t="shared" si="107"/>
        <v>223.53549507942904</v>
      </c>
      <c r="O197" s="264">
        <f t="shared" si="107"/>
        <v>0</v>
      </c>
      <c r="P197" s="264">
        <f t="shared" si="107"/>
        <v>0</v>
      </c>
      <c r="R197" s="264">
        <f t="shared" ref="R197:U197" si="108">MAX(R191-R196,0)</f>
        <v>298.44999999999993</v>
      </c>
      <c r="S197" s="264">
        <f t="shared" si="108"/>
        <v>223.53549507942904</v>
      </c>
      <c r="T197" s="264">
        <f t="shared" si="108"/>
        <v>0</v>
      </c>
      <c r="U197" s="264">
        <f t="shared" si="108"/>
        <v>0</v>
      </c>
    </row>
    <row r="198" spans="1:21" ht="13" x14ac:dyDescent="0.3">
      <c r="A198" s="275" t="s">
        <v>211</v>
      </c>
      <c r="C198" s="264">
        <f>(C$29=1)*(IF((C188/C189)&lt;al_seuil1_deg_z1,C197,IF((C188/C189)&lt;al_seuil2_deg_z1,(1-((C188/C189)-al_seuil1_deg_z1)/(al_seuil2_deg_z1-al_seuil1_deg_z1))*C197,0)))
+(C$29=2)*(IF((C188/C189)&lt;al_seuil1_deg_z2,C197,IF((C188/C189)&lt;al_seuil2_deg_z2,(1-((C188/C189)-al_seuil1_deg_z2)/(al_seuil2_deg_z2-al_seuil1_deg_z2))*C197,0)))
+(C$29=3)*(IF((C188/C189)&lt;al_seuil1_deg_z3,C197,IF((C188/C189)&lt;al_seuil2_deg_z3,(1-((C188/C189)-al_seuil1_deg_z3)/(al_seuil2_deg_z3-al_seuil1_deg_z3))*C197,0)))</f>
        <v>298.44999999999993</v>
      </c>
      <c r="D198" s="264">
        <f>(D$29=1)*(IF((D188/D189)&lt;al_seuil1_deg_z1,D197,IF((D188/D189)&lt;al_seuil2_deg_z1,(1-((D188/D189)-al_seuil1_deg_z1)/(al_seuil2_deg_z1-al_seuil1_deg_z1))*D197,0)))
+(D$29=2)*(IF((D188/D189)&lt;al_seuil1_deg_z2,D197,IF((D188/D189)&lt;al_seuil2_deg_z2,(1-((D188/D189)-al_seuil1_deg_z2)/(al_seuil2_deg_z2-al_seuil1_deg_z2))*D197,0)))
+(D$29=3)*(IF((D188/D189)&lt;al_seuil1_deg_z3,D197,IF((D188/D189)&lt;al_seuil2_deg_z3,(1-((D188/D189)-al_seuil1_deg_z3)/(al_seuil2_deg_z3-al_seuil1_deg_z3))*D197,0)))</f>
        <v>223.53549507942904</v>
      </c>
      <c r="E198" s="264">
        <f>(E$29=1)*(IF((E188/E189)&lt;al_seuil1_deg_z1,E197,IF((E188/E189)&lt;al_seuil2_deg_z1,(1-((E188/E189)-al_seuil1_deg_z1)/(al_seuil2_deg_z1-al_seuil1_deg_z1))*E197,0)))
+(E$29=2)*(IF((E188/E189)&lt;al_seuil1_deg_z2,E197,IF((E188/E189)&lt;al_seuil2_deg_z2,(1-((E188/E189)-al_seuil1_deg_z2)/(al_seuil2_deg_z2-al_seuil1_deg_z2))*E197,0)))
+(E$29=3)*(IF((E188/E189)&lt;al_seuil1_deg_z3,E197,IF((E188/E189)&lt;al_seuil2_deg_z3,(1-((E188/E189)-al_seuil1_deg_z3)/(al_seuil2_deg_z3-al_seuil1_deg_z3))*E197,0)))</f>
        <v>0</v>
      </c>
      <c r="F198" s="264">
        <f>(F$29=1)*(IF((F188/F189)&lt;al_seuil1_deg_z1,F197,IF((F188/F189)&lt;al_seuil2_deg_z1,(1-((F188/F189)-al_seuil1_deg_z1)/(al_seuil2_deg_z1-al_seuil1_deg_z1))*F197,0)))
+(F$29=2)*(IF((F188/F189)&lt;al_seuil1_deg_z2,F197,IF((F188/F189)&lt;al_seuil2_deg_z2,(1-((F188/F189)-al_seuil1_deg_z2)/(al_seuil2_deg_z2-al_seuil1_deg_z2))*F197,0)))
+(F$29=3)*(IF((F188/F189)&lt;al_seuil1_deg_z3,F197,IF((F188/F189)&lt;al_seuil2_deg_z3,(1-((F188/F189)-al_seuil1_deg_z3)/(al_seuil2_deg_z3-al_seuil1_deg_z3))*F197,0)))</f>
        <v>0</v>
      </c>
      <c r="H198" s="264">
        <f>(H$29=1)*(IF((H188/H189)&lt;al_seuil1_deg_z1,H197,IF((H188/H189)&lt;al_seuil2_deg_z1,(1-((H188/H189)-al_seuil1_deg_z1)/(al_seuil2_deg_z1-al_seuil1_deg_z1))*H197,0)))
+(H$29=2)*(IF((H188/H189)&lt;al_seuil1_deg_z2,H197,IF((H188/H189)&lt;al_seuil2_deg_z2,(1-((H188/H189)-al_seuil1_deg_z2)/(al_seuil2_deg_z2-al_seuil1_deg_z2))*H197,0)))
+(H$29=3)*(IF((H188/H189)&lt;al_seuil1_deg_z3,H197,IF((H188/H189)&lt;al_seuil2_deg_z3,(1-((H188/H189)-al_seuil1_deg_z3)/(al_seuil2_deg_z3-al_seuil1_deg_z3))*H197,0)))</f>
        <v>298.44999999999993</v>
      </c>
      <c r="I198" s="264">
        <f>(I$29=1)*(IF((I188/I189)&lt;al_seuil1_deg_z1,I197,IF((I188/I189)&lt;al_seuil2_deg_z1,(1-((I188/I189)-al_seuil1_deg_z1)/(al_seuil2_deg_z1-al_seuil1_deg_z1))*I197,0)))
+(I$29=2)*(IF((I188/I189)&lt;al_seuil1_deg_z2,I197,IF((I188/I189)&lt;al_seuil2_deg_z2,(1-((I188/I189)-al_seuil1_deg_z2)/(al_seuil2_deg_z2-al_seuil1_deg_z2))*I197,0)))
+(I$29=3)*(IF((I188/I189)&lt;al_seuil1_deg_z3,I197,IF((I188/I189)&lt;al_seuil2_deg_z3,(1-((I188/I189)-al_seuil1_deg_z3)/(al_seuil2_deg_z3-al_seuil1_deg_z3))*I197,0)))</f>
        <v>223.53549507942904</v>
      </c>
      <c r="J198" s="264">
        <f>(J$29=1)*(IF((J188/J189)&lt;al_seuil1_deg_z1,J197,IF((J188/J189)&lt;al_seuil2_deg_z1,(1-((J188/J189)-al_seuil1_deg_z1)/(al_seuil2_deg_z1-al_seuil1_deg_z1))*J197,0)))
+(J$29=2)*(IF((J188/J189)&lt;al_seuil1_deg_z2,J197,IF((J188/J189)&lt;al_seuil2_deg_z2,(1-((J188/J189)-al_seuil1_deg_z2)/(al_seuil2_deg_z2-al_seuil1_deg_z2))*J197,0)))
+(J$29=3)*(IF((J188/J189)&lt;al_seuil1_deg_z3,J197,IF((J188/J189)&lt;al_seuil2_deg_z3,(1-((J188/J189)-al_seuil1_deg_z3)/(al_seuil2_deg_z3-al_seuil1_deg_z3))*J197,0)))</f>
        <v>0</v>
      </c>
      <c r="K198" s="264">
        <f>(K$29=1)*(IF((K188/K189)&lt;al_seuil1_deg_z1,K197,IF((K188/K189)&lt;al_seuil2_deg_z1,(1-((K188/K189)-al_seuil1_deg_z1)/(al_seuil2_deg_z1-al_seuil1_deg_z1))*K197,0)))
+(K$29=2)*(IF((K188/K189)&lt;al_seuil1_deg_z2,K197,IF((K188/K189)&lt;al_seuil2_deg_z2,(1-((K188/K189)-al_seuil1_deg_z2)/(al_seuil2_deg_z2-al_seuil1_deg_z2))*K197,0)))
+(K$29=3)*(IF((K188/K189)&lt;al_seuil1_deg_z3,K197,IF((K188/K189)&lt;al_seuil2_deg_z3,(1-((K188/K189)-al_seuil1_deg_z3)/(al_seuil2_deg_z3-al_seuil1_deg_z3))*K197,0)))</f>
        <v>0</v>
      </c>
      <c r="M198" s="264">
        <f>(M$29=1)*(IF((M188/M189)&lt;al_seuil1_deg_z1,M197,IF((M188/M189)&lt;al_seuil2_deg_z1,(1-((M188/M189)-al_seuil1_deg_z1)/(al_seuil2_deg_z1-al_seuil1_deg_z1))*M197,0)))
+(M$29=2)*(IF((M188/M189)&lt;al_seuil1_deg_z2,M197,IF((M188/M189)&lt;al_seuil2_deg_z2,(1-((M188/M189)-al_seuil1_deg_z2)/(al_seuil2_deg_z2-al_seuil1_deg_z2))*M197,0)))
+(M$29=3)*(IF((M188/M189)&lt;al_seuil1_deg_z3,M197,IF((M188/M189)&lt;al_seuil2_deg_z3,(1-((M188/M189)-al_seuil1_deg_z3)/(al_seuil2_deg_z3-al_seuil1_deg_z3))*M197,0)))</f>
        <v>298.44999999999993</v>
      </c>
      <c r="N198" s="264">
        <f>(N$29=1)*(IF((N188/N189)&lt;al_seuil1_deg_z1,N197,IF((N188/N189)&lt;al_seuil2_deg_z1,(1-((N188/N189)-al_seuil1_deg_z1)/(al_seuil2_deg_z1-al_seuil1_deg_z1))*N197,0)))
+(N$29=2)*(IF((N188/N189)&lt;al_seuil1_deg_z2,N197,IF((N188/N189)&lt;al_seuil2_deg_z2,(1-((N188/N189)-al_seuil1_deg_z2)/(al_seuil2_deg_z2-al_seuil1_deg_z2))*N197,0)))
+(N$29=3)*(IF((N188/N189)&lt;al_seuil1_deg_z3,N197,IF((N188/N189)&lt;al_seuil2_deg_z3,(1-((N188/N189)-al_seuil1_deg_z3)/(al_seuil2_deg_z3-al_seuil1_deg_z3))*N197,0)))</f>
        <v>223.53549507942904</v>
      </c>
      <c r="O198" s="264">
        <f>(O$29=1)*(IF((O188/O189)&lt;al_seuil1_deg_z1,O197,IF((O188/O189)&lt;al_seuil2_deg_z1,(1-((O188/O189)-al_seuil1_deg_z1)/(al_seuil2_deg_z1-al_seuil1_deg_z1))*O197,0)))
+(O$29=2)*(IF((O188/O189)&lt;al_seuil1_deg_z2,O197,IF((O188/O189)&lt;al_seuil2_deg_z2,(1-((O188/O189)-al_seuil1_deg_z2)/(al_seuil2_deg_z2-al_seuil1_deg_z2))*O197,0)))
+(O$29=3)*(IF((O188/O189)&lt;al_seuil1_deg_z3,O197,IF((O188/O189)&lt;al_seuil2_deg_z3,(1-((O188/O189)-al_seuil1_deg_z3)/(al_seuil2_deg_z3-al_seuil1_deg_z3))*O197,0)))</f>
        <v>0</v>
      </c>
      <c r="P198" s="264">
        <f>(P$29=1)*(IF((P188/P189)&lt;al_seuil1_deg_z1,P197,IF((P188/P189)&lt;al_seuil2_deg_z1,(1-((P188/P189)-al_seuil1_deg_z1)/(al_seuil2_deg_z1-al_seuil1_deg_z1))*P197,0)))
+(P$29=2)*(IF((P188/P189)&lt;al_seuil1_deg_z2,P197,IF((P188/P189)&lt;al_seuil2_deg_z2,(1-((P188/P189)-al_seuil1_deg_z2)/(al_seuil2_deg_z2-al_seuil1_deg_z2))*P197,0)))
+(P$29=3)*(IF((P188/P189)&lt;al_seuil1_deg_z3,P197,IF((P188/P189)&lt;al_seuil2_deg_z3,(1-((P188/P189)-al_seuil1_deg_z3)/(al_seuil2_deg_z3-al_seuil1_deg_z3))*P197,0)))</f>
        <v>0</v>
      </c>
      <c r="R198" s="264">
        <f>(R$29=1)*(IF((R188/R189)&lt;al_seuil1_deg_z1,R197,IF((R188/R189)&lt;al_seuil2_deg_z1,(1-((R188/R189)-al_seuil1_deg_z1)/(al_seuil2_deg_z1-al_seuil1_deg_z1))*R197,0)))
+(R$29=2)*(IF((R188/R189)&lt;al_seuil1_deg_z2,R197,IF((R188/R189)&lt;al_seuil2_deg_z2,(1-((R188/R189)-al_seuil1_deg_z2)/(al_seuil2_deg_z2-al_seuil1_deg_z2))*R197,0)))
+(R$29=3)*(IF((R188/R189)&lt;al_seuil1_deg_z3,R197,IF((R188/R189)&lt;al_seuil2_deg_z3,(1-((R188/R189)-al_seuil1_deg_z3)/(al_seuil2_deg_z3-al_seuil1_deg_z3))*R197,0)))</f>
        <v>298.44999999999993</v>
      </c>
      <c r="S198" s="264">
        <f>(S$29=1)*(IF((S188/S189)&lt;al_seuil1_deg_z1,S197,IF((S188/S189)&lt;al_seuil2_deg_z1,(1-((S188/S189)-al_seuil1_deg_z1)/(al_seuil2_deg_z1-al_seuil1_deg_z1))*S197,0)))
+(S$29=2)*(IF((S188/S189)&lt;al_seuil1_deg_z2,S197,IF((S188/S189)&lt;al_seuil2_deg_z2,(1-((S188/S189)-al_seuil1_deg_z2)/(al_seuil2_deg_z2-al_seuil1_deg_z2))*S197,0)))
+(S$29=3)*(IF((S188/S189)&lt;al_seuil1_deg_z3,S197,IF((S188/S189)&lt;al_seuil2_deg_z3,(1-((S188/S189)-al_seuil1_deg_z3)/(al_seuil2_deg_z3-al_seuil1_deg_z3))*S197,0)))</f>
        <v>223.53549507942904</v>
      </c>
      <c r="T198" s="264">
        <f>(T$29=1)*(IF((T188/T189)&lt;al_seuil1_deg_z1,T197,IF((T188/T189)&lt;al_seuil2_deg_z1,(1-((T188/T189)-al_seuil1_deg_z1)/(al_seuil2_deg_z1-al_seuil1_deg_z1))*T197,0)))
+(T$29=2)*(IF((T188/T189)&lt;al_seuil1_deg_z2,T197,IF((T188/T189)&lt;al_seuil2_deg_z2,(1-((T188/T189)-al_seuil1_deg_z2)/(al_seuil2_deg_z2-al_seuil1_deg_z2))*T197,0)))
+(T$29=3)*(IF((T188/T189)&lt;al_seuil1_deg_z3,T197,IF((T188/T189)&lt;al_seuil2_deg_z3,(1-((T188/T189)-al_seuil1_deg_z3)/(al_seuil2_deg_z3-al_seuil1_deg_z3))*T197,0)))</f>
        <v>0</v>
      </c>
      <c r="U198" s="264">
        <f>(U$29=1)*(IF((U188/U189)&lt;al_seuil1_deg_z1,U197,IF((U188/U189)&lt;al_seuil2_deg_z1,(1-((U188/U189)-al_seuil1_deg_z1)/(al_seuil2_deg_z1-al_seuil1_deg_z1))*U197,0)))
+(U$29=2)*(IF((U188/U189)&lt;al_seuil1_deg_z2,U197,IF((U188/U189)&lt;al_seuil2_deg_z2,(1-((U188/U189)-al_seuil1_deg_z2)/(al_seuil2_deg_z2-al_seuil1_deg_z2))*U197,0)))
+(U$29=3)*(IF((U188/U189)&lt;al_seuil1_deg_z3,U197,IF((U188/U189)&lt;al_seuil2_deg_z3,(1-((U188/U189)-al_seuil1_deg_z3)/(al_seuil2_deg_z3-al_seuil1_deg_z3))*U197,0)))</f>
        <v>0</v>
      </c>
    </row>
    <row r="199" spans="1:21" ht="13" x14ac:dyDescent="0.3">
      <c r="A199" s="275" t="s">
        <v>212</v>
      </c>
      <c r="B199" s="10"/>
      <c r="C199" s="264">
        <f t="shared" ref="C199:D199" si="109">C198-al_reduc</f>
        <v>293.44999999999993</v>
      </c>
      <c r="D199" s="264">
        <f t="shared" si="109"/>
        <v>218.53549507942904</v>
      </c>
      <c r="E199" s="264">
        <f t="shared" ref="E199:F199" si="110">E198-al_reduc</f>
        <v>-5</v>
      </c>
      <c r="F199" s="264">
        <f t="shared" si="110"/>
        <v>-5</v>
      </c>
      <c r="H199" s="264">
        <f t="shared" ref="H199:K199" si="111">H198-al_reduc</f>
        <v>293.44999999999993</v>
      </c>
      <c r="I199" s="264">
        <f t="shared" si="111"/>
        <v>218.53549507942904</v>
      </c>
      <c r="J199" s="264">
        <f t="shared" si="111"/>
        <v>-5</v>
      </c>
      <c r="K199" s="264">
        <f t="shared" si="111"/>
        <v>-5</v>
      </c>
      <c r="M199" s="264">
        <f t="shared" ref="M199:P199" si="112">M198-al_reduc</f>
        <v>293.44999999999993</v>
      </c>
      <c r="N199" s="264">
        <f t="shared" si="112"/>
        <v>218.53549507942904</v>
      </c>
      <c r="O199" s="264">
        <f t="shared" si="112"/>
        <v>-5</v>
      </c>
      <c r="P199" s="264">
        <f t="shared" si="112"/>
        <v>-5</v>
      </c>
      <c r="R199" s="264">
        <f t="shared" ref="R199:U199" si="113">R198-al_reduc</f>
        <v>293.44999999999993</v>
      </c>
      <c r="S199" s="264">
        <f t="shared" si="113"/>
        <v>218.53549507942904</v>
      </c>
      <c r="T199" s="264">
        <f t="shared" si="113"/>
        <v>-5</v>
      </c>
      <c r="U199" s="264">
        <f t="shared" si="113"/>
        <v>-5</v>
      </c>
    </row>
    <row r="200" spans="1:21" ht="13.5" thickBot="1" x14ac:dyDescent="0.35">
      <c r="A200" s="288" t="s">
        <v>213</v>
      </c>
      <c r="B200" s="290"/>
      <c r="C200" s="291">
        <f t="shared" ref="C200:D200" si="114">IF(ROUNDDOWN(C199,0)&gt;=al_seuil_versement,C199,0)*(1-taux_CRDS)</f>
        <v>291.98274999999995</v>
      </c>
      <c r="D200" s="291">
        <f t="shared" si="114"/>
        <v>217.44281760403189</v>
      </c>
      <c r="E200" s="291">
        <f t="shared" ref="E200:F200" si="115">IF(ROUNDDOWN(E199,0)&gt;=al_seuil_versement,E199,0)*(1-taux_CRDS)</f>
        <v>0</v>
      </c>
      <c r="F200" s="291">
        <f t="shared" si="115"/>
        <v>0</v>
      </c>
      <c r="H200" s="291">
        <f t="shared" ref="H200:K200" si="116">IF(ROUNDDOWN(H199,0)&gt;=al_seuil_versement,H199,0)*(1-taux_CRDS)</f>
        <v>291.98274999999995</v>
      </c>
      <c r="I200" s="291">
        <f t="shared" si="116"/>
        <v>217.44281760403189</v>
      </c>
      <c r="J200" s="291">
        <f t="shared" si="116"/>
        <v>0</v>
      </c>
      <c r="K200" s="291">
        <f t="shared" si="116"/>
        <v>0</v>
      </c>
      <c r="M200" s="291">
        <f t="shared" ref="M200:P200" si="117">IF(ROUNDDOWN(M199,0)&gt;=al_seuil_versement,M199,0)*(1-taux_CRDS)</f>
        <v>291.98274999999995</v>
      </c>
      <c r="N200" s="291">
        <f t="shared" si="117"/>
        <v>217.44281760403189</v>
      </c>
      <c r="O200" s="291">
        <f t="shared" si="117"/>
        <v>0</v>
      </c>
      <c r="P200" s="291">
        <f t="shared" si="117"/>
        <v>0</v>
      </c>
      <c r="R200" s="291">
        <f t="shared" ref="R200:U200" si="118">IF(ROUNDDOWN(R199,0)&gt;=al_seuil_versement,R199,0)*(1-taux_CRDS)</f>
        <v>291.98274999999995</v>
      </c>
      <c r="S200" s="291">
        <f t="shared" si="118"/>
        <v>217.44281760403189</v>
      </c>
      <c r="T200" s="291">
        <f t="shared" si="118"/>
        <v>0</v>
      </c>
      <c r="U200" s="291">
        <f t="shared" si="118"/>
        <v>0</v>
      </c>
    </row>
    <row r="201" spans="1:21" x14ac:dyDescent="0.25">
      <c r="C201" s="201"/>
      <c r="D201" s="201"/>
      <c r="E201" s="201"/>
      <c r="F201" s="201"/>
      <c r="H201" s="201"/>
      <c r="I201" s="201"/>
      <c r="J201" s="201"/>
      <c r="K201" s="201"/>
      <c r="M201" s="201"/>
      <c r="N201" s="201"/>
      <c r="O201" s="201"/>
      <c r="P201" s="201"/>
      <c r="R201" s="201"/>
      <c r="S201" s="201"/>
      <c r="T201" s="201"/>
      <c r="U201" s="201"/>
    </row>
    <row r="202" spans="1:21" ht="13.5" thickBot="1" x14ac:dyDescent="0.35">
      <c r="A202" s="295" t="s">
        <v>335</v>
      </c>
      <c r="B202" s="89"/>
      <c r="C202" s="289"/>
      <c r="D202" s="289"/>
      <c r="E202" s="289"/>
      <c r="F202" s="289"/>
      <c r="H202" s="289"/>
      <c r="I202" s="289"/>
      <c r="J202" s="289"/>
      <c r="K202" s="289"/>
      <c r="M202" s="289"/>
      <c r="N202" s="289"/>
      <c r="O202" s="289"/>
      <c r="P202" s="289"/>
      <c r="R202" s="289"/>
      <c r="S202" s="289"/>
      <c r="T202" s="289"/>
      <c r="U202" s="289"/>
    </row>
    <row r="203" spans="1:21" s="4" customFormat="1" x14ac:dyDescent="0.25">
      <c r="A203" s="282" t="s">
        <v>353</v>
      </c>
      <c r="B203" s="121"/>
      <c r="C203" s="123">
        <f>AAH_I0*(1+AAH_Sup_enf*C97)</f>
        <v>1016.05</v>
      </c>
      <c r="D203" s="123">
        <f>AAH_I0*(1+AAH_Sup_enf*D97)</f>
        <v>1016.05</v>
      </c>
      <c r="E203" s="123">
        <f>AAH_I0*(1+AAH_Sup_enf*E97)</f>
        <v>1016.05</v>
      </c>
      <c r="F203" s="123">
        <f>AAH_I0*(1+AAH_Sup_enf*F97)</f>
        <v>1016.05</v>
      </c>
      <c r="H203" s="123">
        <f>AAH_I0*(1+AAH_Sup_enf*H97)</f>
        <v>1524.0749999999998</v>
      </c>
      <c r="I203" s="123">
        <f>AAH_I0*(1+AAH_Sup_enf*I97)</f>
        <v>1524.0749999999998</v>
      </c>
      <c r="J203" s="123">
        <f>AAH_I0*(1+AAH_Sup_enf*J97)</f>
        <v>1524.0749999999998</v>
      </c>
      <c r="K203" s="123">
        <f>AAH_I0*(1+AAH_Sup_enf*K97)</f>
        <v>1524.0749999999998</v>
      </c>
      <c r="M203" s="123">
        <f>AAH_I0*(1+AAH_Sup_enf*M97)</f>
        <v>2032.1</v>
      </c>
      <c r="N203" s="123">
        <f>AAH_I0*(1+AAH_Sup_enf*N97)</f>
        <v>2032.1</v>
      </c>
      <c r="O203" s="123">
        <f>AAH_I0*(1+AAH_Sup_enf*O97)</f>
        <v>2032.1</v>
      </c>
      <c r="P203" s="123">
        <f>AAH_I0*(1+AAH_Sup_enf*P97)</f>
        <v>2032.1</v>
      </c>
      <c r="R203" s="123">
        <f>AAH_I0*(1+AAH_Sup_enf*R97)</f>
        <v>2540.125</v>
      </c>
      <c r="S203" s="123">
        <f>AAH_I0*(1+AAH_Sup_enf*S97)</f>
        <v>2540.125</v>
      </c>
      <c r="T203" s="123">
        <f>AAH_I0*(1+AAH_Sup_enf*T97)</f>
        <v>2540.125</v>
      </c>
      <c r="U203" s="123">
        <f>AAH_I0*(1+AAH_Sup_enf*U97)</f>
        <v>2540.125</v>
      </c>
    </row>
    <row r="204" spans="1:21" s="4" customFormat="1" x14ac:dyDescent="0.25">
      <c r="A204" s="275" t="s">
        <v>349</v>
      </c>
      <c r="B204" s="5"/>
      <c r="C204" s="85">
        <f>(Coef_n/12)*(C$52-C$53+C$46+C$111)+(1-AAH_taux_abat1)*MIN(C$38*(Coef_n/0.9/12),AAH_seuil_abat1)+(1-AAH_taux_abat2)*MAX(0,C$38*(Coef_n/0.9/12)-AAH_seuil_abat1)</f>
        <v>0</v>
      </c>
      <c r="D204" s="85">
        <f>(Coef_n/12)*(D$52-D$53+D$46+D$111)+(1-AAH_taux_abat1)*MIN(D$38*(Coef_n/0.9/12),AAH_seuil_abat1)+(1-AAH_taux_abat2)*MAX(0,D$38*(Coef_n/0.9/12)-AAH_seuil_abat1)</f>
        <v>223.03068224993535</v>
      </c>
      <c r="E204" s="85">
        <f>(Coef_n/12)*(E$52-E$53+E$46+E$111)+(1-AAH_taux_abat1)*MIN(E$38*(Coef_n/0.9/12),AAH_seuil_abat1)+(1-AAH_taux_abat2)*MAX(0,E$38*(Coef_n/0.9/12)-AAH_seuil_abat1)</f>
        <v>658.09136449987079</v>
      </c>
      <c r="F204" s="85">
        <f>(Coef_n/12)*(F$52-F$53+F$46+F$111)+(1-AAH_taux_abat1)*MIN(F$38*(Coef_n/0.9/12),AAH_seuil_abat1)+(1-AAH_taux_abat2)*MAX(0,F$38*(Coef_n/0.9/12)-AAH_seuil_abat1)</f>
        <v>1093.1520467498062</v>
      </c>
      <c r="H204" s="85">
        <f>(Coef_n/12)*(H$52-H$53+H$46+H$111)+(1-AAH_taux_abat1)*MIN(H$38*(Coef_n/0.9/12),AAH_seuil_abat1)+(1-AAH_taux_abat2)*MAX(0,H$38*(Coef_n/0.9/12)-AAH_seuil_abat1)</f>
        <v>0</v>
      </c>
      <c r="I204" s="85">
        <f>(Coef_n/12)*(I$52-I$53+I$46+I$111)+(1-AAH_taux_abat1)*MIN(I$38*(Coef_n/0.9/12),AAH_seuil_abat1)+(1-AAH_taux_abat2)*MAX(0,I$38*(Coef_n/0.9/12)-AAH_seuil_abat1)</f>
        <v>223.03068224993535</v>
      </c>
      <c r="J204" s="85">
        <f>(Coef_n/12)*(J$52-J$53+J$46+J$111)+(1-AAH_taux_abat1)*MIN(J$38*(Coef_n/0.9/12),AAH_seuil_abat1)+(1-AAH_taux_abat2)*MAX(0,J$38*(Coef_n/0.9/12)-AAH_seuil_abat1)</f>
        <v>658.09136449987079</v>
      </c>
      <c r="K204" s="85">
        <f>(Coef_n/12)*(K$52-K$53+K$46+K$111)+(1-AAH_taux_abat1)*MIN(K$38*(Coef_n/0.9/12),AAH_seuil_abat1)+(1-AAH_taux_abat2)*MAX(0,K$38*(Coef_n/0.9/12)-AAH_seuil_abat1)</f>
        <v>1093.1520467498062</v>
      </c>
      <c r="M204" s="85">
        <f>(Coef_n/12)*(M$52-M$53+M$46+M$111)+(1-AAH_taux_abat1)*MIN(M$38*(Coef_n/0.9/12),AAH_seuil_abat1)+(1-AAH_taux_abat2)*MAX(0,M$38*(Coef_n/0.9/12)-AAH_seuil_abat1)</f>
        <v>0</v>
      </c>
      <c r="N204" s="85">
        <f>(Coef_n/12)*(N$52-N$53+N$46+N$111)+(1-AAH_taux_abat1)*MIN(N$38*(Coef_n/0.9/12),AAH_seuil_abat1)+(1-AAH_taux_abat2)*MAX(0,N$38*(Coef_n/0.9/12)-AAH_seuil_abat1)</f>
        <v>223.03068224993535</v>
      </c>
      <c r="O204" s="85">
        <f>(Coef_n/12)*(O$52-O$53+O$46+O$111)+(1-AAH_taux_abat1)*MIN(O$38*(Coef_n/0.9/12),AAH_seuil_abat1)+(1-AAH_taux_abat2)*MAX(0,O$38*(Coef_n/0.9/12)-AAH_seuil_abat1)</f>
        <v>658.09136449987079</v>
      </c>
      <c r="P204" s="85">
        <f>(Coef_n/12)*(P$52-P$53+P$46+P$111)+(1-AAH_taux_abat1)*MIN(P$38*(Coef_n/0.9/12),AAH_seuil_abat1)+(1-AAH_taux_abat2)*MAX(0,P$38*(Coef_n/0.9/12)-AAH_seuil_abat1)</f>
        <v>1093.1520467498062</v>
      </c>
      <c r="R204" s="85">
        <f>(Coef_n/12)*(R$52-R$53+R$46+R$111)+(1-AAH_taux_abat1)*MIN(R$38*(Coef_n/0.9/12),AAH_seuil_abat1)+(1-AAH_taux_abat2)*MAX(0,R$38*(Coef_n/0.9/12)-AAH_seuil_abat1)</f>
        <v>0</v>
      </c>
      <c r="S204" s="85">
        <f>(Coef_n/12)*(S$52-S$53+S$46+S$111)+(1-AAH_taux_abat1)*MIN(S$38*(Coef_n/0.9/12),AAH_seuil_abat1)+(1-AAH_taux_abat2)*MAX(0,S$38*(Coef_n/0.9/12)-AAH_seuil_abat1)</f>
        <v>223.03068224993535</v>
      </c>
      <c r="T204" s="85">
        <f>(Coef_n/12)*(T$52-T$53+T$46+T$111)+(1-AAH_taux_abat1)*MIN(T$38*(Coef_n/0.9/12),AAH_seuil_abat1)+(1-AAH_taux_abat2)*MAX(0,T$38*(Coef_n/0.9/12)-AAH_seuil_abat1)</f>
        <v>658.09136449987079</v>
      </c>
      <c r="U204" s="85">
        <f>(Coef_n/12)*(U$52-U$53+U$46+U$111)+(1-AAH_taux_abat1)*MIN(U$38*(Coef_n/0.9/12),AAH_seuil_abat1)+(1-AAH_taux_abat2)*MAX(0,U$38*(Coef_n/0.9/12)-AAH_seuil_abat1)</f>
        <v>1093.1520467498062</v>
      </c>
    </row>
    <row r="205" spans="1:21" s="4" customFormat="1" x14ac:dyDescent="0.25">
      <c r="A205" s="275" t="s">
        <v>350</v>
      </c>
      <c r="B205" s="5"/>
      <c r="C205" s="85">
        <f>MAX(0,MIN(AAH_I0,C$203-C204))</f>
        <v>1016.05</v>
      </c>
      <c r="D205" s="85">
        <f>MAX(0,MIN(AAH_I0,D$203-D204))</f>
        <v>793.0193177500646</v>
      </c>
      <c r="E205" s="85">
        <f>MAX(0,MIN(AAH_I0,E$203-E204))</f>
        <v>357.95863550012916</v>
      </c>
      <c r="F205" s="85">
        <f>MAX(0,MIN(AAH_I0,F$203-F204))</f>
        <v>0</v>
      </c>
      <c r="H205" s="85">
        <f>MAX(0,MIN(AAH_I0,H$203-H204))</f>
        <v>1016.05</v>
      </c>
      <c r="I205" s="85">
        <f>MAX(0,MIN(AAH_I0,I$203-I204))</f>
        <v>1016.05</v>
      </c>
      <c r="J205" s="85">
        <f>MAX(0,MIN(AAH_I0,J$203-J204))</f>
        <v>865.98363550012903</v>
      </c>
      <c r="K205" s="85">
        <f>MAX(0,MIN(AAH_I0,K$203-K204))</f>
        <v>430.92295325019359</v>
      </c>
      <c r="M205" s="85">
        <f>MAX(0,MIN(AAH_I0,M$203-M204))</f>
        <v>1016.05</v>
      </c>
      <c r="N205" s="85">
        <f>MAX(0,MIN(AAH_I0,N$203-N204))</f>
        <v>1016.05</v>
      </c>
      <c r="O205" s="85">
        <f>MAX(0,MIN(AAH_I0,O$203-O204))</f>
        <v>1016.05</v>
      </c>
      <c r="P205" s="85">
        <f>MAX(0,MIN(AAH_I0,P$203-P204))</f>
        <v>938.94795325019368</v>
      </c>
      <c r="R205" s="85">
        <f>MAX(0,MIN(AAH_I0,R$203-R204))</f>
        <v>1016.05</v>
      </c>
      <c r="S205" s="85">
        <f>MAX(0,MIN(AAH_I0,S$203-S204))</f>
        <v>1016.05</v>
      </c>
      <c r="T205" s="85">
        <f>MAX(0,MIN(AAH_I0,T$203-T204))</f>
        <v>1016.05</v>
      </c>
      <c r="U205" s="85">
        <f>MAX(0,MIN(AAH_I0,U$203-U204))</f>
        <v>1016.05</v>
      </c>
    </row>
    <row r="206" spans="1:21" s="4" customFormat="1" x14ac:dyDescent="0.25">
      <c r="A206" s="275" t="s">
        <v>351</v>
      </c>
      <c r="B206" s="5"/>
      <c r="C206" s="85">
        <f>(((Coef_n/12)*(C$49+C$116)+(1-AAH_taux_abat1)*MIN(C$39*Coef_n/0.9/12,AAH_seuil_abat1)+(1-AAH_taux_abat2)*MAX(0,C$39*Coef_n/0.9/12-AAH_seuil_abat1)))</f>
        <v>0</v>
      </c>
      <c r="D206" s="85">
        <f>(((Coef_n/12)*(D$49+D$116)+(1-AAH_taux_abat1)*MIN(D$39*Coef_n/0.9/12,AAH_seuil_abat1)+(1-AAH_taux_abat2)*MAX(0,D$39*Coef_n/0.9/12-AAH_seuil_abat1)))</f>
        <v>0</v>
      </c>
      <c r="E206" s="85">
        <f>(((Coef_n/12)*(E$49+E$116)+(1-AAH_taux_abat1)*MIN(E$39*Coef_n/0.9/12,AAH_seuil_abat1)+(1-AAH_taux_abat2)*MAX(0,E$39*Coef_n/0.9/12-AAH_seuil_abat1)))</f>
        <v>0</v>
      </c>
      <c r="F206" s="85">
        <f>(((Coef_n/12)*(F$49+F$116)+(1-AAH_taux_abat1)*MIN(F$39*Coef_n/0.9/12,AAH_seuil_abat1)+(1-AAH_taux_abat2)*MAX(0,F$39*Coef_n/0.9/12-AAH_seuil_abat1)))</f>
        <v>0</v>
      </c>
      <c r="H206" s="85">
        <f>(((Coef_n/12)*(H$49+H$116)+(1-AAH_taux_abat1)*MIN(H$39*Coef_n/0.9/12,AAH_seuil_abat1)+(1-AAH_taux_abat2)*MAX(0,H$39*Coef_n/0.9/12-AAH_seuil_abat1)))</f>
        <v>0</v>
      </c>
      <c r="I206" s="85">
        <f>(((Coef_n/12)*(I$49+I$116)+(1-AAH_taux_abat1)*MIN(I$39*Coef_n/0.9/12,AAH_seuil_abat1)+(1-AAH_taux_abat2)*MAX(0,I$39*Coef_n/0.9/12-AAH_seuil_abat1)))</f>
        <v>0</v>
      </c>
      <c r="J206" s="85">
        <f>(((Coef_n/12)*(J$49+J$116)+(1-AAH_taux_abat1)*MIN(J$39*Coef_n/0.9/12,AAH_seuil_abat1)+(1-AAH_taux_abat2)*MAX(0,J$39*Coef_n/0.9/12-AAH_seuil_abat1)))</f>
        <v>0</v>
      </c>
      <c r="K206" s="85">
        <f>(((Coef_n/12)*(K$49+K$116)+(1-AAH_taux_abat1)*MIN(K$39*Coef_n/0.9/12,AAH_seuil_abat1)+(1-AAH_taux_abat2)*MAX(0,K$39*Coef_n/0.9/12-AAH_seuil_abat1)))</f>
        <v>0</v>
      </c>
      <c r="M206" s="85">
        <f>(((Coef_n/12)*(M$49+M$116)+(1-AAH_taux_abat1)*MIN(M$39*Coef_n/0.9/12,AAH_seuil_abat1)+(1-AAH_taux_abat2)*MAX(0,M$39*Coef_n/0.9/12-AAH_seuil_abat1)))</f>
        <v>0</v>
      </c>
      <c r="N206" s="85">
        <f>(((Coef_n/12)*(N$49+N$116)+(1-AAH_taux_abat1)*MIN(N$39*Coef_n/0.9/12,AAH_seuil_abat1)+(1-AAH_taux_abat2)*MAX(0,N$39*Coef_n/0.9/12-AAH_seuil_abat1)))</f>
        <v>0</v>
      </c>
      <c r="O206" s="85">
        <f>(((Coef_n/12)*(O$49+O$116)+(1-AAH_taux_abat1)*MIN(O$39*Coef_n/0.9/12,AAH_seuil_abat1)+(1-AAH_taux_abat2)*MAX(0,O$39*Coef_n/0.9/12-AAH_seuil_abat1)))</f>
        <v>0</v>
      </c>
      <c r="P206" s="85">
        <f>(((Coef_n/12)*(P$49+P$116)+(1-AAH_taux_abat1)*MIN(P$39*Coef_n/0.9/12,AAH_seuil_abat1)+(1-AAH_taux_abat2)*MAX(0,P$39*Coef_n/0.9/12-AAH_seuil_abat1)))</f>
        <v>0</v>
      </c>
      <c r="R206" s="85">
        <f>(((Coef_n/12)*(R$49+R$116)+(1-AAH_taux_abat1)*MIN(R$39*Coef_n/0.9/12,AAH_seuil_abat1)+(1-AAH_taux_abat2)*MAX(0,R$39*Coef_n/0.9/12-AAH_seuil_abat1)))</f>
        <v>0</v>
      </c>
      <c r="S206" s="85">
        <f>(((Coef_n/12)*(S$49+S$116)+(1-AAH_taux_abat1)*MIN(S$39*Coef_n/0.9/12,AAH_seuil_abat1)+(1-AAH_taux_abat2)*MAX(0,S$39*Coef_n/0.9/12-AAH_seuil_abat1)))</f>
        <v>0</v>
      </c>
      <c r="T206" s="85">
        <f>(((Coef_n/12)*(T$49+T$116)+(1-AAH_taux_abat1)*MIN(T$39*Coef_n/0.9/12,AAH_seuil_abat1)+(1-AAH_taux_abat2)*MAX(0,T$39*Coef_n/0.9/12-AAH_seuil_abat1)))</f>
        <v>0</v>
      </c>
      <c r="U206" s="85">
        <f>(((Coef_n/12)*(U$49+U$116)+(1-AAH_taux_abat1)*MIN(U$39*Coef_n/0.9/12,AAH_seuil_abat1)+(1-AAH_taux_abat2)*MAX(0,U$39*Coef_n/0.9/12-AAH_seuil_abat1)))</f>
        <v>0</v>
      </c>
    </row>
    <row r="207" spans="1:21" s="4" customFormat="1" x14ac:dyDescent="0.25">
      <c r="A207" s="275" t="s">
        <v>352</v>
      </c>
      <c r="B207" s="5"/>
      <c r="C207" s="85">
        <f>(C$3="couple")*(MAX(0,MIN(AAH_I0,C$203-C206)))</f>
        <v>0</v>
      </c>
      <c r="D207" s="85">
        <f>(D$3="couple")*(MAX(0,MIN(AAH_I0,D$203-D206)))</f>
        <v>0</v>
      </c>
      <c r="E207" s="85">
        <f>(E$3="couple")*(MAX(0,MIN(AAH_I0,E$203-E206)))</f>
        <v>0</v>
      </c>
      <c r="F207" s="85">
        <f>(F$3="couple")*(MAX(0,MIN(AAH_I0,F$203-F206)))</f>
        <v>0</v>
      </c>
      <c r="H207" s="85">
        <f>(H$3="couple")*(MAX(0,MIN(AAH_I0,H$203-H206)))</f>
        <v>0</v>
      </c>
      <c r="I207" s="85">
        <f>(I$3="couple")*(MAX(0,MIN(AAH_I0,I$203-I206)))</f>
        <v>0</v>
      </c>
      <c r="J207" s="85">
        <f>(J$3="couple")*(MAX(0,MIN(AAH_I0,J$203-J206)))</f>
        <v>0</v>
      </c>
      <c r="K207" s="85">
        <f>(K$3="couple")*(MAX(0,MIN(AAH_I0,K$203-K206)))</f>
        <v>0</v>
      </c>
      <c r="M207" s="85">
        <f>(M$3="couple")*(MAX(0,MIN(AAH_I0,M$203-M206)))</f>
        <v>0</v>
      </c>
      <c r="N207" s="85">
        <f>(N$3="couple")*(MAX(0,MIN(AAH_I0,N$203-N206)))</f>
        <v>0</v>
      </c>
      <c r="O207" s="85">
        <f>(O$3="couple")*(MAX(0,MIN(AAH_I0,O$203-O206)))</f>
        <v>0</v>
      </c>
      <c r="P207" s="85">
        <f>(P$3="couple")*(MAX(0,MIN(AAH_I0,P$203-P206)))</f>
        <v>0</v>
      </c>
      <c r="R207" s="85">
        <f>(R$3="couple")*(MAX(0,MIN(AAH_I0,R$203-R206)))</f>
        <v>0</v>
      </c>
      <c r="S207" s="85">
        <f>(S$3="couple")*(MAX(0,MIN(AAH_I0,S$203-S206)))</f>
        <v>0</v>
      </c>
      <c r="T207" s="85">
        <f>(T$3="couple")*(MAX(0,MIN(AAH_I0,T$203-T206)))</f>
        <v>0</v>
      </c>
      <c r="U207" s="85">
        <f>(U$3="couple")*(MAX(0,MIN(AAH_I0,U$203-U206)))</f>
        <v>0</v>
      </c>
    </row>
    <row r="210" spans="1:21" ht="13.5" thickBot="1" x14ac:dyDescent="0.35">
      <c r="A210" s="295" t="s">
        <v>500</v>
      </c>
      <c r="B210" s="89"/>
      <c r="C210" s="289"/>
      <c r="D210" s="289"/>
      <c r="E210" s="289"/>
      <c r="F210" s="289"/>
      <c r="H210" s="289"/>
      <c r="I210" s="289"/>
      <c r="J210" s="289"/>
      <c r="K210" s="289"/>
      <c r="M210" s="289"/>
      <c r="N210" s="289"/>
      <c r="O210" s="289"/>
      <c r="P210" s="289"/>
      <c r="R210" s="289"/>
      <c r="S210" s="289"/>
      <c r="T210" s="289"/>
      <c r="U210" s="289"/>
    </row>
    <row r="211" spans="1:21" ht="13" thickBot="1" x14ac:dyDescent="0.3">
      <c r="A211" s="451" t="s">
        <v>501</v>
      </c>
      <c r="B211" s="452"/>
      <c r="C211" s="453">
        <f>(C13&lt;&gt;"png")*(C13&lt;&gt;"ga_p")*C$99</f>
        <v>0</v>
      </c>
      <c r="D211" s="453">
        <f>(D13&lt;&gt;"png")*(D13&lt;&gt;"ga_p")*D$99</f>
        <v>0</v>
      </c>
      <c r="E211" s="453">
        <f>(E13&lt;&gt;"png")*(E13&lt;&gt;"ga_p")*E$99</f>
        <v>0</v>
      </c>
      <c r="F211" s="453">
        <f>(F13&lt;&gt;"png")*(F13&lt;&gt;"ga_p")*F$99</f>
        <v>0</v>
      </c>
      <c r="H211" s="453">
        <f>(H13&lt;&gt;"png")*(H13&lt;&gt;"ga_p")*H$99</f>
        <v>1</v>
      </c>
      <c r="I211" s="453">
        <f>(I13&lt;&gt;"png")*(I13&lt;&gt;"ga_p")*I$99</f>
        <v>1</v>
      </c>
      <c r="J211" s="453">
        <f>(J13&lt;&gt;"png")*(J13&lt;&gt;"ga_p")*J$99</f>
        <v>1</v>
      </c>
      <c r="K211" s="453">
        <f>(K13&lt;&gt;"png")*(K13&lt;&gt;"ga_p")*K$99</f>
        <v>1</v>
      </c>
      <c r="M211" s="453">
        <f>(M13&lt;&gt;"png")*(M13&lt;&gt;"ga_p")*M$99</f>
        <v>2</v>
      </c>
      <c r="N211" s="453">
        <f>(N13&lt;&gt;"png")*(N13&lt;&gt;"ga_p")*N$99</f>
        <v>2</v>
      </c>
      <c r="O211" s="453">
        <f>(O13&lt;&gt;"png")*(O13&lt;&gt;"ga_p")*O$99</f>
        <v>2</v>
      </c>
      <c r="P211" s="453">
        <f>(P13&lt;&gt;"png")*(P13&lt;&gt;"ga_p")*P$99</f>
        <v>2</v>
      </c>
      <c r="R211" s="453">
        <f>(R13&lt;&gt;"png")*(R13&lt;&gt;"ga_p")*R$99</f>
        <v>3</v>
      </c>
      <c r="S211" s="453">
        <f>(S13&lt;&gt;"png")*(S13&lt;&gt;"ga_p")*S$99</f>
        <v>3</v>
      </c>
      <c r="T211" s="453">
        <f>(T13&lt;&gt;"png")*(T13&lt;&gt;"ga_p")*T$99</f>
        <v>3</v>
      </c>
      <c r="U211" s="453">
        <f>(U13&lt;&gt;"png")*(U13&lt;&gt;"ga_p")*U$99</f>
        <v>3</v>
      </c>
    </row>
    <row r="212" spans="1:21" x14ac:dyDescent="0.25">
      <c r="C212" s="201"/>
      <c r="D212" s="201"/>
      <c r="E212" s="201"/>
      <c r="F212" s="201"/>
      <c r="H212" s="201"/>
      <c r="I212" s="201"/>
      <c r="J212" s="201"/>
      <c r="K212" s="201"/>
      <c r="M212" s="201"/>
      <c r="N212" s="201"/>
      <c r="O212" s="201"/>
      <c r="P212" s="201"/>
      <c r="R212" s="201"/>
      <c r="S212" s="201"/>
      <c r="T212" s="201"/>
      <c r="U212" s="201"/>
    </row>
    <row r="213" spans="1:21" s="4" customFormat="1" ht="13.5" thickBot="1" x14ac:dyDescent="0.35">
      <c r="A213" s="295" t="s">
        <v>84</v>
      </c>
      <c r="B213" s="89"/>
      <c r="C213" s="289"/>
      <c r="D213" s="289"/>
      <c r="E213" s="289"/>
      <c r="F213" s="289"/>
      <c r="H213" s="289"/>
      <c r="I213" s="289"/>
      <c r="J213" s="289"/>
      <c r="K213" s="289"/>
      <c r="M213" s="289"/>
      <c r="N213" s="289"/>
      <c r="O213" s="289"/>
      <c r="P213" s="289"/>
      <c r="R213" s="289"/>
      <c r="S213" s="289"/>
      <c r="T213" s="289"/>
      <c r="U213" s="289"/>
    </row>
    <row r="214" spans="1:21" s="4" customFormat="1" x14ac:dyDescent="0.25">
      <c r="A214" s="117" t="s">
        <v>0</v>
      </c>
      <c r="B214" s="121"/>
      <c r="C214" s="123">
        <f>IF(C$3="couple",(C$211=0)*rsa_C0+(C$211=1)*rsa_C1+(C$211&gt;=2)*(rsa_C2+(C$211-2)*rsa_sup_enf),0)+IF(C$3="isolé",(C19=0)*((C$211=0)*rsa_I0+(C$211=1)*rsa_I1+(C$211&gt;=2)*(rsa_I2+(C$211-2)*rsa_sup_enf))+(C19=1)*((C$211=0)*rsam_I0+(C$211=1)*rsam_I1+(C$211&gt;=2)*(rsam_I2+(C$211-2)*rsam_sup_enf)),0)</f>
        <v>635.71</v>
      </c>
      <c r="D214" s="123">
        <f>IF(D$3="couple",(D$211=0)*rsa_C0+(D$211=1)*rsa_C1+(D$211&gt;=2)*(rsa_C2+(D$211-2)*rsa_sup_enf),0)+IF(D$3="isolé",(D19=0)*((D$211=0)*rsa_I0+(D$211=1)*rsa_I1+(D$211&gt;=2)*(rsa_I2+(D$211-2)*rsa_sup_enf))+(D19=1)*((D$211=0)*rsam_I0+(D$211=1)*rsam_I1+(D$211&gt;=2)*(rsam_I2+(D$211-2)*rsam_sup_enf)),0)</f>
        <v>635.71</v>
      </c>
      <c r="E214" s="123">
        <f>IF(E$3="couple",(E$211=0)*rsa_C0+(E$211=1)*rsa_C1+(E$211&gt;=2)*(rsa_C2+(E$211-2)*rsa_sup_enf),0)+IF(E$3="isolé",(E19=0)*((E$211=0)*rsa_I0+(E$211=1)*rsa_I1+(E$211&gt;=2)*(rsa_I2+(E$211-2)*rsa_sup_enf))+(E19=1)*((E$211=0)*rsam_I0+(E$211=1)*rsam_I1+(E$211&gt;=2)*(rsam_I2+(E$211-2)*rsam_sup_enf)),0)</f>
        <v>635.71</v>
      </c>
      <c r="F214" s="123">
        <f>IF(F$3="couple",(F$211=0)*rsa_C0+(F$211=1)*rsa_C1+(F$211&gt;=2)*(rsa_C2+(F$211-2)*rsa_sup_enf),0)+IF(F$3="isolé",(F19=0)*((F$211=0)*rsa_I0+(F$211=1)*rsa_I1+(F$211&gt;=2)*(rsa_I2+(F$211-2)*rsa_sup_enf))+(F19=1)*((F$211=0)*rsam_I0+(F$211=1)*rsam_I1+(F$211&gt;=2)*(rsam_I2+(F$211-2)*rsam_sup_enf)),0)</f>
        <v>635.71</v>
      </c>
      <c r="H214" s="123">
        <f>IF(H$3="couple",(H$211=0)*rsa_C0+(H$211=1)*rsa_C1+(H$211&gt;=2)*(rsa_C2+(H$211-2)*rsa_sup_enf),0)+IF(H$3="isolé",(H19=0)*((H$211=0)*rsa_I0+(H$211=1)*rsa_I1+(H$211&gt;=2)*(rsa_I2+(H$211-2)*rsa_sup_enf))+(H19=1)*((H$211=0)*rsam_I0+(H$211=1)*rsam_I1+(H$211&gt;=2)*(rsam_I2+(H$211-2)*rsam_sup_enf)),0)</f>
        <v>953.56500000000005</v>
      </c>
      <c r="I214" s="123">
        <f>IF(I$3="couple",(I$211=0)*rsa_C0+(I$211=1)*rsa_C1+(I$211&gt;=2)*(rsa_C2+(I$211-2)*rsa_sup_enf),0)+IF(I$3="isolé",(I19=0)*((I$211=0)*rsa_I0+(I$211=1)*rsa_I1+(I$211&gt;=2)*(rsa_I2+(I$211-2)*rsa_sup_enf))+(I19=1)*((I$211=0)*rsam_I0+(I$211=1)*rsam_I1+(I$211&gt;=2)*(rsam_I2+(I$211-2)*rsam_sup_enf)),0)</f>
        <v>953.56500000000005</v>
      </c>
      <c r="J214" s="123">
        <f>IF(J$3="couple",(J$211=0)*rsa_C0+(J$211=1)*rsa_C1+(J$211&gt;=2)*(rsa_C2+(J$211-2)*rsa_sup_enf),0)+IF(J$3="isolé",(J19=0)*((J$211=0)*rsa_I0+(J$211=1)*rsa_I1+(J$211&gt;=2)*(rsa_I2+(J$211-2)*rsa_sup_enf))+(J19=1)*((J$211=0)*rsam_I0+(J$211=1)*rsam_I1+(J$211&gt;=2)*(rsam_I2+(J$211-2)*rsam_sup_enf)),0)</f>
        <v>953.56500000000005</v>
      </c>
      <c r="K214" s="123">
        <f>IF(K$3="couple",(K$211=0)*rsa_C0+(K$211=1)*rsa_C1+(K$211&gt;=2)*(rsa_C2+(K$211-2)*rsa_sup_enf),0)+IF(K$3="isolé",(K19=0)*((K$211=0)*rsa_I0+(K$211=1)*rsa_I1+(K$211&gt;=2)*(rsa_I2+(K$211-2)*rsa_sup_enf))+(K19=1)*((K$211=0)*rsam_I0+(K$211=1)*rsam_I1+(K$211&gt;=2)*(rsam_I2+(K$211-2)*rsam_sup_enf)),0)</f>
        <v>953.56500000000005</v>
      </c>
      <c r="M214" s="123">
        <f>IF(M$3="couple",(M$211=0)*rsa_C0+(M$211=1)*rsa_C1+(M$211&gt;=2)*(rsa_C2+(M$211-2)*rsa_sup_enf),0)+IF(M$3="isolé",(M19=0)*((M$211=0)*rsa_I0+(M$211=1)*rsa_I1+(M$211&gt;=2)*(rsa_I2+(M$211-2)*rsa_sup_enf))+(M19=1)*((M$211=0)*rsam_I0+(M$211=1)*rsam_I1+(M$211&gt;=2)*(rsam_I2+(M$211-2)*rsam_sup_enf)),0)</f>
        <v>1144.278</v>
      </c>
      <c r="N214" s="123">
        <f>IF(N$3="couple",(N$211=0)*rsa_C0+(N$211=1)*rsa_C1+(N$211&gt;=2)*(rsa_C2+(N$211-2)*rsa_sup_enf),0)+IF(N$3="isolé",(N19=0)*((N$211=0)*rsa_I0+(N$211=1)*rsa_I1+(N$211&gt;=2)*(rsa_I2+(N$211-2)*rsa_sup_enf))+(N19=1)*((N$211=0)*rsam_I0+(N$211=1)*rsam_I1+(N$211&gt;=2)*(rsam_I2+(N$211-2)*rsam_sup_enf)),0)</f>
        <v>1144.278</v>
      </c>
      <c r="O214" s="123">
        <f>IF(O$3="couple",(O$211=0)*rsa_C0+(O$211=1)*rsa_C1+(O$211&gt;=2)*(rsa_C2+(O$211-2)*rsa_sup_enf),0)+IF(O$3="isolé",(O19=0)*((O$211=0)*rsa_I0+(O$211=1)*rsa_I1+(O$211&gt;=2)*(rsa_I2+(O$211-2)*rsa_sup_enf))+(O19=1)*((O$211=0)*rsam_I0+(O$211=1)*rsam_I1+(O$211&gt;=2)*(rsam_I2+(O$211-2)*rsam_sup_enf)),0)</f>
        <v>1144.278</v>
      </c>
      <c r="P214" s="123">
        <f>IF(P$3="couple",(P$211=0)*rsa_C0+(P$211=1)*rsa_C1+(P$211&gt;=2)*(rsa_C2+(P$211-2)*rsa_sup_enf),0)+IF(P$3="isolé",(P19=0)*((P$211=0)*rsa_I0+(P$211=1)*rsa_I1+(P$211&gt;=2)*(rsa_I2+(P$211-2)*rsa_sup_enf))+(P19=1)*((P$211=0)*rsam_I0+(P$211=1)*rsam_I1+(P$211&gt;=2)*(rsam_I2+(P$211-2)*rsam_sup_enf)),0)</f>
        <v>1144.278</v>
      </c>
      <c r="R214" s="123">
        <f>IF(R$3="couple",(R$211=0)*rsa_C0+(R$211=1)*rsa_C1+(R$211&gt;=2)*(rsa_C2+(R$211-2)*rsa_sup_enf),0)+IF(R$3="isolé",(R19=0)*((R$211=0)*rsa_I0+(R$211=1)*rsa_I1+(R$211&gt;=2)*(rsa_I2+(R$211-2)*rsa_sup_enf))+(R19=1)*((R$211=0)*rsam_I0+(R$211=1)*rsam_I1+(R$211&gt;=2)*(rsam_I2+(R$211-2)*rsam_sup_enf)),0)</f>
        <v>1398.5620000000001</v>
      </c>
      <c r="S214" s="123">
        <f>IF(S$3="couple",(S$211=0)*rsa_C0+(S$211=1)*rsa_C1+(S$211&gt;=2)*(rsa_C2+(S$211-2)*rsa_sup_enf),0)+IF(S$3="isolé",(S19=0)*((S$211=0)*rsa_I0+(S$211=1)*rsa_I1+(S$211&gt;=2)*(rsa_I2+(S$211-2)*rsa_sup_enf))+(S19=1)*((S$211=0)*rsam_I0+(S$211=1)*rsam_I1+(S$211&gt;=2)*(rsam_I2+(S$211-2)*rsam_sup_enf)),0)</f>
        <v>1398.5620000000001</v>
      </c>
      <c r="T214" s="123">
        <f>IF(T$3="couple",(T$211=0)*rsa_C0+(T$211=1)*rsa_C1+(T$211&gt;=2)*(rsa_C2+(T$211-2)*rsa_sup_enf),0)+IF(T$3="isolé",(T19=0)*((T$211=0)*rsa_I0+(T$211=1)*rsa_I1+(T$211&gt;=2)*(rsa_I2+(T$211-2)*rsa_sup_enf))+(T19=1)*((T$211=0)*rsam_I0+(T$211=1)*rsam_I1+(T$211&gt;=2)*(rsam_I2+(T$211-2)*rsam_sup_enf)),0)</f>
        <v>1398.5620000000001</v>
      </c>
      <c r="U214" s="123">
        <f>IF(U$3="couple",(U$211=0)*rsa_C0+(U$211=1)*rsa_C1+(U$211&gt;=2)*(rsa_C2+(U$211-2)*rsa_sup_enf),0)+IF(U$3="isolé",(U19=0)*((U$211=0)*rsa_I0+(U$211=1)*rsa_I1+(U$211&gt;=2)*(rsa_I2+(U$211-2)*rsa_sup_enf))+(U19=1)*((U$211=0)*rsam_I0+(U$211=1)*rsam_I1+(U$211&gt;=2)*(rsam_I2+(U$211-2)*rsam_sup_enf)),0)</f>
        <v>1398.5620000000001</v>
      </c>
    </row>
    <row r="215" spans="1:21" s="4" customFormat="1" x14ac:dyDescent="0.25">
      <c r="A215" s="275" t="s">
        <v>215</v>
      </c>
      <c r="B215" s="5"/>
      <c r="C215" s="85">
        <f>MIN(IF(C$3="isolé",(C$211=0)*rsa_fl_1+(C$211=1)*rsa_fl_2+(C$211&gt;1)*rsa_fl_3,(C$211=0)*rsa_fl_2+(C$211&gt;0)*rsa_fl_3),C$185)</f>
        <v>76.285200000000003</v>
      </c>
      <c r="D215" s="85">
        <f>MIN(IF(D$3="isolé",(D$211=0)*rsa_fl_1+(D$211=1)*rsa_fl_2+(D$211&gt;1)*rsa_fl_3,(D$211=0)*rsa_fl_2+(D$211&gt;0)*rsa_fl_3),D$185)</f>
        <v>76.285200000000003</v>
      </c>
      <c r="E215" s="85">
        <f>MIN(IF(E$3="isolé",(E$211=0)*rsa_fl_1+(E$211=1)*rsa_fl_2+(E$211&gt;1)*rsa_fl_3,(E$211=0)*rsa_fl_2+(E$211&gt;0)*rsa_fl_3),E$185)</f>
        <v>0</v>
      </c>
      <c r="F215" s="85">
        <f>MIN(IF(F$3="isolé",(F$211=0)*rsa_fl_1+(F$211=1)*rsa_fl_2+(F$211&gt;1)*rsa_fl_3,(F$211=0)*rsa_fl_2+(F$211&gt;0)*rsa_fl_3),F$185)</f>
        <v>0</v>
      </c>
      <c r="H215" s="85">
        <f>MIN(IF(H$3="isolé",(H$211=0)*rsa_fl_1+(H$211=1)*rsa_fl_2+(H$211&gt;1)*rsa_fl_3,(H$211=0)*rsa_fl_2+(H$211&gt;0)*rsa_fl_3),H$185)</f>
        <v>152.57040000000001</v>
      </c>
      <c r="I215" s="85">
        <f>MIN(IF(I$3="isolé",(I$211=0)*rsa_fl_1+(I$211=1)*rsa_fl_2+(I$211&gt;1)*rsa_fl_3,(I$211=0)*rsa_fl_2+(I$211&gt;0)*rsa_fl_3),I$185)</f>
        <v>152.57040000000001</v>
      </c>
      <c r="J215" s="85">
        <f>MIN(IF(J$3="isolé",(J$211=0)*rsa_fl_1+(J$211=1)*rsa_fl_2+(J$211&gt;1)*rsa_fl_3,(J$211=0)*rsa_fl_2+(J$211&gt;0)*rsa_fl_3),J$185)</f>
        <v>152.57040000000001</v>
      </c>
      <c r="K215" s="85">
        <f>MIN(IF(K$3="isolé",(K$211=0)*rsa_fl_1+(K$211=1)*rsa_fl_2+(K$211&gt;1)*rsa_fl_3,(K$211=0)*rsa_fl_2+(K$211&gt;0)*rsa_fl_3),K$185)</f>
        <v>0</v>
      </c>
      <c r="M215" s="85">
        <f>MIN(IF(M$3="isolé",(M$211=0)*rsa_fl_1+(M$211=1)*rsa_fl_2+(M$211&gt;1)*rsa_fl_3,(M$211=0)*rsa_fl_2+(M$211&gt;0)*rsa_fl_3),M$185)</f>
        <v>188.80587</v>
      </c>
      <c r="N215" s="85">
        <f>MIN(IF(N$3="isolé",(N$211=0)*rsa_fl_1+(N$211=1)*rsa_fl_2+(N$211&gt;1)*rsa_fl_3,(N$211=0)*rsa_fl_2+(N$211&gt;0)*rsa_fl_3),N$185)</f>
        <v>188.80587</v>
      </c>
      <c r="O215" s="85">
        <f>MIN(IF(O$3="isolé",(O$211=0)*rsa_fl_1+(O$211=1)*rsa_fl_2+(O$211&gt;1)*rsa_fl_3,(O$211=0)*rsa_fl_2+(O$211&gt;0)*rsa_fl_3),O$185)</f>
        <v>188.80587</v>
      </c>
      <c r="P215" s="85">
        <f>MIN(IF(P$3="isolé",(P$211=0)*rsa_fl_1+(P$211=1)*rsa_fl_2+(P$211&gt;1)*rsa_fl_3,(P$211=0)*rsa_fl_2+(P$211&gt;0)*rsa_fl_3),P$185)</f>
        <v>106.52656054361321</v>
      </c>
      <c r="R215" s="85">
        <f>MIN(IF(R$3="isolé",(R$211=0)*rsa_fl_1+(R$211=1)*rsa_fl_2+(R$211&gt;1)*rsa_fl_3,(R$211=0)*rsa_fl_2+(R$211&gt;0)*rsa_fl_3),R$185)</f>
        <v>188.80587</v>
      </c>
      <c r="S215" s="85">
        <f>MIN(IF(S$3="isolé",(S$211=0)*rsa_fl_1+(S$211=1)*rsa_fl_2+(S$211&gt;1)*rsa_fl_3,(S$211=0)*rsa_fl_2+(S$211&gt;0)*rsa_fl_3),S$185)</f>
        <v>188.80587</v>
      </c>
      <c r="T215" s="85">
        <f>MIN(IF(T$3="isolé",(T$211=0)*rsa_fl_1+(T$211=1)*rsa_fl_2+(T$211&gt;1)*rsa_fl_3,(T$211=0)*rsa_fl_2+(T$211&gt;0)*rsa_fl_3),T$185)</f>
        <v>188.80587</v>
      </c>
      <c r="U215" s="85">
        <f>MIN(IF(U$3="isolé",(U$211=0)*rsa_fl_1+(U$211=1)*rsa_fl_2+(U$211&gt;1)*rsa_fl_3,(U$211=0)*rsa_fl_2+(U$211&gt;0)*rsa_fl_3),U$185)</f>
        <v>188.80587</v>
      </c>
    </row>
    <row r="216" spans="1:21" s="4" customFormat="1" x14ac:dyDescent="0.25">
      <c r="A216" s="275" t="s">
        <v>209</v>
      </c>
      <c r="B216" s="5"/>
      <c r="C216" s="85">
        <f>(C$127+C$137+C$64)/(1-crds)+(C$62&gt;0)*MAX(0,(ASF_à_déduire_du_RSA/(1-crds))*C$97-C$52)</f>
        <v>0</v>
      </c>
      <c r="D216" s="85">
        <f>(D$127+D$137+D$64)/(1-crds)+(D$62&gt;0)*MAX(0,(ASF_à_déduire_du_RSA/(1-crds))*D$97-D$52)</f>
        <v>0</v>
      </c>
      <c r="E216" s="85">
        <f>(E$127+E$137+E$64)/(1-crds)+(E$62&gt;0)*MAX(0,(ASF_à_déduire_du_RSA/(1-crds))*E$97-E$52)</f>
        <v>0</v>
      </c>
      <c r="F216" s="85">
        <f>(F$127+F$137+F$64)/(1-crds)+(F$62&gt;0)*MAX(0,(ASF_à_déduire_du_RSA/(1-crds))*F$97-F$52)</f>
        <v>0</v>
      </c>
      <c r="H216" s="85">
        <f>(H$127+H$137+H$64)/(1-crds)+(H$62&gt;0)*MAX(0,(ASF_à_déduire_du_RSA/(1-crds))*H$97-H$52)</f>
        <v>104.94899999999998</v>
      </c>
      <c r="I216" s="85">
        <f>(I$127+I$137+I$64)/(1-crds)+(I$62&gt;0)*MAX(0,(ASF_à_déduire_du_RSA/(1-crds))*I$97-I$52)</f>
        <v>104.94899999999998</v>
      </c>
      <c r="J216" s="85">
        <f>(J$127+J$137+J$64)/(1-crds)+(J$62&gt;0)*MAX(0,(ASF_à_déduire_du_RSA/(1-crds))*J$97-J$52)</f>
        <v>104.94899999999998</v>
      </c>
      <c r="K216" s="85">
        <f>(K$127+K$137+K$64)/(1-crds)+(K$62&gt;0)*MAX(0,(ASF_à_déduire_du_RSA/(1-crds))*K$97-K$52)</f>
        <v>104.94899999999998</v>
      </c>
      <c r="M216" s="85">
        <f>(M$127+M$137+M$64)/(1-crds)+(M$62&gt;0)*MAX(0,(ASF_à_déduire_du_RSA/(1-crds))*M$97-M$52)</f>
        <v>359.15879999999993</v>
      </c>
      <c r="N216" s="85">
        <f>(N$127+N$137+N$64)/(1-crds)+(N$62&gt;0)*MAX(0,(ASF_à_déduire_du_RSA/(1-crds))*N$97-N$52)</f>
        <v>359.15879999999993</v>
      </c>
      <c r="O216" s="85">
        <f>(O$127+O$137+O$64)/(1-crds)+(O$62&gt;0)*MAX(0,(ASF_à_déduire_du_RSA/(1-crds))*O$97-O$52)</f>
        <v>359.15879999999993</v>
      </c>
      <c r="P216" s="85">
        <f>(P$127+P$137+P$64)/(1-crds)+(P$62&gt;0)*MAX(0,(ASF_à_déduire_du_RSA/(1-crds))*P$97-P$52)</f>
        <v>359.15879999999993</v>
      </c>
      <c r="R216" s="85">
        <f>(R$127+R$137+R$64)/(1-crds)+(R$62&gt;0)*MAX(0,(ASF_à_déduire_du_RSA/(1-crds))*R$97-R$52)</f>
        <v>849.62045999999987</v>
      </c>
      <c r="S216" s="85">
        <f>(S$127+S$137+S$64)/(1-crds)+(S$62&gt;0)*MAX(0,(ASF_à_déduire_du_RSA/(1-crds))*S$97-S$52)</f>
        <v>849.62045999999987</v>
      </c>
      <c r="T216" s="85">
        <f>(T$127+T$137+T$64)/(1-crds)+(T$62&gt;0)*MAX(0,(ASF_à_déduire_du_RSA/(1-crds))*T$97-T$52)</f>
        <v>849.62045999999987</v>
      </c>
      <c r="U216" s="85">
        <f>(U$127+U$137+U$64)/(1-crds)+(U$62&gt;0)*MAX(0,(ASF_à_déduire_du_RSA/(1-crds))*U$97-U$52)</f>
        <v>849.62045999999987</v>
      </c>
    </row>
    <row r="217" spans="1:21" s="4" customFormat="1" x14ac:dyDescent="0.25">
      <c r="A217" s="275" t="s">
        <v>331</v>
      </c>
      <c r="B217" s="5"/>
      <c r="C217" s="85">
        <f>C$216+C$38+C$39+C$52+C$74+C$57</f>
        <v>0</v>
      </c>
      <c r="D217" s="85">
        <f>D$216+D$38+D$39+D$52+D$74+D$57</f>
        <v>699.35</v>
      </c>
      <c r="E217" s="85">
        <f>E$216+E$38+E$39+E$52+E$74+E$57</f>
        <v>1398.7</v>
      </c>
      <c r="F217" s="85">
        <f>F$216+F$38+F$39+F$52+F$74+F$57</f>
        <v>2098.0500000000002</v>
      </c>
      <c r="H217" s="85">
        <f>H$216+H$38+H$39+H$52+H$74+H$57</f>
        <v>104.94899999999998</v>
      </c>
      <c r="I217" s="85">
        <f>I$216+I$38+I$39+I$52+I$74+I$57</f>
        <v>804.29899999999998</v>
      </c>
      <c r="J217" s="85">
        <f>J$216+J$38+J$39+J$52+J$74+J$57</f>
        <v>1503.6490000000001</v>
      </c>
      <c r="K217" s="85">
        <f>K$216+K$38+K$39+K$52+K$74+K$57</f>
        <v>2202.9990000000003</v>
      </c>
      <c r="M217" s="85">
        <f>M$216+M$38+M$39+M$52+M$74+M$57</f>
        <v>359.15879999999993</v>
      </c>
      <c r="N217" s="85">
        <f>N$216+N$38+N$39+N$52+N$74+N$57</f>
        <v>1058.5088000000001</v>
      </c>
      <c r="O217" s="85">
        <f>O$216+O$38+O$39+O$52+O$74+O$57</f>
        <v>1757.8588</v>
      </c>
      <c r="P217" s="85">
        <f>P$216+P$38+P$39+P$52+P$74+P$57</f>
        <v>2457.2088000000003</v>
      </c>
      <c r="R217" s="85">
        <f>R$216+R$38+R$39+R$52+R$74+R$57</f>
        <v>849.62045999999987</v>
      </c>
      <c r="S217" s="85">
        <f>S$216+S$38+S$39+S$52+S$74+S$57</f>
        <v>1548.97046</v>
      </c>
      <c r="T217" s="85">
        <f>T$216+T$38+T$39+T$52+T$74+T$57</f>
        <v>2248.3204599999999</v>
      </c>
      <c r="U217" s="85">
        <f>U$216+U$38+U$39+U$52+U$74+U$57</f>
        <v>2947.6704600000003</v>
      </c>
    </row>
    <row r="218" spans="1:21" s="4" customFormat="1" ht="13" thickBot="1" x14ac:dyDescent="0.3">
      <c r="A218" s="127" t="s">
        <v>116</v>
      </c>
      <c r="B218" s="125"/>
      <c r="C218" s="126">
        <f>MAX(0,C214-C215-C217)</f>
        <v>559.4248</v>
      </c>
      <c r="D218" s="126">
        <f>MAX(0,D$214-D$215-D$217)</f>
        <v>0</v>
      </c>
      <c r="E218" s="126">
        <f>MAX(0,E$214-E$215-E$217)</f>
        <v>0</v>
      </c>
      <c r="F218" s="126">
        <f>MAX(0,F$214-F$215-F$217)</f>
        <v>0</v>
      </c>
      <c r="H218" s="126">
        <f>MAX(0,H$214-H$215-H$217)</f>
        <v>696.04560000000004</v>
      </c>
      <c r="I218" s="126">
        <f>MAX(0,I$214-I$215-I$217)</f>
        <v>0</v>
      </c>
      <c r="J218" s="126">
        <f>MAX(0,J$214-J$215-J$217)</f>
        <v>0</v>
      </c>
      <c r="K218" s="126">
        <f>MAX(0,K$214-K$215-K$217)</f>
        <v>0</v>
      </c>
      <c r="M218" s="126">
        <f>MAX(0,M$214-M$215-M$217)</f>
        <v>596.31333000000006</v>
      </c>
      <c r="N218" s="126">
        <f>MAX(0,N$214-N$215-N$217)</f>
        <v>0</v>
      </c>
      <c r="O218" s="126">
        <f>MAX(0,O$214-O$215-O$217)</f>
        <v>0</v>
      </c>
      <c r="P218" s="126">
        <f>MAX(0,P$214-P$215-P$217)</f>
        <v>0</v>
      </c>
      <c r="R218" s="126">
        <f>MAX(0,R$214-R$215-R$217)</f>
        <v>360.13567000000035</v>
      </c>
      <c r="S218" s="126">
        <f>MAX(0,S$214-S$215-S$217)</f>
        <v>0</v>
      </c>
      <c r="T218" s="126">
        <f>MAX(0,T$214-T$215-T$217)</f>
        <v>0</v>
      </c>
      <c r="U218" s="126">
        <f>MAX(0,U$214-U$215-U$217)</f>
        <v>0</v>
      </c>
    </row>
    <row r="219" spans="1:21" s="188" customFormat="1" x14ac:dyDescent="0.25">
      <c r="A219" s="4"/>
      <c r="B219" s="5"/>
      <c r="C219" s="189"/>
      <c r="D219" s="189"/>
      <c r="E219" s="189"/>
      <c r="F219" s="189"/>
      <c r="H219" s="189"/>
      <c r="I219" s="189"/>
      <c r="J219" s="189"/>
      <c r="K219" s="189"/>
      <c r="M219" s="189"/>
      <c r="N219" s="189"/>
      <c r="O219" s="189"/>
      <c r="P219" s="189"/>
      <c r="R219" s="189"/>
      <c r="S219" s="189"/>
      <c r="T219" s="189"/>
      <c r="U219" s="189"/>
    </row>
    <row r="220" spans="1:21" s="4" customFormat="1" ht="15" customHeight="1" thickBot="1" x14ac:dyDescent="0.35">
      <c r="A220" s="295" t="s">
        <v>142</v>
      </c>
      <c r="B220" s="89"/>
      <c r="C220" s="289"/>
      <c r="D220" s="289"/>
      <c r="E220" s="289"/>
      <c r="F220" s="289"/>
      <c r="H220" s="289"/>
      <c r="I220" s="289"/>
      <c r="J220" s="289"/>
      <c r="K220" s="289"/>
      <c r="M220" s="289"/>
      <c r="N220" s="289"/>
      <c r="O220" s="289"/>
      <c r="P220" s="289"/>
      <c r="R220" s="289"/>
      <c r="S220" s="289"/>
      <c r="T220" s="289"/>
      <c r="U220" s="289"/>
    </row>
    <row r="221" spans="1:21" s="4" customFormat="1" x14ac:dyDescent="0.25">
      <c r="A221" s="282" t="s">
        <v>214</v>
      </c>
      <c r="B221" s="121"/>
      <c r="C221" s="123">
        <f>IF(C$3="couple",(C$211=0)*pa_forf_c0+(C$211=1)*pa_forf_c1+(C$211&gt;=2)*(pa_forf_c2+(C$211-2)*pa_sup_enf),0)+IF(C$3="isolé",(C19=0)*((C$211=0)*pa_forf_I0+(C$211=1)*pa_forf_I1+(C$211&gt;=2)*(pa_forf_I2+(C$211-2)*pa_sup_enf))+(C19=1)*((C$211=0)*pa_forfm_I0+(C$211=1)*pa_forfm_I1+(C$211&gt;=2)*(pa_forfm_I2+(C$211-2)*pa_forfm_supenf)),0)</f>
        <v>622.63</v>
      </c>
      <c r="D221" s="123">
        <f>IF(D$3="couple",(D$211=0)*pa_forf_c0+(D$211=1)*pa_forf_c1+(D$211&gt;=2)*(pa_forf_c2+(D$211-2)*pa_sup_enf),0)+IF(D$3="isolé",(D19=0)*((D$211=0)*pa_forf_I0+(D$211=1)*pa_forf_I1+(D$211&gt;=2)*(pa_forf_I2+(D$211-2)*pa_sup_enf))+(D19=1)*((D$211=0)*pa_forfm_I0+(D$211=1)*pa_forfm_I1+(D$211&gt;=2)*(pa_forfm_I2+(D$211-2)*pa_forfm_supenf)),0)</f>
        <v>622.63</v>
      </c>
      <c r="E221" s="123">
        <f>IF(E$3="couple",(E$211=0)*pa_forf_c0+(E$211=1)*pa_forf_c1+(E$211&gt;=2)*(pa_forf_c2+(E$211-2)*pa_sup_enf),0)+IF(E$3="isolé",(E19=0)*((E$211=0)*pa_forf_I0+(E$211=1)*pa_forf_I1+(E$211&gt;=2)*(pa_forf_I2+(E$211-2)*pa_sup_enf))+(E19=1)*((E$211=0)*pa_forfm_I0+(E$211=1)*pa_forfm_I1+(E$211&gt;=2)*(pa_forfm_I2+(E$211-2)*pa_forfm_supenf)),0)</f>
        <v>622.63</v>
      </c>
      <c r="F221" s="123">
        <f>IF(F$3="couple",(F$211=0)*pa_forf_c0+(F$211=1)*pa_forf_c1+(F$211&gt;=2)*(pa_forf_c2+(F$211-2)*pa_sup_enf),0)+IF(F$3="isolé",(F19=0)*((F$211=0)*pa_forf_I0+(F$211=1)*pa_forf_I1+(F$211&gt;=2)*(pa_forf_I2+(F$211-2)*pa_sup_enf))+(F19=1)*((F$211=0)*pa_forfm_I0+(F$211=1)*pa_forfm_I1+(F$211&gt;=2)*(pa_forfm_I2+(F$211-2)*pa_forfm_supenf)),0)</f>
        <v>622.63</v>
      </c>
      <c r="H221" s="123">
        <f>IF(H$3="couple",(H$211=0)*pa_forf_c0+(H$211=1)*pa_forf_c1+(H$211&gt;=2)*(pa_forf_c2+(H$211-2)*pa_sup_enf),0)+IF(H$3="isolé",(H19=0)*((H$211=0)*pa_forf_I0+(H$211=1)*pa_forf_I1+(H$211&gt;=2)*(pa_forf_I2+(H$211-2)*pa_sup_enf))+(H19=1)*((H$211=0)*pa_forfm_I0+(H$211=1)*pa_forfm_I1+(H$211&gt;=2)*(pa_forfm_I2+(H$211-2)*pa_forfm_supenf)),0)</f>
        <v>933.94499999999994</v>
      </c>
      <c r="I221" s="123">
        <f>IF(I$3="couple",(I$211=0)*pa_forf_c0+(I$211=1)*pa_forf_c1+(I$211&gt;=2)*(pa_forf_c2+(I$211-2)*pa_sup_enf),0)+IF(I$3="isolé",(I19=0)*((I$211=0)*pa_forf_I0+(I$211=1)*pa_forf_I1+(I$211&gt;=2)*(pa_forf_I2+(I$211-2)*pa_sup_enf))+(I19=1)*((I$211=0)*pa_forfm_I0+(I$211=1)*pa_forfm_I1+(I$211&gt;=2)*(pa_forfm_I2+(I$211-2)*pa_forfm_supenf)),0)</f>
        <v>933.94499999999994</v>
      </c>
      <c r="J221" s="123">
        <f>IF(J$3="couple",(J$211=0)*pa_forf_c0+(J$211=1)*pa_forf_c1+(J$211&gt;=2)*(pa_forf_c2+(J$211-2)*pa_sup_enf),0)+IF(J$3="isolé",(J19=0)*((J$211=0)*pa_forf_I0+(J$211=1)*pa_forf_I1+(J$211&gt;=2)*(pa_forf_I2+(J$211-2)*pa_sup_enf))+(J19=1)*((J$211=0)*pa_forfm_I0+(J$211=1)*pa_forfm_I1+(J$211&gt;=2)*(pa_forfm_I2+(J$211-2)*pa_forfm_supenf)),0)</f>
        <v>933.94499999999994</v>
      </c>
      <c r="K221" s="123">
        <f>IF(K$3="couple",(K$211=0)*pa_forf_c0+(K$211=1)*pa_forf_c1+(K$211&gt;=2)*(pa_forf_c2+(K$211-2)*pa_sup_enf),0)+IF(K$3="isolé",(K19=0)*((K$211=0)*pa_forf_I0+(K$211=1)*pa_forf_I1+(K$211&gt;=2)*(pa_forf_I2+(K$211-2)*pa_sup_enf))+(K19=1)*((K$211=0)*pa_forfm_I0+(K$211=1)*pa_forfm_I1+(K$211&gt;=2)*(pa_forfm_I2+(K$211-2)*pa_forfm_supenf)),0)</f>
        <v>933.94499999999994</v>
      </c>
      <c r="M221" s="123">
        <f>IF(M$3="couple",(M$211=0)*pa_forf_c0+(M$211=1)*pa_forf_c1+(M$211&gt;=2)*(pa_forf_c2+(M$211-2)*pa_sup_enf),0)+IF(M$3="isolé",(M19=0)*((M$211=0)*pa_forf_I0+(M$211=1)*pa_forf_I1+(M$211&gt;=2)*(pa_forf_I2+(M$211-2)*pa_sup_enf))+(M19=1)*((M$211=0)*pa_forfm_I0+(M$211=1)*pa_forfm_I1+(M$211&gt;=2)*(pa_forfm_I2+(M$211-2)*pa_forfm_supenf)),0)</f>
        <v>1120.7339999999999</v>
      </c>
      <c r="N221" s="123">
        <f>IF(N$3="couple",(N$211=0)*pa_forf_c0+(N$211=1)*pa_forf_c1+(N$211&gt;=2)*(pa_forf_c2+(N$211-2)*pa_sup_enf),0)+IF(N$3="isolé",(N19=0)*((N$211=0)*pa_forf_I0+(N$211=1)*pa_forf_I1+(N$211&gt;=2)*(pa_forf_I2+(N$211-2)*pa_sup_enf))+(N19=1)*((N$211=0)*pa_forfm_I0+(N$211=1)*pa_forfm_I1+(N$211&gt;=2)*(pa_forfm_I2+(N$211-2)*pa_forfm_supenf)),0)</f>
        <v>1120.7339999999999</v>
      </c>
      <c r="O221" s="123">
        <f>IF(O$3="couple",(O$211=0)*pa_forf_c0+(O$211=1)*pa_forf_c1+(O$211&gt;=2)*(pa_forf_c2+(O$211-2)*pa_sup_enf),0)+IF(O$3="isolé",(O19=0)*((O$211=0)*pa_forf_I0+(O$211=1)*pa_forf_I1+(O$211&gt;=2)*(pa_forf_I2+(O$211-2)*pa_sup_enf))+(O19=1)*((O$211=0)*pa_forfm_I0+(O$211=1)*pa_forfm_I1+(O$211&gt;=2)*(pa_forfm_I2+(O$211-2)*pa_forfm_supenf)),0)</f>
        <v>1120.7339999999999</v>
      </c>
      <c r="P221" s="123">
        <f>IF(P$3="couple",(P$211=0)*pa_forf_c0+(P$211=1)*pa_forf_c1+(P$211&gt;=2)*(pa_forf_c2+(P$211-2)*pa_sup_enf),0)+IF(P$3="isolé",(P19=0)*((P$211=0)*pa_forf_I0+(P$211=1)*pa_forf_I1+(P$211&gt;=2)*(pa_forf_I2+(P$211-2)*pa_sup_enf))+(P19=1)*((P$211=0)*pa_forfm_I0+(P$211=1)*pa_forfm_I1+(P$211&gt;=2)*(pa_forfm_I2+(P$211-2)*pa_forfm_supenf)),0)</f>
        <v>1120.7339999999999</v>
      </c>
      <c r="R221" s="123">
        <f>IF(R$3="couple",(R$211=0)*pa_forf_c0+(R$211=1)*pa_forf_c1+(R$211&gt;=2)*(pa_forf_c2+(R$211-2)*pa_sup_enf),0)+IF(R$3="isolé",(R19=0)*((R$211=0)*pa_forf_I0+(R$211=1)*pa_forf_I1+(R$211&gt;=2)*(pa_forf_I2+(R$211-2)*pa_sup_enf))+(R19=1)*((R$211=0)*pa_forfm_I0+(R$211=1)*pa_forfm_I1+(R$211&gt;=2)*(pa_forfm_I2+(R$211-2)*pa_forfm_supenf)),0)</f>
        <v>1369.7860000000001</v>
      </c>
      <c r="S221" s="123">
        <f>IF(S$3="couple",(S$211=0)*pa_forf_c0+(S$211=1)*pa_forf_c1+(S$211&gt;=2)*(pa_forf_c2+(S$211-2)*pa_sup_enf),0)+IF(S$3="isolé",(S19=0)*((S$211=0)*pa_forf_I0+(S$211=1)*pa_forf_I1+(S$211&gt;=2)*(pa_forf_I2+(S$211-2)*pa_sup_enf))+(S19=1)*((S$211=0)*pa_forfm_I0+(S$211=1)*pa_forfm_I1+(S$211&gt;=2)*(pa_forfm_I2+(S$211-2)*pa_forfm_supenf)),0)</f>
        <v>1369.7860000000001</v>
      </c>
      <c r="T221" s="123">
        <f>IF(T$3="couple",(T$211=0)*pa_forf_c0+(T$211=1)*pa_forf_c1+(T$211&gt;=2)*(pa_forf_c2+(T$211-2)*pa_sup_enf),0)+IF(T$3="isolé",(T19=0)*((T$211=0)*pa_forf_I0+(T$211=1)*pa_forf_I1+(T$211&gt;=2)*(pa_forf_I2+(T$211-2)*pa_sup_enf))+(T19=1)*((T$211=0)*pa_forfm_I0+(T$211=1)*pa_forfm_I1+(T$211&gt;=2)*(pa_forfm_I2+(T$211-2)*pa_forfm_supenf)),0)</f>
        <v>1369.7860000000001</v>
      </c>
      <c r="U221" s="123">
        <f>IF(U$3="couple",(U$211=0)*pa_forf_c0+(U$211=1)*pa_forf_c1+(U$211&gt;=2)*(pa_forf_c2+(U$211-2)*pa_sup_enf),0)+IF(U$3="isolé",(U19=0)*((U$211=0)*pa_forf_I0+(U$211=1)*pa_forf_I1+(U$211&gt;=2)*(pa_forf_I2+(U$211-2)*pa_sup_enf))+(U19=1)*((U$211=0)*pa_forfm_I0+(U$211=1)*pa_forfm_I1+(U$211&gt;=2)*(pa_forfm_I2+(U$211-2)*pa_forfm_supenf)),0)</f>
        <v>1369.7860000000001</v>
      </c>
    </row>
    <row r="222" spans="1:21" s="4" customFormat="1" x14ac:dyDescent="0.25">
      <c r="A222" s="275" t="s">
        <v>162</v>
      </c>
      <c r="B222" s="5"/>
      <c r="C222" s="85">
        <f>MIN(C$185,IF(C$3="isolé",(C$211=0)*pa_fl1+(C$211=1)*pa_fl2+(C$211&gt;1)*pa_fl3,(C$211=0)*pa_fl2+(C$211&gt;0)*pa_fl3))</f>
        <v>74.715599999999995</v>
      </c>
      <c r="D222" s="85">
        <f>MIN(D$185,IF(D$3="isolé",(D$211=0)*pa_fl1+(D$211=1)*pa_fl2+(D$211&gt;1)*pa_fl3,(D$211=0)*pa_fl2+(D$211&gt;0)*pa_fl3))</f>
        <v>74.715599999999995</v>
      </c>
      <c r="E222" s="85">
        <f>MIN(E$185,IF(E$3="isolé",(E$211=0)*pa_fl1+(E$211=1)*pa_fl2+(E$211&gt;1)*pa_fl3,(E$211=0)*pa_fl2+(E$211&gt;0)*pa_fl3))</f>
        <v>0</v>
      </c>
      <c r="F222" s="85">
        <f>MIN(F$185,IF(F$3="isolé",(F$211=0)*pa_fl1+(F$211=1)*pa_fl2+(F$211&gt;1)*pa_fl3,(F$211=0)*pa_fl2+(F$211&gt;0)*pa_fl3))</f>
        <v>0</v>
      </c>
      <c r="H222" s="85">
        <f>MIN(H$185,IF(H$3="isolé",(H$211=0)*pa_fl1+(H$211=1)*pa_fl2+(H$211&gt;1)*pa_fl3,(H$211=0)*pa_fl2+(H$211&gt;0)*pa_fl3))</f>
        <v>149.43119999999999</v>
      </c>
      <c r="I222" s="85">
        <f>MIN(I$185,IF(I$3="isolé",(I$211=0)*pa_fl1+(I$211=1)*pa_fl2+(I$211&gt;1)*pa_fl3,(I$211=0)*pa_fl2+(I$211&gt;0)*pa_fl3))</f>
        <v>149.43119999999999</v>
      </c>
      <c r="J222" s="85">
        <f>MIN(J$185,IF(J$3="isolé",(J$211=0)*pa_fl1+(J$211=1)*pa_fl2+(J$211&gt;1)*pa_fl3,(J$211=0)*pa_fl2+(J$211&gt;0)*pa_fl3))</f>
        <v>149.43119999999999</v>
      </c>
      <c r="K222" s="85">
        <f>MIN(K$185,IF(K$3="isolé",(K$211=0)*pa_fl1+(K$211=1)*pa_fl2+(K$211&gt;1)*pa_fl3,(K$211=0)*pa_fl2+(K$211&gt;0)*pa_fl3))</f>
        <v>0</v>
      </c>
      <c r="M222" s="85">
        <f>MIN(M$185,IF(M$3="isolé",(M$211=0)*pa_fl1+(M$211=1)*pa_fl2+(M$211&gt;1)*pa_fl3,(M$211=0)*pa_fl2+(M$211&gt;0)*pa_fl3))</f>
        <v>184.92111</v>
      </c>
      <c r="N222" s="85">
        <f>MIN(N$185,IF(N$3="isolé",(N$211=0)*pa_fl1+(N$211=1)*pa_fl2+(N$211&gt;1)*pa_fl3,(N$211=0)*pa_fl2+(N$211&gt;0)*pa_fl3))</f>
        <v>184.92111</v>
      </c>
      <c r="O222" s="85">
        <f>MIN(O$185,IF(O$3="isolé",(O$211=0)*pa_fl1+(O$211=1)*pa_fl2+(O$211&gt;1)*pa_fl3,(O$211=0)*pa_fl2+(O$211&gt;0)*pa_fl3))</f>
        <v>184.92111</v>
      </c>
      <c r="P222" s="85">
        <f>MIN(P$185,IF(P$3="isolé",(P$211=0)*pa_fl1+(P$211=1)*pa_fl2+(P$211&gt;1)*pa_fl3,(P$211=0)*pa_fl2+(P$211&gt;0)*pa_fl3))</f>
        <v>106.52656054361321</v>
      </c>
      <c r="R222" s="85">
        <f>MIN(R$185,IF(R$3="isolé",(R$211=0)*pa_fl1+(R$211=1)*pa_fl2+(R$211&gt;1)*pa_fl3,(R$211=0)*pa_fl2+(R$211&gt;0)*pa_fl3))</f>
        <v>184.92111</v>
      </c>
      <c r="S222" s="85">
        <f>MIN(S$185,IF(S$3="isolé",(S$211=0)*pa_fl1+(S$211=1)*pa_fl2+(S$211&gt;1)*pa_fl3,(S$211=0)*pa_fl2+(S$211&gt;0)*pa_fl3))</f>
        <v>184.92111</v>
      </c>
      <c r="T222" s="85">
        <f>MIN(T$185,IF(T$3="isolé",(T$211=0)*pa_fl1+(T$211=1)*pa_fl2+(T$211&gt;1)*pa_fl3,(T$211=0)*pa_fl2+(T$211&gt;0)*pa_fl3))</f>
        <v>184.92111</v>
      </c>
      <c r="U222" s="85">
        <f>MIN(U$185,IF(U$3="isolé",(U$211=0)*pa_fl1+(U$211=1)*pa_fl2+(U$211&gt;1)*pa_fl3,(U$211=0)*pa_fl2+(U$211&gt;0)*pa_fl3))</f>
        <v>184.92111</v>
      </c>
    </row>
    <row r="223" spans="1:21" s="4" customFormat="1" x14ac:dyDescent="0.25">
      <c r="A223" s="275" t="s">
        <v>526</v>
      </c>
      <c r="B223" s="5"/>
      <c r="C223" s="85">
        <f>(((C$38+C$32*IF(C$38&gt;=AAH_salmin_revact,C$205,0))/smic&gt;=pa_seuil1_BPA)*MIN(1,((C$38+C$32*IF(C$38&gt;=AAH_salmin_revact,C$205,0))/smic-pa_seuil1_BPA)/(pa_seuil2_BPA-pa_seuil1_BPA))*pa_max_BPA)</f>
        <v>0</v>
      </c>
      <c r="D223" s="85">
        <f>(((D$38+D$32*IF(D$38&gt;=AAH_salmin_revact,D$205,0))/smic&gt;=pa_seuil1_BPA)*MIN(1,((D$38+D$32*IF(D$38&gt;=AAH_salmin_revact,D$205,0))/smic-pa_seuil1_BPA)/(pa_seuil2_BPA-pa_seuil1_BPA))*pa_max_BPA)</f>
        <v>0</v>
      </c>
      <c r="E223" s="85">
        <f>(((E$38+E$32*IF(E$38&gt;=AAH_salmin_revact,E$205,0))/smic&gt;=pa_seuil1_BPA)*MIN(1,((E$38+E$32*IF(E$38&gt;=AAH_salmin_revact,E$205,0))/smic-pa_seuil1_BPA)/(pa_seuil2_BPA-pa_seuil1_BPA))*pa_max_BPA)</f>
        <v>181.19</v>
      </c>
      <c r="F223" s="85">
        <f>(((F$38+F$32*IF(F$38&gt;=AAH_salmin_revact,F$205,0))/smic&gt;=pa_seuil1_BPA)*MIN(1,((F$38+F$32*IF(F$38&gt;=AAH_salmin_revact,F$205,0))/smic-pa_seuil1_BPA)/(pa_seuil2_BPA-pa_seuil1_BPA))*pa_max_BPA)</f>
        <v>181.19</v>
      </c>
      <c r="H223" s="85">
        <f>(((H$38+H$32*IF(H$38&gt;=AAH_salmin_revact,H$205,0))/smic&gt;=pa_seuil1_BPA)*MIN(1,((H$38+H$32*IF(H$38&gt;=AAH_salmin_revact,H$205,0))/smic-pa_seuil1_BPA)/(pa_seuil2_BPA-pa_seuil1_BPA))*pa_max_BPA)</f>
        <v>0</v>
      </c>
      <c r="I223" s="85">
        <f>(((I$38+I$32*IF(I$38&gt;=AAH_salmin_revact,I$205,0))/smic&gt;=pa_seuil1_BPA)*MIN(1,((I$38+I$32*IF(I$38&gt;=AAH_salmin_revact,I$205,0))/smic-pa_seuil1_BPA)/(pa_seuil2_BPA-pa_seuil1_BPA))*pa_max_BPA)</f>
        <v>0</v>
      </c>
      <c r="J223" s="85">
        <f>(((J$38+J$32*IF(J$38&gt;=AAH_salmin_revact,J$205,0))/smic&gt;=pa_seuil1_BPA)*MIN(1,((J$38+J$32*IF(J$38&gt;=AAH_salmin_revact,J$205,0))/smic-pa_seuil1_BPA)/(pa_seuil2_BPA-pa_seuil1_BPA))*pa_max_BPA)</f>
        <v>181.19</v>
      </c>
      <c r="K223" s="85">
        <f>(((K$38+K$32*IF(K$38&gt;=AAH_salmin_revact,K$205,0))/smic&gt;=pa_seuil1_BPA)*MIN(1,((K$38+K$32*IF(K$38&gt;=AAH_salmin_revact,K$205,0))/smic-pa_seuil1_BPA)/(pa_seuil2_BPA-pa_seuil1_BPA))*pa_max_BPA)</f>
        <v>181.19</v>
      </c>
      <c r="M223" s="85">
        <f>(((M$38+M$32*IF(M$38&gt;=AAH_salmin_revact,M$205,0))/smic&gt;=pa_seuil1_BPA)*MIN(1,((M$38+M$32*IF(M$38&gt;=AAH_salmin_revact,M$205,0))/smic-pa_seuil1_BPA)/(pa_seuil2_BPA-pa_seuil1_BPA))*pa_max_BPA)</f>
        <v>0</v>
      </c>
      <c r="N223" s="85">
        <f>(((N$38+N$32*IF(N$38&gt;=AAH_salmin_revact,N$205,0))/smic&gt;=pa_seuil1_BPA)*MIN(1,((N$38+N$32*IF(N$38&gt;=AAH_salmin_revact,N$205,0))/smic-pa_seuil1_BPA)/(pa_seuil2_BPA-pa_seuil1_BPA))*pa_max_BPA)</f>
        <v>0</v>
      </c>
      <c r="O223" s="85">
        <f>(((O$38+O$32*IF(O$38&gt;=AAH_salmin_revact,O$205,0))/smic&gt;=pa_seuil1_BPA)*MIN(1,((O$38+O$32*IF(O$38&gt;=AAH_salmin_revact,O$205,0))/smic-pa_seuil1_BPA)/(pa_seuil2_BPA-pa_seuil1_BPA))*pa_max_BPA)</f>
        <v>181.19</v>
      </c>
      <c r="P223" s="85">
        <f>(((P$38+P$32*IF(P$38&gt;=AAH_salmin_revact,P$205,0))/smic&gt;=pa_seuil1_BPA)*MIN(1,((P$38+P$32*IF(P$38&gt;=AAH_salmin_revact,P$205,0))/smic-pa_seuil1_BPA)/(pa_seuil2_BPA-pa_seuil1_BPA))*pa_max_BPA)</f>
        <v>181.19</v>
      </c>
      <c r="R223" s="85">
        <f>(((R$38+R$32*IF(R$38&gt;=AAH_salmin_revact,R$205,0))/smic&gt;=pa_seuil1_BPA)*MIN(1,((R$38+R$32*IF(R$38&gt;=AAH_salmin_revact,R$205,0))/smic-pa_seuil1_BPA)/(pa_seuil2_BPA-pa_seuil1_BPA))*pa_max_BPA)</f>
        <v>0</v>
      </c>
      <c r="S223" s="85">
        <f>(((S$38+S$32*IF(S$38&gt;=AAH_salmin_revact,S$205,0))/smic&gt;=pa_seuil1_BPA)*MIN(1,((S$38+S$32*IF(S$38&gt;=AAH_salmin_revact,S$205,0))/smic-pa_seuil1_BPA)/(pa_seuil2_BPA-pa_seuil1_BPA))*pa_max_BPA)</f>
        <v>0</v>
      </c>
      <c r="T223" s="85">
        <f>(((T$38+T$32*IF(T$38&gt;=AAH_salmin_revact,T$205,0))/smic&gt;=pa_seuil1_BPA)*MIN(1,((T$38+T$32*IF(T$38&gt;=AAH_salmin_revact,T$205,0))/smic-pa_seuil1_BPA)/(pa_seuil2_BPA-pa_seuil1_BPA))*pa_max_BPA)</f>
        <v>181.19</v>
      </c>
      <c r="U223" s="85">
        <f>(((U$38+U$32*IF(U$38&gt;=AAH_salmin_revact,U$205,0))/smic&gt;=pa_seuil1_BPA)*MIN(1,((U$38+U$32*IF(U$38&gt;=AAH_salmin_revact,U$205,0))/smic-pa_seuil1_BPA)/(pa_seuil2_BPA-pa_seuil1_BPA))*pa_max_BPA)</f>
        <v>181.19</v>
      </c>
    </row>
    <row r="224" spans="1:21" s="4" customFormat="1" x14ac:dyDescent="0.25">
      <c r="A224" s="275" t="s">
        <v>527</v>
      </c>
      <c r="B224" s="5"/>
      <c r="C224" s="85">
        <f>(C$3="couple")*(((C$39+C$33*IF(C$39&gt;=AAH_salmin_revact,C$207,0))/smic&gt;=pa_seuil1_BPA)*MIN(1,((C$39+C$33*IF(C$39&gt;=AAH_salmin_revact,C$207,0))/smic-pa_seuil1_BPA)/(pa_seuil2_BPA-pa_seuil1_BPA))*pa_max_BPA)</f>
        <v>0</v>
      </c>
      <c r="D224" s="85">
        <f>(D$3="couple")*(((D$39+D$33*IF(D$39&gt;=AAH_salmin_revact,D$207,0))/smic&gt;=pa_seuil1_BPA)*MIN(1,((D$39+D$33*IF(D$39&gt;=AAH_salmin_revact,D$207,0))/smic-pa_seuil1_BPA)/(pa_seuil2_BPA-pa_seuil1_BPA))*pa_max_BPA)</f>
        <v>0</v>
      </c>
      <c r="E224" s="85">
        <f>(E$3="couple")*(((E$39+E$33*IF(E$39&gt;=AAH_salmin_revact,E$207,0))/smic&gt;=pa_seuil1_BPA)*MIN(1,((E$39+E$33*IF(E$39&gt;=AAH_salmin_revact,E$207,0))/smic-pa_seuil1_BPA)/(pa_seuil2_BPA-pa_seuil1_BPA))*pa_max_BPA)</f>
        <v>0</v>
      </c>
      <c r="F224" s="85">
        <f>(F$3="couple")*(((F$39+F$33*IF(F$39&gt;=AAH_salmin_revact,F$207,0))/smic&gt;=pa_seuil1_BPA)*MIN(1,((F$39+F$33*IF(F$39&gt;=AAH_salmin_revact,F$207,0))/smic-pa_seuil1_BPA)/(pa_seuil2_BPA-pa_seuil1_BPA))*pa_max_BPA)</f>
        <v>0</v>
      </c>
      <c r="H224" s="85">
        <f>(H$3="couple")*(((H$39+H$33*IF(H$39&gt;=AAH_salmin_revact,H$207,0))/smic&gt;=pa_seuil1_BPA)*MIN(1,((H$39+H$33*IF(H$39&gt;=AAH_salmin_revact,H$207,0))/smic-pa_seuil1_BPA)/(pa_seuil2_BPA-pa_seuil1_BPA))*pa_max_BPA)</f>
        <v>0</v>
      </c>
      <c r="I224" s="85">
        <f>(I$3="couple")*(((I$39+I$33*IF(I$39&gt;=AAH_salmin_revact,I$207,0))/smic&gt;=pa_seuil1_BPA)*MIN(1,((I$39+I$33*IF(I$39&gt;=AAH_salmin_revact,I$207,0))/smic-pa_seuil1_BPA)/(pa_seuil2_BPA-pa_seuil1_BPA))*pa_max_BPA)</f>
        <v>0</v>
      </c>
      <c r="J224" s="85">
        <f>(J$3="couple")*(((J$39+J$33*IF(J$39&gt;=AAH_salmin_revact,J$207,0))/smic&gt;=pa_seuil1_BPA)*MIN(1,((J$39+J$33*IF(J$39&gt;=AAH_salmin_revact,J$207,0))/smic-pa_seuil1_BPA)/(pa_seuil2_BPA-pa_seuil1_BPA))*pa_max_BPA)</f>
        <v>0</v>
      </c>
      <c r="K224" s="85">
        <f>(K$3="couple")*(((K$39+K$33*IF(K$39&gt;=AAH_salmin_revact,K$207,0))/smic&gt;=pa_seuil1_BPA)*MIN(1,((K$39+K$33*IF(K$39&gt;=AAH_salmin_revact,K$207,0))/smic-pa_seuil1_BPA)/(pa_seuil2_BPA-pa_seuil1_BPA))*pa_max_BPA)</f>
        <v>0</v>
      </c>
      <c r="M224" s="85">
        <f>(M$3="couple")*(((M$39+M$33*IF(M$39&gt;=AAH_salmin_revact,M$207,0))/smic&gt;=pa_seuil1_BPA)*MIN(1,((M$39+M$33*IF(M$39&gt;=AAH_salmin_revact,M$207,0))/smic-pa_seuil1_BPA)/(pa_seuil2_BPA-pa_seuil1_BPA))*pa_max_BPA)</f>
        <v>0</v>
      </c>
      <c r="N224" s="85">
        <f>(N$3="couple")*(((N$39+N$33*IF(N$39&gt;=AAH_salmin_revact,N$207,0))/smic&gt;=pa_seuil1_BPA)*MIN(1,((N$39+N$33*IF(N$39&gt;=AAH_salmin_revact,N$207,0))/smic-pa_seuil1_BPA)/(pa_seuil2_BPA-pa_seuil1_BPA))*pa_max_BPA)</f>
        <v>0</v>
      </c>
      <c r="O224" s="85">
        <f>(O$3="couple")*(((O$39+O$33*IF(O$39&gt;=AAH_salmin_revact,O$207,0))/smic&gt;=pa_seuil1_BPA)*MIN(1,((O$39+O$33*IF(O$39&gt;=AAH_salmin_revact,O$207,0))/smic-pa_seuil1_BPA)/(pa_seuil2_BPA-pa_seuil1_BPA))*pa_max_BPA)</f>
        <v>0</v>
      </c>
      <c r="P224" s="85">
        <f>(P$3="couple")*(((P$39+P$33*IF(P$39&gt;=AAH_salmin_revact,P$207,0))/smic&gt;=pa_seuil1_BPA)*MIN(1,((P$39+P$33*IF(P$39&gt;=AAH_salmin_revact,P$207,0))/smic-pa_seuil1_BPA)/(pa_seuil2_BPA-pa_seuil1_BPA))*pa_max_BPA)</f>
        <v>0</v>
      </c>
      <c r="R224" s="85">
        <f>(R$3="couple")*(((R$39+R$33*IF(R$39&gt;=AAH_salmin_revact,R$207,0))/smic&gt;=pa_seuil1_BPA)*MIN(1,((R$39+R$33*IF(R$39&gt;=AAH_salmin_revact,R$207,0))/smic-pa_seuil1_BPA)/(pa_seuil2_BPA-pa_seuil1_BPA))*pa_max_BPA)</f>
        <v>0</v>
      </c>
      <c r="S224" s="85">
        <f>(S$3="couple")*(((S$39+S$33*IF(S$39&gt;=AAH_salmin_revact,S$207,0))/smic&gt;=pa_seuil1_BPA)*MIN(1,((S$39+S$33*IF(S$39&gt;=AAH_salmin_revact,S$207,0))/smic-pa_seuil1_BPA)/(pa_seuil2_BPA-pa_seuil1_BPA))*pa_max_BPA)</f>
        <v>0</v>
      </c>
      <c r="T224" s="85">
        <f>(T$3="couple")*(((T$39+T$33*IF(T$39&gt;=AAH_salmin_revact,T$207,0))/smic&gt;=pa_seuil1_BPA)*MIN(1,((T$39+T$33*IF(T$39&gt;=AAH_salmin_revact,T$207,0))/smic-pa_seuil1_BPA)/(pa_seuil2_BPA-pa_seuil1_BPA))*pa_max_BPA)</f>
        <v>0</v>
      </c>
      <c r="U224" s="85">
        <f>(U$3="couple")*(((U$39+U$33*IF(U$39&gt;=AAH_salmin_revact,U$207,0))/smic&gt;=pa_seuil1_BPA)*MIN(1,((U$39+U$33*IF(U$39&gt;=AAH_salmin_revact,U$207,0))/smic-pa_seuil1_BPA)/(pa_seuil2_BPA-pa_seuil1_BPA))*pa_max_BPA)</f>
        <v>0</v>
      </c>
    </row>
    <row r="225" spans="1:21" s="4" customFormat="1" x14ac:dyDescent="0.25">
      <c r="A225" s="116" t="s">
        <v>92</v>
      </c>
      <c r="B225" s="5"/>
      <c r="C225" s="85">
        <f>C$38+C$32*IF(C$38&gt;=AAH_salmin_revact,C$205,0)+(C$3="couple")*(C$39+C$33*IF(C$39&gt;=AAH_salmin_revact,C$207,0))</f>
        <v>0</v>
      </c>
      <c r="D225" s="85">
        <f>D$38+D$32*IF(D$38&gt;=AAH_salmin_revact,D$205,0)+(D$3="couple")*(D$39+D$33*IF(D$39&gt;=AAH_salmin_revact,D$207,0))</f>
        <v>699.35</v>
      </c>
      <c r="E225" s="85">
        <f>E$38+E$32*IF(E$38&gt;=AAH_salmin_revact,E$205,0)+(E$3="couple")*(E$39+E$33*IF(E$39&gt;=AAH_salmin_revact,E$207,0))</f>
        <v>1398.7</v>
      </c>
      <c r="F225" s="85">
        <f>F$38+F$32*IF(F$38&gt;=AAH_salmin_revact,F$205,0)+(F$3="couple")*(F$39+F$33*IF(F$39&gt;=AAH_salmin_revact,F$207,0))</f>
        <v>2098.0500000000002</v>
      </c>
      <c r="H225" s="85">
        <f>H$38+H$32*IF(H$38&gt;=AAH_salmin_revact,H$205,0)+(H$3="couple")*(H$39+H$33*IF(H$39&gt;=AAH_salmin_revact,H$207,0))</f>
        <v>0</v>
      </c>
      <c r="I225" s="85">
        <f>I$38+I$32*IF(I$38&gt;=AAH_salmin_revact,I$205,0)+(I$3="couple")*(I$39+I$33*IF(I$39&gt;=AAH_salmin_revact,I$207,0))</f>
        <v>699.35</v>
      </c>
      <c r="J225" s="85">
        <f>J$38+J$32*IF(J$38&gt;=AAH_salmin_revact,J$205,0)+(J$3="couple")*(J$39+J$33*IF(J$39&gt;=AAH_salmin_revact,J$207,0))</f>
        <v>1398.7</v>
      </c>
      <c r="K225" s="85">
        <f>K$38+K$32*IF(K$38&gt;=AAH_salmin_revact,K$205,0)+(K$3="couple")*(K$39+K$33*IF(K$39&gt;=AAH_salmin_revact,K$207,0))</f>
        <v>2098.0500000000002</v>
      </c>
      <c r="M225" s="85">
        <f>M$38+M$32*IF(M$38&gt;=AAH_salmin_revact,M$205,0)+(M$3="couple")*(M$39+M$33*IF(M$39&gt;=AAH_salmin_revact,M$207,0))</f>
        <v>0</v>
      </c>
      <c r="N225" s="85">
        <f>N$38+N$32*IF(N$38&gt;=AAH_salmin_revact,N$205,0)+(N$3="couple")*(N$39+N$33*IF(N$39&gt;=AAH_salmin_revact,N$207,0))</f>
        <v>699.35</v>
      </c>
      <c r="O225" s="85">
        <f>O$38+O$32*IF(O$38&gt;=AAH_salmin_revact,O$205,0)+(O$3="couple")*(O$39+O$33*IF(O$39&gt;=AAH_salmin_revact,O$207,0))</f>
        <v>1398.7</v>
      </c>
      <c r="P225" s="85">
        <f>P$38+P$32*IF(P$38&gt;=AAH_salmin_revact,P$205,0)+(P$3="couple")*(P$39+P$33*IF(P$39&gt;=AAH_salmin_revact,P$207,0))</f>
        <v>2098.0500000000002</v>
      </c>
      <c r="R225" s="85">
        <f>R$38+R$32*IF(R$38&gt;=AAH_salmin_revact,R$205,0)+(R$3="couple")*(R$39+R$33*IF(R$39&gt;=AAH_salmin_revact,R$207,0))</f>
        <v>0</v>
      </c>
      <c r="S225" s="85">
        <f>S$38+S$32*IF(S$38&gt;=AAH_salmin_revact,S$205,0)+(S$3="couple")*(S$39+S$33*IF(S$39&gt;=AAH_salmin_revact,S$207,0))</f>
        <v>699.35</v>
      </c>
      <c r="T225" s="85">
        <f>T$38+T$32*IF(T$38&gt;=AAH_salmin_revact,T$205,0)+(T$3="couple")*(T$39+T$33*IF(T$39&gt;=AAH_salmin_revact,T$207,0))</f>
        <v>1398.7</v>
      </c>
      <c r="U225" s="85">
        <f>U$38+U$32*IF(U$38&gt;=AAH_salmin_revact,U$205,0)+(U$3="couple")*(U$39+U$33*IF(U$39&gt;=AAH_salmin_revact,U$207,0))</f>
        <v>2098.0500000000002</v>
      </c>
    </row>
    <row r="226" spans="1:21" s="4" customFormat="1" x14ac:dyDescent="0.25">
      <c r="A226" s="275" t="s">
        <v>216</v>
      </c>
      <c r="B226" s="5"/>
      <c r="C226" s="85">
        <f>C$221+C223+C224+pa_taux_rev_act*C225</f>
        <v>622.63</v>
      </c>
      <c r="D226" s="85">
        <f>D$221+D223+D224+pa_taux_rev_act*D225</f>
        <v>1049.2335</v>
      </c>
      <c r="E226" s="85">
        <f>E$221+E223+E224+pa_taux_rev_act*E225</f>
        <v>1657.027</v>
      </c>
      <c r="F226" s="85">
        <f>F$221+F223+F224+pa_taux_rev_act*F225</f>
        <v>2083.6305000000002</v>
      </c>
      <c r="H226" s="85">
        <f>H$221+H223+H224+pa_taux_rev_act*H225</f>
        <v>933.94499999999994</v>
      </c>
      <c r="I226" s="85">
        <f>I$221+I223+I224+pa_taux_rev_act*I225</f>
        <v>1360.5484999999999</v>
      </c>
      <c r="J226" s="85">
        <f>J$221+J223+J224+pa_taux_rev_act*J225</f>
        <v>1968.3420000000001</v>
      </c>
      <c r="K226" s="85">
        <f>K$221+K223+K224+pa_taux_rev_act*K225</f>
        <v>2394.9454999999998</v>
      </c>
      <c r="M226" s="85">
        <f>M$221+M223+M224+pa_taux_rev_act*M225</f>
        <v>1120.7339999999999</v>
      </c>
      <c r="N226" s="85">
        <f>N$221+N223+N224+pa_taux_rev_act*N225</f>
        <v>1547.3374999999999</v>
      </c>
      <c r="O226" s="85">
        <f>O$221+O223+O224+pa_taux_rev_act*O225</f>
        <v>2155.1309999999999</v>
      </c>
      <c r="P226" s="85">
        <f>P$221+P223+P224+pa_taux_rev_act*P225</f>
        <v>2581.7345</v>
      </c>
      <c r="R226" s="85">
        <f>R$221+R223+R224+pa_taux_rev_act*R225</f>
        <v>1369.7860000000001</v>
      </c>
      <c r="S226" s="85">
        <f>S$221+S223+S224+pa_taux_rev_act*S225</f>
        <v>1796.3895</v>
      </c>
      <c r="T226" s="85">
        <f>T$221+T223+T224+pa_taux_rev_act*T225</f>
        <v>2404.183</v>
      </c>
      <c r="U226" s="85">
        <f>U$221+U223+U224+pa_taux_rev_act*U225</f>
        <v>2830.7865000000002</v>
      </c>
    </row>
    <row r="227" spans="1:21" s="4" customFormat="1" x14ac:dyDescent="0.25">
      <c r="A227" s="275" t="s">
        <v>209</v>
      </c>
      <c r="B227" s="5"/>
      <c r="C227" s="85">
        <f>(C$127+C$137+C$64)/(1-crds)+(C$62&gt;0)*MAX(0,(ASF_à_déduire_du_RSA/(1-crds))*C$97-C$52)</f>
        <v>0</v>
      </c>
      <c r="D227" s="85">
        <f>(D$127+D$137+D$64)/(1-crds)+(D$62&gt;0)*MAX(0,(ASF_à_déduire_du_RSA/(1-crds))*D$97-D$52)</f>
        <v>0</v>
      </c>
      <c r="E227" s="85">
        <f>(E$127+E$137+E$64)/(1-crds)+(E$62&gt;0)*MAX(0,(ASF_à_déduire_du_RSA/(1-crds))*E$97-E$52)</f>
        <v>0</v>
      </c>
      <c r="F227" s="85">
        <f>(F$127+F$137+F$64)/(1-crds)+(F$62&gt;0)*MAX(0,(ASF_à_déduire_du_RSA/(1-crds))*F$97-F$52)</f>
        <v>0</v>
      </c>
      <c r="H227" s="85">
        <f>(H$127+H$137+H$64)/(1-crds)+(H$62&gt;0)*MAX(0,(ASF_à_déduire_du_RSA/(1-crds))*H$97-H$52)</f>
        <v>104.94899999999998</v>
      </c>
      <c r="I227" s="85">
        <f>(I$127+I$137+I$64)/(1-crds)+(I$62&gt;0)*MAX(0,(ASF_à_déduire_du_RSA/(1-crds))*I$97-I$52)</f>
        <v>104.94899999999998</v>
      </c>
      <c r="J227" s="85">
        <f>(J$127+J$137+J$64)/(1-crds)+(J$62&gt;0)*MAX(0,(ASF_à_déduire_du_RSA/(1-crds))*J$97-J$52)</f>
        <v>104.94899999999998</v>
      </c>
      <c r="K227" s="85">
        <f>(K$127+K$137+K$64)/(1-crds)+(K$62&gt;0)*MAX(0,(ASF_à_déduire_du_RSA/(1-crds))*K$97-K$52)</f>
        <v>104.94899999999998</v>
      </c>
      <c r="M227" s="85">
        <f>(M$127+M$137+M$64)/(1-crds)+(M$62&gt;0)*MAX(0,(ASF_à_déduire_du_RSA/(1-crds))*M$97-M$52)</f>
        <v>359.15879999999993</v>
      </c>
      <c r="N227" s="85">
        <f>(N$127+N$137+N$64)/(1-crds)+(N$62&gt;0)*MAX(0,(ASF_à_déduire_du_RSA/(1-crds))*N$97-N$52)</f>
        <v>359.15879999999993</v>
      </c>
      <c r="O227" s="85">
        <f>(O$127+O$137+O$64)/(1-crds)+(O$62&gt;0)*MAX(0,(ASF_à_déduire_du_RSA/(1-crds))*O$97-O$52)</f>
        <v>359.15879999999993</v>
      </c>
      <c r="P227" s="85">
        <f>(P$127+P$137+P$64)/(1-crds)+(P$62&gt;0)*MAX(0,(ASF_à_déduire_du_RSA/(1-crds))*P$97-P$52)</f>
        <v>359.15879999999993</v>
      </c>
      <c r="R227" s="85">
        <f>(R$127+R$137+R$64)/(1-crds)+(R$62&gt;0)*MAX(0,(ASF_à_déduire_du_RSA/(1-crds))*R$97-R$52)</f>
        <v>849.62045999999987</v>
      </c>
      <c r="S227" s="85">
        <f>(S$127+S$137+S$64)/(1-crds)+(S$62&gt;0)*MAX(0,(ASF_à_déduire_du_RSA/(1-crds))*S$97-S$52)</f>
        <v>849.62045999999987</v>
      </c>
      <c r="T227" s="85">
        <f>(T$127+T$137+T$64)/(1-crds)+(T$62&gt;0)*MAX(0,(ASF_à_déduire_du_RSA/(1-crds))*T$97-T$52)</f>
        <v>849.62045999999987</v>
      </c>
      <c r="U227" s="85">
        <f>(U$127+U$137+U$64)/(1-crds)+(U$62&gt;0)*MAX(0,(ASF_à_déduire_du_RSA/(1-crds))*U$97-U$52)</f>
        <v>849.62045999999987</v>
      </c>
    </row>
    <row r="228" spans="1:21" x14ac:dyDescent="0.25">
      <c r="A228" s="275" t="s">
        <v>331</v>
      </c>
      <c r="B228" s="5"/>
      <c r="C228" s="85">
        <f>C$218+C$227+C$38+C$39+C$52+C$57+C$74</f>
        <v>559.4248</v>
      </c>
      <c r="D228" s="85">
        <f t="shared" ref="D228:F228" si="119">D$218+D$227+D$38+D$39+D$52+D$57+D$74</f>
        <v>699.35</v>
      </c>
      <c r="E228" s="85">
        <f t="shared" si="119"/>
        <v>1398.7</v>
      </c>
      <c r="F228" s="85">
        <f t="shared" si="119"/>
        <v>2098.0500000000002</v>
      </c>
      <c r="H228" s="85">
        <f>H$218+H$227+H$38+H$39+H$52+H$57+H$74</f>
        <v>800.99459999999999</v>
      </c>
      <c r="I228" s="85">
        <f t="shared" ref="I228:K228" si="120">I$218+I$227+I$38+I$39+I$52+I$57+I$74</f>
        <v>804.29899999999998</v>
      </c>
      <c r="J228" s="85">
        <f t="shared" si="120"/>
        <v>1503.6490000000001</v>
      </c>
      <c r="K228" s="85">
        <f t="shared" si="120"/>
        <v>2202.9990000000003</v>
      </c>
      <c r="M228" s="85">
        <f>M$218+M$227+M$38+M$39+M$52+M$57+M$74</f>
        <v>955.47212999999999</v>
      </c>
      <c r="N228" s="85">
        <f t="shared" ref="N228:P228" si="121">N$218+N$227+N$38+N$39+N$52+N$57+N$74</f>
        <v>1058.5088000000001</v>
      </c>
      <c r="O228" s="85">
        <f t="shared" si="121"/>
        <v>1757.8588</v>
      </c>
      <c r="P228" s="85">
        <f t="shared" si="121"/>
        <v>2457.2088000000003</v>
      </c>
      <c r="R228" s="85">
        <f>R$218+R$227+R$38+R$39+R$52+R$57+R$74</f>
        <v>1209.7561300000002</v>
      </c>
      <c r="S228" s="85">
        <f t="shared" ref="S228:U228" si="122">S$218+S$227+S$38+S$39+S$52+S$57+S$74</f>
        <v>1548.97046</v>
      </c>
      <c r="T228" s="85">
        <f t="shared" si="122"/>
        <v>2248.3204599999999</v>
      </c>
      <c r="U228" s="85">
        <f t="shared" si="122"/>
        <v>2947.6704600000003</v>
      </c>
    </row>
    <row r="229" spans="1:21" ht="13" thickBot="1" x14ac:dyDescent="0.3">
      <c r="A229" s="288" t="s">
        <v>143</v>
      </c>
      <c r="B229" s="125"/>
      <c r="C229" s="126">
        <f>(C$225&gt;0)*MAX(0,C$226-C$222-C$228)</f>
        <v>0</v>
      </c>
      <c r="D229" s="126">
        <f t="shared" ref="D229:F229" si="123">(D$225&gt;0)*MAX(0,D$226-D$222-D$228)</f>
        <v>275.16790000000003</v>
      </c>
      <c r="E229" s="126">
        <f t="shared" si="123"/>
        <v>258.327</v>
      </c>
      <c r="F229" s="126">
        <f t="shared" si="123"/>
        <v>0</v>
      </c>
      <c r="H229" s="126">
        <f>(H$225&gt;0)*MAX(0,H$226-H$222-H$228)</f>
        <v>0</v>
      </c>
      <c r="I229" s="126">
        <f t="shared" ref="I229:K229" si="124">(I$225&gt;0)*MAX(0,I$226-I$222-I$228)</f>
        <v>406.81829999999991</v>
      </c>
      <c r="J229" s="126">
        <f t="shared" si="124"/>
        <v>315.26179999999999</v>
      </c>
      <c r="K229" s="126">
        <f t="shared" si="124"/>
        <v>191.94649999999956</v>
      </c>
      <c r="M229" s="126">
        <f>(M$225&gt;0)*MAX(0,M$226-M$222-M$228)</f>
        <v>0</v>
      </c>
      <c r="N229" s="126">
        <f t="shared" ref="N229:P229" si="125">(N$225&gt;0)*MAX(0,N$226-N$222-N$228)</f>
        <v>303.9075899999998</v>
      </c>
      <c r="O229" s="126">
        <f t="shared" si="125"/>
        <v>212.35108999999989</v>
      </c>
      <c r="P229" s="126">
        <f t="shared" si="125"/>
        <v>17.999139456386274</v>
      </c>
      <c r="R229" s="126">
        <f>(R$225&gt;0)*MAX(0,R$226-R$222-R$228)</f>
        <v>0</v>
      </c>
      <c r="S229" s="126">
        <f t="shared" ref="S229:U229" si="126">(S$225&gt;0)*MAX(0,S$226-S$222-S$228)</f>
        <v>62.497929999999997</v>
      </c>
      <c r="T229" s="126">
        <f t="shared" si="126"/>
        <v>0</v>
      </c>
      <c r="U229" s="126">
        <f t="shared" si="126"/>
        <v>0</v>
      </c>
    </row>
    <row r="230" spans="1:21" x14ac:dyDescent="0.25">
      <c r="C230" s="201"/>
      <c r="D230" s="201"/>
      <c r="E230" s="201"/>
      <c r="F230" s="201"/>
      <c r="H230" s="201"/>
      <c r="I230" s="201"/>
      <c r="J230" s="201"/>
      <c r="K230" s="201"/>
      <c r="M230" s="201"/>
      <c r="N230" s="201"/>
      <c r="O230" s="201"/>
      <c r="P230" s="201"/>
      <c r="R230" s="201"/>
      <c r="S230" s="201"/>
      <c r="T230" s="201"/>
      <c r="U230" s="201"/>
    </row>
    <row r="231" spans="1:21" ht="13.5" hidden="1" thickBot="1" x14ac:dyDescent="0.35">
      <c r="A231" s="295" t="s">
        <v>420</v>
      </c>
    </row>
    <row r="232" spans="1:21" ht="13" hidden="1" thickBot="1" x14ac:dyDescent="0.3">
      <c r="A232" s="424" t="s">
        <v>483</v>
      </c>
      <c r="B232" s="425"/>
      <c r="C232" s="426">
        <f>(C$13&lt;&gt;"png")*C$96</f>
        <v>0</v>
      </c>
      <c r="D232" s="426">
        <f t="shared" ref="D232:F232" si="127">(D$13&lt;&gt;"png")*D$96</f>
        <v>0</v>
      </c>
      <c r="E232" s="426">
        <f t="shared" si="127"/>
        <v>0</v>
      </c>
      <c r="F232" s="426">
        <f t="shared" si="127"/>
        <v>0</v>
      </c>
      <c r="H232" s="426">
        <f>(H$13&lt;&gt;"png")*H$96</f>
        <v>1</v>
      </c>
      <c r="I232" s="426">
        <f t="shared" ref="I232:K232" si="128">(I$13&lt;&gt;"png")*I$96</f>
        <v>1</v>
      </c>
      <c r="J232" s="426">
        <f t="shared" si="128"/>
        <v>1</v>
      </c>
      <c r="K232" s="426">
        <f t="shared" si="128"/>
        <v>1</v>
      </c>
      <c r="M232" s="426">
        <f>(M$13&lt;&gt;"png")*M$96</f>
        <v>2</v>
      </c>
      <c r="N232" s="426">
        <f t="shared" ref="N232:P232" si="129">(N$13&lt;&gt;"png")*N$96</f>
        <v>2</v>
      </c>
      <c r="O232" s="426">
        <f t="shared" si="129"/>
        <v>2</v>
      </c>
      <c r="P232" s="426">
        <f t="shared" si="129"/>
        <v>2</v>
      </c>
      <c r="R232" s="426">
        <f>(R$13&lt;&gt;"png")*R$96</f>
        <v>3</v>
      </c>
      <c r="S232" s="426">
        <f t="shared" ref="S232:U232" si="130">(S$13&lt;&gt;"png")*S$96</f>
        <v>3</v>
      </c>
      <c r="T232" s="426">
        <f t="shared" si="130"/>
        <v>3</v>
      </c>
      <c r="U232" s="426">
        <f t="shared" si="130"/>
        <v>3</v>
      </c>
    </row>
    <row r="233" spans="1:21" hidden="1" x14ac:dyDescent="0.25">
      <c r="A233" s="274" t="s">
        <v>10</v>
      </c>
      <c r="B233" s="294"/>
      <c r="C233" s="436">
        <f>IF(C$3="isolé",1,2)+(C$232&gt;0)*(IF(C$3="isolé",0.5,0)*IF(AND(OR(C$13="ga_m",C$13="ga_p"),C$232=1),0.5,1)+(0.5*MIN(2,C$232)+1*MAX(0,C$232-2))*IF(OR(C$13="ga_m",C$13="ga_p"),0.5,1))</f>
        <v>1</v>
      </c>
      <c r="D233" s="436">
        <f t="shared" ref="D233:F233" si="131">IF(D$3="isolé",1,2)+(D$232&gt;0)*(IF(D$3="isolé",0.5,0)*IF(AND(OR(D$13="ga_m",D$13="ga_p"),D$232=1),0.5,1)+(0.5*MIN(2,D$232)+1*MAX(0,D$232-2))*IF(OR(D$13="ga_m",D$13="ga_p"),0.5,1))</f>
        <v>1</v>
      </c>
      <c r="E233" s="436">
        <f t="shared" si="131"/>
        <v>1</v>
      </c>
      <c r="F233" s="436">
        <f t="shared" si="131"/>
        <v>1</v>
      </c>
      <c r="H233" s="436">
        <f>IF(H$3="isolé",1,2)+(H$232&gt;0)*(IF(H$3="isolé",0.5,0)*IF(AND(OR(H$13="ga_m",H$13="ga_p"),H$232=1),0.5,1)+(0.5*MIN(2,H$232)+1*MAX(0,H$232-2))*IF(OR(H$13="ga_m",H$13="ga_p"),0.5,1))</f>
        <v>2</v>
      </c>
      <c r="I233" s="436">
        <f t="shared" ref="I233:K233" si="132">IF(I$3="isolé",1,2)+(I$232&gt;0)*(IF(I$3="isolé",0.5,0)*IF(AND(OR(I$13="ga_m",I$13="ga_p"),I$232=1),0.5,1)+(0.5*MIN(2,I$232)+1*MAX(0,I$232-2))*IF(OR(I$13="ga_m",I$13="ga_p"),0.5,1))</f>
        <v>2</v>
      </c>
      <c r="J233" s="436">
        <f t="shared" si="132"/>
        <v>2</v>
      </c>
      <c r="K233" s="436">
        <f t="shared" si="132"/>
        <v>2</v>
      </c>
      <c r="M233" s="436">
        <f>IF(M$3="isolé",1,2)+(M$232&gt;0)*(IF(M$3="isolé",0.5,0)*IF(AND(OR(M$13="ga_m",M$13="ga_p"),M$232=1),0.5,1)+(0.5*MIN(2,M$232)+1*MAX(0,M$232-2))*IF(OR(M$13="ga_m",M$13="ga_p"),0.5,1))</f>
        <v>2.5</v>
      </c>
      <c r="N233" s="436">
        <f t="shared" ref="N233:P233" si="133">IF(N$3="isolé",1,2)+(N$232&gt;0)*(IF(N$3="isolé",0.5,0)*IF(AND(OR(N$13="ga_m",N$13="ga_p"),N$232=1),0.5,1)+(0.5*MIN(2,N$232)+1*MAX(0,N$232-2))*IF(OR(N$13="ga_m",N$13="ga_p"),0.5,1))</f>
        <v>2.5</v>
      </c>
      <c r="O233" s="436">
        <f t="shared" si="133"/>
        <v>2.5</v>
      </c>
      <c r="P233" s="436">
        <f t="shared" si="133"/>
        <v>2.5</v>
      </c>
      <c r="R233" s="436">
        <f>IF(R$3="isolé",1,2)+(R$232&gt;0)*(IF(R$3="isolé",0.5,0)*IF(AND(OR(R$13="ga_m",R$13="ga_p"),R$232=1),0.5,1)+(0.5*MIN(2,R$232)+1*MAX(0,R$232-2))*IF(OR(R$13="ga_m",R$13="ga_p"),0.5,1))</f>
        <v>3.5</v>
      </c>
      <c r="S233" s="436">
        <f t="shared" ref="S233:U233" si="134">IF(S$3="isolé",1,2)+(S$232&gt;0)*(IF(S$3="isolé",0.5,0)*IF(AND(OR(S$13="ga_m",S$13="ga_p"),S$232=1),0.5,1)+(0.5*MIN(2,S$232)+1*MAX(0,S$232-2))*IF(OR(S$13="ga_m",S$13="ga_p"),0.5,1))</f>
        <v>3.5</v>
      </c>
      <c r="T233" s="436">
        <f t="shared" si="134"/>
        <v>3.5</v>
      </c>
      <c r="U233" s="436">
        <f t="shared" si="134"/>
        <v>3.5</v>
      </c>
    </row>
    <row r="234" spans="1:21" hidden="1" x14ac:dyDescent="0.25">
      <c r="A234" s="274" t="s">
        <v>58</v>
      </c>
      <c r="B234" s="255"/>
      <c r="C234" s="262">
        <f t="shared" ref="C234:U234" si="135">IF(C$3="isolé",1,2)</f>
        <v>1</v>
      </c>
      <c r="D234" s="262">
        <f t="shared" si="135"/>
        <v>1</v>
      </c>
      <c r="E234" s="262">
        <f t="shared" si="135"/>
        <v>1</v>
      </c>
      <c r="F234" s="262">
        <f t="shared" si="135"/>
        <v>1</v>
      </c>
      <c r="H234" s="262">
        <f t="shared" si="135"/>
        <v>1</v>
      </c>
      <c r="I234" s="262">
        <f t="shared" si="135"/>
        <v>1</v>
      </c>
      <c r="J234" s="262">
        <f t="shared" si="135"/>
        <v>1</v>
      </c>
      <c r="K234" s="262">
        <f t="shared" si="135"/>
        <v>1</v>
      </c>
      <c r="M234" s="262">
        <f t="shared" si="135"/>
        <v>1</v>
      </c>
      <c r="N234" s="262">
        <f t="shared" si="135"/>
        <v>1</v>
      </c>
      <c r="O234" s="262">
        <f t="shared" si="135"/>
        <v>1</v>
      </c>
      <c r="P234" s="262">
        <f t="shared" si="135"/>
        <v>1</v>
      </c>
      <c r="R234" s="262">
        <f t="shared" si="135"/>
        <v>1</v>
      </c>
      <c r="S234" s="262">
        <f t="shared" si="135"/>
        <v>1</v>
      </c>
      <c r="T234" s="262">
        <f t="shared" si="135"/>
        <v>1</v>
      </c>
      <c r="U234" s="262">
        <f t="shared" si="135"/>
        <v>1</v>
      </c>
    </row>
    <row r="235" spans="1:21" hidden="1" x14ac:dyDescent="0.25">
      <c r="A235" s="275" t="s">
        <v>430</v>
      </c>
      <c r="B235" s="260"/>
      <c r="C235" s="265">
        <f>MAX(0,(Coef_impot/evol_smic)*C$58-MAX(irpp_min_reduc_fp,MIN(irpp_max_reduc_fp,irpp_taux_reduc_fp*(Coef_impot/evol_smic)*C$58)))
+(MAX(0,12*C$52-MAX(irpp_min_reduc_pens,MIN(irpp_max_reduc_pens,irpp_taux_reduc_pens*12*C$52)))
 -12*C$53)*(C$13&lt;&gt;"ga_m")*(C$13&lt;&gt;"ga_p")</f>
        <v>0</v>
      </c>
      <c r="D235" s="265">
        <f>MAX(0,(Coef_impot/evol_smic)*D$58-MAX(irpp_min_reduc_fp,MIN(irpp_max_reduc_fp,irpp_taux_reduc_fp*(Coef_impot/evol_smic)*D$58)))
+(MAX(0,12*D$52-MAX(irpp_min_reduc_pens,MIN(irpp_max_reduc_pens,irpp_taux_reduc_pens*12*D$52)))
 -12*D$53)*(D$13&lt;&gt;"ga_m")*(D$13&lt;&gt;"ga_p")</f>
        <v>7575.6173818363923</v>
      </c>
      <c r="E235" s="265">
        <f>MAX(0,(Coef_impot/evol_smic)*E$58-MAX(irpp_min_reduc_fp,MIN(irpp_max_reduc_fp,irpp_taux_reduc_fp*(Coef_impot/evol_smic)*E$58)))
+(MAX(0,12*E$52-MAX(irpp_min_reduc_pens,MIN(irpp_max_reduc_pens,irpp_taux_reduc_pens*12*E$52)))
 -12*E$53)*(E$13&lt;&gt;"ga_m")*(E$13&lt;&gt;"ga_p")</f>
        <v>15151.234763672785</v>
      </c>
      <c r="F235" s="265">
        <f>MAX(0,(Coef_impot/evol_smic)*F$58-MAX(irpp_min_reduc_fp,MIN(irpp_max_reduc_fp,irpp_taux_reduc_fp*(Coef_impot/evol_smic)*F$58)))
+(MAX(0,12*F$52-MAX(irpp_min_reduc_pens,MIN(irpp_max_reduc_pens,irpp_taux_reduc_pens*12*F$52)))
 -12*F$53)*(F$13&lt;&gt;"ga_m")*(F$13&lt;&gt;"ga_p")</f>
        <v>22726.852145509176</v>
      </c>
      <c r="H235" s="265">
        <f>MAX(0,(Coef_impot/evol_smic)*H$58-MAX(irpp_min_reduc_fp,MIN(irpp_max_reduc_fp,irpp_taux_reduc_fp*(Coef_impot/evol_smic)*H$58)))
+(MAX(0,12*H$52-MAX(irpp_min_reduc_pens,MIN(irpp_max_reduc_pens,irpp_taux_reduc_pens*12*H$52)))
 -12*H$53)*(H$13&lt;&gt;"ga_m")*(H$13&lt;&gt;"ga_p")</f>
        <v>0</v>
      </c>
      <c r="I235" s="265">
        <f>MAX(0,(Coef_impot/evol_smic)*I$58-MAX(irpp_min_reduc_fp,MIN(irpp_max_reduc_fp,irpp_taux_reduc_fp*(Coef_impot/evol_smic)*I$58)))
+(MAX(0,12*I$52-MAX(irpp_min_reduc_pens,MIN(irpp_max_reduc_pens,irpp_taux_reduc_pens*12*I$52)))
 -12*I$53)*(I$13&lt;&gt;"ga_m")*(I$13&lt;&gt;"ga_p")</f>
        <v>7575.6173818363923</v>
      </c>
      <c r="J235" s="265">
        <f>MAX(0,(Coef_impot/evol_smic)*J$58-MAX(irpp_min_reduc_fp,MIN(irpp_max_reduc_fp,irpp_taux_reduc_fp*(Coef_impot/evol_smic)*J$58)))
+(MAX(0,12*J$52-MAX(irpp_min_reduc_pens,MIN(irpp_max_reduc_pens,irpp_taux_reduc_pens*12*J$52)))
 -12*J$53)*(J$13&lt;&gt;"ga_m")*(J$13&lt;&gt;"ga_p")</f>
        <v>15151.234763672785</v>
      </c>
      <c r="K235" s="265">
        <f>MAX(0,(Coef_impot/evol_smic)*K$58-MAX(irpp_min_reduc_fp,MIN(irpp_max_reduc_fp,irpp_taux_reduc_fp*(Coef_impot/evol_smic)*K$58)))
+(MAX(0,12*K$52-MAX(irpp_min_reduc_pens,MIN(irpp_max_reduc_pens,irpp_taux_reduc_pens*12*K$52)))
 -12*K$53)*(K$13&lt;&gt;"ga_m")*(K$13&lt;&gt;"ga_p")</f>
        <v>22726.852145509176</v>
      </c>
      <c r="M235" s="265">
        <f>MAX(0,(Coef_impot/evol_smic)*M$58-MAX(irpp_min_reduc_fp,MIN(irpp_max_reduc_fp,irpp_taux_reduc_fp*(Coef_impot/evol_smic)*M$58)))
+(MAX(0,12*M$52-MAX(irpp_min_reduc_pens,MIN(irpp_max_reduc_pens,irpp_taux_reduc_pens*12*M$52)))
 -12*M$53)*(M$13&lt;&gt;"ga_m")*(M$13&lt;&gt;"ga_p")</f>
        <v>0</v>
      </c>
      <c r="N235" s="265">
        <f>MAX(0,(Coef_impot/evol_smic)*N$58-MAX(irpp_min_reduc_fp,MIN(irpp_max_reduc_fp,irpp_taux_reduc_fp*(Coef_impot/evol_smic)*N$58)))
+(MAX(0,12*N$52-MAX(irpp_min_reduc_pens,MIN(irpp_max_reduc_pens,irpp_taux_reduc_pens*12*N$52)))
 -12*N$53)*(N$13&lt;&gt;"ga_m")*(N$13&lt;&gt;"ga_p")</f>
        <v>7575.6173818363923</v>
      </c>
      <c r="O235" s="265">
        <f>MAX(0,(Coef_impot/evol_smic)*O$58-MAX(irpp_min_reduc_fp,MIN(irpp_max_reduc_fp,irpp_taux_reduc_fp*(Coef_impot/evol_smic)*O$58)))
+(MAX(0,12*O$52-MAX(irpp_min_reduc_pens,MIN(irpp_max_reduc_pens,irpp_taux_reduc_pens*12*O$52)))
 -12*O$53)*(O$13&lt;&gt;"ga_m")*(O$13&lt;&gt;"ga_p")</f>
        <v>15151.234763672785</v>
      </c>
      <c r="P235" s="265">
        <f>MAX(0,(Coef_impot/evol_smic)*P$58-MAX(irpp_min_reduc_fp,MIN(irpp_max_reduc_fp,irpp_taux_reduc_fp*(Coef_impot/evol_smic)*P$58)))
+(MAX(0,12*P$52-MAX(irpp_min_reduc_pens,MIN(irpp_max_reduc_pens,irpp_taux_reduc_pens*12*P$52)))
 -12*P$53)*(P$13&lt;&gt;"ga_m")*(P$13&lt;&gt;"ga_p")</f>
        <v>22726.852145509176</v>
      </c>
      <c r="R235" s="265">
        <f>MAX(0,(Coef_impot/evol_smic)*R$58-MAX(irpp_min_reduc_fp,MIN(irpp_max_reduc_fp,irpp_taux_reduc_fp*(Coef_impot/evol_smic)*R$58)))
+(MAX(0,12*R$52-MAX(irpp_min_reduc_pens,MIN(irpp_max_reduc_pens,irpp_taux_reduc_pens*12*R$52)))
 -12*R$53)*(R$13&lt;&gt;"ga_m")*(R$13&lt;&gt;"ga_p")</f>
        <v>0</v>
      </c>
      <c r="S235" s="265">
        <f>MAX(0,(Coef_impot/evol_smic)*S$58-MAX(irpp_min_reduc_fp,MIN(irpp_max_reduc_fp,irpp_taux_reduc_fp*(Coef_impot/evol_smic)*S$58)))
+(MAX(0,12*S$52-MAX(irpp_min_reduc_pens,MIN(irpp_max_reduc_pens,irpp_taux_reduc_pens*12*S$52)))
 -12*S$53)*(S$13&lt;&gt;"ga_m")*(S$13&lt;&gt;"ga_p")</f>
        <v>7575.6173818363923</v>
      </c>
      <c r="T235" s="265">
        <f>MAX(0,(Coef_impot/evol_smic)*T$58-MAX(irpp_min_reduc_fp,MIN(irpp_max_reduc_fp,irpp_taux_reduc_fp*(Coef_impot/evol_smic)*T$58)))
+(MAX(0,12*T$52-MAX(irpp_min_reduc_pens,MIN(irpp_max_reduc_pens,irpp_taux_reduc_pens*12*T$52)))
 -12*T$53)*(T$13&lt;&gt;"ga_m")*(T$13&lt;&gt;"ga_p")</f>
        <v>15151.234763672785</v>
      </c>
      <c r="U235" s="265">
        <f>MAX(0,(Coef_impot/evol_smic)*U$58-MAX(irpp_min_reduc_fp,MIN(irpp_max_reduc_fp,irpp_taux_reduc_fp*(Coef_impot/evol_smic)*U$58)))
+(MAX(0,12*U$52-MAX(irpp_min_reduc_pens,MIN(irpp_max_reduc_pens,irpp_taux_reduc_pens*12*U$52)))
 -12*U$53)*(U$13&lt;&gt;"ga_m")*(U$13&lt;&gt;"ga_p")</f>
        <v>22726.852145509176</v>
      </c>
    </row>
    <row r="236" spans="1:21" hidden="1" x14ac:dyDescent="0.25">
      <c r="A236" s="116" t="s">
        <v>93</v>
      </c>
      <c r="B236" s="260"/>
      <c r="C236" s="265">
        <f>C$235/C$233</f>
        <v>0</v>
      </c>
      <c r="D236" s="265">
        <f t="shared" ref="D236:F236" si="136">D$235/D$233</f>
        <v>7575.6173818363923</v>
      </c>
      <c r="E236" s="265">
        <f t="shared" si="136"/>
        <v>15151.234763672785</v>
      </c>
      <c r="F236" s="265">
        <f t="shared" si="136"/>
        <v>22726.852145509176</v>
      </c>
      <c r="H236" s="265">
        <f>H$235/H$233</f>
        <v>0</v>
      </c>
      <c r="I236" s="265">
        <f t="shared" ref="I236:K236" si="137">I$235/I$233</f>
        <v>3787.8086909181961</v>
      </c>
      <c r="J236" s="265">
        <f t="shared" si="137"/>
        <v>7575.6173818363923</v>
      </c>
      <c r="K236" s="265">
        <f t="shared" si="137"/>
        <v>11363.426072754588</v>
      </c>
      <c r="M236" s="265">
        <f>M$235/M$233</f>
        <v>0</v>
      </c>
      <c r="N236" s="265">
        <f t="shared" ref="N236:P236" si="138">N$235/N$233</f>
        <v>3030.246952734557</v>
      </c>
      <c r="O236" s="265">
        <f t="shared" si="138"/>
        <v>6060.493905469114</v>
      </c>
      <c r="P236" s="265">
        <f t="shared" si="138"/>
        <v>9090.7408582036696</v>
      </c>
      <c r="R236" s="265">
        <f>R$235/R$233</f>
        <v>0</v>
      </c>
      <c r="S236" s="265">
        <f t="shared" ref="S236:U236" si="139">S$235/S$233</f>
        <v>2164.4621090961123</v>
      </c>
      <c r="T236" s="265">
        <f t="shared" si="139"/>
        <v>4328.9242181922245</v>
      </c>
      <c r="U236" s="265">
        <f t="shared" si="139"/>
        <v>6493.3863272883364</v>
      </c>
    </row>
    <row r="237" spans="1:21" hidden="1" x14ac:dyDescent="0.25">
      <c r="A237" s="116" t="s">
        <v>94</v>
      </c>
      <c r="B237" s="260"/>
      <c r="C237" s="265">
        <f>C$235/C$234</f>
        <v>0</v>
      </c>
      <c r="D237" s="265">
        <f t="shared" ref="D237:F237" si="140">D$235/D$234</f>
        <v>7575.6173818363923</v>
      </c>
      <c r="E237" s="265">
        <f t="shared" si="140"/>
        <v>15151.234763672785</v>
      </c>
      <c r="F237" s="265">
        <f t="shared" si="140"/>
        <v>22726.852145509176</v>
      </c>
      <c r="H237" s="265">
        <f>H$235/H$234</f>
        <v>0</v>
      </c>
      <c r="I237" s="265">
        <f t="shared" ref="I237:K237" si="141">I$235/I$234</f>
        <v>7575.6173818363923</v>
      </c>
      <c r="J237" s="265">
        <f t="shared" si="141"/>
        <v>15151.234763672785</v>
      </c>
      <c r="K237" s="265">
        <f t="shared" si="141"/>
        <v>22726.852145509176</v>
      </c>
      <c r="M237" s="265">
        <f>M$235/M$234</f>
        <v>0</v>
      </c>
      <c r="N237" s="265">
        <f t="shared" ref="N237:P237" si="142">N$235/N$234</f>
        <v>7575.6173818363923</v>
      </c>
      <c r="O237" s="265">
        <f t="shared" si="142"/>
        <v>15151.234763672785</v>
      </c>
      <c r="P237" s="265">
        <f t="shared" si="142"/>
        <v>22726.852145509176</v>
      </c>
      <c r="R237" s="265">
        <f>R$235/R$234</f>
        <v>0</v>
      </c>
      <c r="S237" s="265">
        <f t="shared" ref="S237:U237" si="143">S$235/S$234</f>
        <v>7575.6173818363923</v>
      </c>
      <c r="T237" s="265">
        <f t="shared" si="143"/>
        <v>15151.234763672785</v>
      </c>
      <c r="U237" s="265">
        <f t="shared" si="143"/>
        <v>22726.852145509176</v>
      </c>
    </row>
    <row r="238" spans="1:21" ht="13" hidden="1" x14ac:dyDescent="0.3">
      <c r="A238" s="276" t="s">
        <v>4</v>
      </c>
      <c r="B238" s="255"/>
      <c r="C238" s="262"/>
      <c r="D238" s="262"/>
      <c r="E238" s="262"/>
      <c r="F238" s="262"/>
      <c r="H238" s="262"/>
      <c r="I238" s="262"/>
      <c r="J238" s="262"/>
      <c r="K238" s="262"/>
      <c r="M238" s="262"/>
      <c r="N238" s="262"/>
      <c r="O238" s="262"/>
      <c r="P238" s="262"/>
      <c r="R238" s="262"/>
      <c r="S238" s="262"/>
      <c r="T238" s="262"/>
      <c r="U238" s="262"/>
    </row>
    <row r="239" spans="1:21" hidden="1" x14ac:dyDescent="0.25">
      <c r="A239" s="274" t="s">
        <v>5</v>
      </c>
      <c r="B239" s="255"/>
      <c r="C239" s="262">
        <f>(C$236&gt;=irpp_seuil1)*(C$236&lt;irpp_seuil2)*(irpp_taux1*C$235-irpp_reduc1*C$233)+(C$236&gt;=irpp_seuil2)*(C$236&lt;irpp_seuil3)*(irpp_taux2*C$235-irpp_reduc2*C$233)+(C$236&gt;=irpp_seuil3)*(C$236&lt;irpp_seuil4)*(irpp_taux3*C$235-irpp_reduc3*C$233)+(C$236&gt;=irpp_seuil4)*(irpp_taux4*C$235-irpp_reduc4*C$233)</f>
        <v>0</v>
      </c>
      <c r="D239" s="262">
        <f>(D$236&gt;=irpp_seuil1)*(D$236&lt;irpp_seuil2)*(irpp_taux1*D$235-irpp_reduc1*D$233)+(D$236&gt;=irpp_seuil2)*(D$236&lt;irpp_seuil3)*(irpp_taux2*D$235-irpp_reduc2*D$233)+(D$236&gt;=irpp_seuil3)*(D$236&lt;irpp_seuil4)*(irpp_taux3*D$235-irpp_reduc3*D$233)+(D$236&gt;=irpp_seuil4)*(irpp_taux4*D$235-irpp_reduc4*D$233)</f>
        <v>0</v>
      </c>
      <c r="E239" s="262">
        <f>(E$236&gt;=irpp_seuil1)*(E$236&lt;irpp_seuil2)*(irpp_taux1*E$235-irpp_reduc1*E$233)+(E$236&gt;=irpp_seuil2)*(E$236&lt;irpp_seuil3)*(irpp_taux2*E$235-irpp_reduc2*E$233)+(E$236&gt;=irpp_seuil3)*(E$236&lt;irpp_seuil4)*(irpp_taux3*E$235-irpp_reduc3*E$233)+(E$236&gt;=irpp_seuil4)*(irpp_taux4*E$235-irpp_reduc4*E$233)</f>
        <v>424.29582400400636</v>
      </c>
      <c r="F239" s="262">
        <f>(F$236&gt;=irpp_seuil1)*(F$236&lt;irpp_seuil2)*(irpp_taux1*F$235-irpp_reduc1*F$233)+(F$236&gt;=irpp_seuil2)*(F$236&lt;irpp_seuil3)*(irpp_taux2*F$235-irpp_reduc2*F$233)+(F$236&gt;=irpp_seuil3)*(F$236&lt;irpp_seuil4)*(irpp_taux3*F$235-irpp_reduc3*F$233)+(F$236&gt;=irpp_seuil4)*(irpp_taux4*F$235-irpp_reduc4*F$233)</f>
        <v>1257.6137360060095</v>
      </c>
      <c r="H239" s="262">
        <f>(H$236&gt;=irpp_seuil1)*(H$236&lt;irpp_seuil2)*(irpp_taux1*H$235-irpp_reduc1*H$233)+(H$236&gt;=irpp_seuil2)*(H$236&lt;irpp_seuil3)*(irpp_taux2*H$235-irpp_reduc2*H$233)+(H$236&gt;=irpp_seuil3)*(H$236&lt;irpp_seuil4)*(irpp_taux3*H$235-irpp_reduc3*H$233)+(H$236&gt;=irpp_seuil4)*(irpp_taux4*H$235-irpp_reduc4*H$233)</f>
        <v>0</v>
      </c>
      <c r="I239" s="262">
        <f>(I$236&gt;=irpp_seuil1)*(I$236&lt;irpp_seuil2)*(irpp_taux1*I$235-irpp_reduc1*I$233)+(I$236&gt;=irpp_seuil2)*(I$236&lt;irpp_seuil3)*(irpp_taux2*I$235-irpp_reduc2*I$233)+(I$236&gt;=irpp_seuil3)*(I$236&lt;irpp_seuil4)*(irpp_taux3*I$235-irpp_reduc3*I$233)+(I$236&gt;=irpp_seuil4)*(irpp_taux4*I$235-irpp_reduc4*I$233)</f>
        <v>0</v>
      </c>
      <c r="J239" s="262">
        <f>(J$236&gt;=irpp_seuil1)*(J$236&lt;irpp_seuil2)*(irpp_taux1*J$235-irpp_reduc1*J$233)+(J$236&gt;=irpp_seuil2)*(J$236&lt;irpp_seuil3)*(irpp_taux2*J$235-irpp_reduc2*J$233)+(J$236&gt;=irpp_seuil3)*(J$236&lt;irpp_seuil4)*(irpp_taux3*J$235-irpp_reduc3*J$233)+(J$236&gt;=irpp_seuil4)*(irpp_taux4*J$235-irpp_reduc4*J$233)</f>
        <v>0</v>
      </c>
      <c r="K239" s="262">
        <f>(K$236&gt;=irpp_seuil1)*(K$236&lt;irpp_seuil2)*(irpp_taux1*K$235-irpp_reduc1*K$233)+(K$236&gt;=irpp_seuil2)*(K$236&lt;irpp_seuil3)*(irpp_taux2*K$235-irpp_reduc2*K$233)+(K$236&gt;=irpp_seuil3)*(K$236&lt;irpp_seuil4)*(irpp_taux3*K$235-irpp_reduc3*K$233)+(K$236&gt;=irpp_seuil4)*(irpp_taux4*K$235-irpp_reduc4*K$233)</f>
        <v>15.273736006009585</v>
      </c>
      <c r="M239" s="262">
        <f>(M$236&gt;=irpp_seuil1)*(M$236&lt;irpp_seuil2)*(irpp_taux1*M$235-irpp_reduc1*M$233)+(M$236&gt;=irpp_seuil2)*(M$236&lt;irpp_seuil3)*(irpp_taux2*M$235-irpp_reduc2*M$233)+(M$236&gt;=irpp_seuil3)*(M$236&lt;irpp_seuil4)*(irpp_taux3*M$235-irpp_reduc3*M$233)+(M$236&gt;=irpp_seuil4)*(irpp_taux4*M$235-irpp_reduc4*M$233)</f>
        <v>0</v>
      </c>
      <c r="N239" s="262">
        <f>(N$236&gt;=irpp_seuil1)*(N$236&lt;irpp_seuil2)*(irpp_taux1*N$235-irpp_reduc1*N$233)+(N$236&gt;=irpp_seuil2)*(N$236&lt;irpp_seuil3)*(irpp_taux2*N$235-irpp_reduc2*N$233)+(N$236&gt;=irpp_seuil3)*(N$236&lt;irpp_seuil4)*(irpp_taux3*N$235-irpp_reduc3*N$233)+(N$236&gt;=irpp_seuil4)*(irpp_taux4*N$235-irpp_reduc4*N$233)</f>
        <v>0</v>
      </c>
      <c r="O239" s="262">
        <f>(O$236&gt;=irpp_seuil1)*(O$236&lt;irpp_seuil2)*(irpp_taux1*O$235-irpp_reduc1*O$233)+(O$236&gt;=irpp_seuil2)*(O$236&lt;irpp_seuil3)*(irpp_taux2*O$235-irpp_reduc2*O$233)+(O$236&gt;=irpp_seuil3)*(O$236&lt;irpp_seuil4)*(irpp_taux3*O$235-irpp_reduc3*O$233)+(O$236&gt;=irpp_seuil4)*(irpp_taux4*O$235-irpp_reduc4*O$233)</f>
        <v>0</v>
      </c>
      <c r="P239" s="262">
        <f>(P$236&gt;=irpp_seuil1)*(P$236&lt;irpp_seuil2)*(irpp_taux1*P$235-irpp_reduc1*P$233)+(P$236&gt;=irpp_seuil2)*(P$236&lt;irpp_seuil3)*(irpp_taux2*P$235-irpp_reduc2*P$233)+(P$236&gt;=irpp_seuil3)*(P$236&lt;irpp_seuil4)*(irpp_taux3*P$235-irpp_reduc3*P$233)+(P$236&gt;=irpp_seuil4)*(irpp_taux4*P$235-irpp_reduc4*P$233)</f>
        <v>0</v>
      </c>
      <c r="R239" s="262">
        <f>(R$236&gt;=irpp_seuil1)*(R$236&lt;irpp_seuil2)*(irpp_taux1*R$235-irpp_reduc1*R$233)+(R$236&gt;=irpp_seuil2)*(R$236&lt;irpp_seuil3)*(irpp_taux2*R$235-irpp_reduc2*R$233)+(R$236&gt;=irpp_seuil3)*(R$236&lt;irpp_seuil4)*(irpp_taux3*R$235-irpp_reduc3*R$233)+(R$236&gt;=irpp_seuil4)*(irpp_taux4*R$235-irpp_reduc4*R$233)</f>
        <v>0</v>
      </c>
      <c r="S239" s="262">
        <f>(S$236&gt;=irpp_seuil1)*(S$236&lt;irpp_seuil2)*(irpp_taux1*S$235-irpp_reduc1*S$233)+(S$236&gt;=irpp_seuil2)*(S$236&lt;irpp_seuil3)*(irpp_taux2*S$235-irpp_reduc2*S$233)+(S$236&gt;=irpp_seuil3)*(S$236&lt;irpp_seuil4)*(irpp_taux3*S$235-irpp_reduc3*S$233)+(S$236&gt;=irpp_seuil4)*(irpp_taux4*S$235-irpp_reduc4*S$233)</f>
        <v>0</v>
      </c>
      <c r="T239" s="262">
        <f>(T$236&gt;=irpp_seuil1)*(T$236&lt;irpp_seuil2)*(irpp_taux1*T$235-irpp_reduc1*T$233)+(T$236&gt;=irpp_seuil2)*(T$236&lt;irpp_seuil3)*(irpp_taux2*T$235-irpp_reduc2*T$233)+(T$236&gt;=irpp_seuil3)*(T$236&lt;irpp_seuil4)*(irpp_taux3*T$235-irpp_reduc3*T$233)+(T$236&gt;=irpp_seuil4)*(irpp_taux4*T$235-irpp_reduc4*T$233)</f>
        <v>0</v>
      </c>
      <c r="U239" s="262">
        <f>(U$236&gt;=irpp_seuil1)*(U$236&lt;irpp_seuil2)*(irpp_taux1*U$235-irpp_reduc1*U$233)+(U$236&gt;=irpp_seuil2)*(U$236&lt;irpp_seuil3)*(irpp_taux2*U$235-irpp_reduc2*U$233)+(U$236&gt;=irpp_seuil3)*(U$236&lt;irpp_seuil4)*(irpp_taux3*U$235-irpp_reduc3*U$233)+(U$236&gt;=irpp_seuil4)*(irpp_taux4*U$235-irpp_reduc4*U$233)</f>
        <v>0</v>
      </c>
    </row>
    <row r="240" spans="1:21" hidden="1" x14ac:dyDescent="0.25">
      <c r="A240" s="274" t="s">
        <v>6</v>
      </c>
      <c r="B240" s="255"/>
      <c r="C240" s="262">
        <f>(C$237&gt;=irpp_seuil1)*(C$237&lt;irpp_seuil2)*(irpp_taux1*C$235-irpp_reduc1*C$234)+(C$237&gt;=irpp_seuil2)*(C$237&lt;irpp_seuil3)*(irpp_taux2*C$235-irpp_reduc2*C$234)+(C$237&gt;=irpp_seuil3)*(C$237&lt;irpp_seuil4)*(irpp_taux3*C$235-irpp_reduc3*C$234)+(C$237&gt;=irpp_seuil4)*(irpp_taux4*C$235-irpp_reduc4*C$234)</f>
        <v>0</v>
      </c>
      <c r="D240" s="262">
        <f>(D$237&gt;=irpp_seuil1)*(D$237&lt;irpp_seuil2)*(irpp_taux1*D$235-irpp_reduc1*D$234)+(D$237&gt;=irpp_seuil2)*(D$237&lt;irpp_seuil3)*(irpp_taux2*D$235-irpp_reduc2*D$234)+(D$237&gt;=irpp_seuil3)*(D$237&lt;irpp_seuil4)*(irpp_taux3*D$235-irpp_reduc3*D$234)+(D$237&gt;=irpp_seuil4)*(irpp_taux4*D$235-irpp_reduc4*D$234)</f>
        <v>0</v>
      </c>
      <c r="E240" s="262">
        <f>(E$237&gt;=irpp_seuil1)*(E$237&lt;irpp_seuil2)*(irpp_taux1*E$235-irpp_reduc1*E$234)+(E$237&gt;=irpp_seuil2)*(E$237&lt;irpp_seuil3)*(irpp_taux2*E$235-irpp_reduc2*E$234)+(E$237&gt;=irpp_seuil3)*(E$237&lt;irpp_seuil4)*(irpp_taux3*E$235-irpp_reduc3*E$234)+(E$237&gt;=irpp_seuil4)*(irpp_taux4*E$235-irpp_reduc4*E$234)</f>
        <v>424.29582400400636</v>
      </c>
      <c r="F240" s="262">
        <f>(F$237&gt;=irpp_seuil1)*(F$237&lt;irpp_seuil2)*(irpp_taux1*F$235-irpp_reduc1*F$234)+(F$237&gt;=irpp_seuil2)*(F$237&lt;irpp_seuil3)*(irpp_taux2*F$235-irpp_reduc2*F$234)+(F$237&gt;=irpp_seuil3)*(F$237&lt;irpp_seuil4)*(irpp_taux3*F$235-irpp_reduc3*F$234)+(F$237&gt;=irpp_seuil4)*(irpp_taux4*F$235-irpp_reduc4*F$234)</f>
        <v>1257.6137360060095</v>
      </c>
      <c r="H240" s="262">
        <f>(H$237&gt;=irpp_seuil1)*(H$237&lt;irpp_seuil2)*(irpp_taux1*H$235-irpp_reduc1*H$234)+(H$237&gt;=irpp_seuil2)*(H$237&lt;irpp_seuil3)*(irpp_taux2*H$235-irpp_reduc2*H$234)+(H$237&gt;=irpp_seuil3)*(H$237&lt;irpp_seuil4)*(irpp_taux3*H$235-irpp_reduc3*H$234)+(H$237&gt;=irpp_seuil4)*(irpp_taux4*H$235-irpp_reduc4*H$234)</f>
        <v>0</v>
      </c>
      <c r="I240" s="262">
        <f>(I$237&gt;=irpp_seuil1)*(I$237&lt;irpp_seuil2)*(irpp_taux1*I$235-irpp_reduc1*I$234)+(I$237&gt;=irpp_seuil2)*(I$237&lt;irpp_seuil3)*(irpp_taux2*I$235-irpp_reduc2*I$234)+(I$237&gt;=irpp_seuil3)*(I$237&lt;irpp_seuil4)*(irpp_taux3*I$235-irpp_reduc3*I$234)+(I$237&gt;=irpp_seuil4)*(irpp_taux4*I$235-irpp_reduc4*I$234)</f>
        <v>0</v>
      </c>
      <c r="J240" s="262">
        <f>(J$237&gt;=irpp_seuil1)*(J$237&lt;irpp_seuil2)*(irpp_taux1*J$235-irpp_reduc1*J$234)+(J$237&gt;=irpp_seuil2)*(J$237&lt;irpp_seuil3)*(irpp_taux2*J$235-irpp_reduc2*J$234)+(J$237&gt;=irpp_seuil3)*(J$237&lt;irpp_seuil4)*(irpp_taux3*J$235-irpp_reduc3*J$234)+(J$237&gt;=irpp_seuil4)*(irpp_taux4*J$235-irpp_reduc4*J$234)</f>
        <v>424.29582400400636</v>
      </c>
      <c r="K240" s="262">
        <f>(K$237&gt;=irpp_seuil1)*(K$237&lt;irpp_seuil2)*(irpp_taux1*K$235-irpp_reduc1*K$234)+(K$237&gt;=irpp_seuil2)*(K$237&lt;irpp_seuil3)*(irpp_taux2*K$235-irpp_reduc2*K$234)+(K$237&gt;=irpp_seuil3)*(K$237&lt;irpp_seuil4)*(irpp_taux3*K$235-irpp_reduc3*K$234)+(K$237&gt;=irpp_seuil4)*(irpp_taux4*K$235-irpp_reduc4*K$234)</f>
        <v>1257.6137360060095</v>
      </c>
      <c r="M240" s="262">
        <f>(M$237&gt;=irpp_seuil1)*(M$237&lt;irpp_seuil2)*(irpp_taux1*M$235-irpp_reduc1*M$234)+(M$237&gt;=irpp_seuil2)*(M$237&lt;irpp_seuil3)*(irpp_taux2*M$235-irpp_reduc2*M$234)+(M$237&gt;=irpp_seuil3)*(M$237&lt;irpp_seuil4)*(irpp_taux3*M$235-irpp_reduc3*M$234)+(M$237&gt;=irpp_seuil4)*(irpp_taux4*M$235-irpp_reduc4*M$234)</f>
        <v>0</v>
      </c>
      <c r="N240" s="262">
        <f>(N$237&gt;=irpp_seuil1)*(N$237&lt;irpp_seuil2)*(irpp_taux1*N$235-irpp_reduc1*N$234)+(N$237&gt;=irpp_seuil2)*(N$237&lt;irpp_seuil3)*(irpp_taux2*N$235-irpp_reduc2*N$234)+(N$237&gt;=irpp_seuil3)*(N$237&lt;irpp_seuil4)*(irpp_taux3*N$235-irpp_reduc3*N$234)+(N$237&gt;=irpp_seuil4)*(irpp_taux4*N$235-irpp_reduc4*N$234)</f>
        <v>0</v>
      </c>
      <c r="O240" s="262">
        <f>(O$237&gt;=irpp_seuil1)*(O$237&lt;irpp_seuil2)*(irpp_taux1*O$235-irpp_reduc1*O$234)+(O$237&gt;=irpp_seuil2)*(O$237&lt;irpp_seuil3)*(irpp_taux2*O$235-irpp_reduc2*O$234)+(O$237&gt;=irpp_seuil3)*(O$237&lt;irpp_seuil4)*(irpp_taux3*O$235-irpp_reduc3*O$234)+(O$237&gt;=irpp_seuil4)*(irpp_taux4*O$235-irpp_reduc4*O$234)</f>
        <v>424.29582400400636</v>
      </c>
      <c r="P240" s="262">
        <f>(P$237&gt;=irpp_seuil1)*(P$237&lt;irpp_seuil2)*(irpp_taux1*P$235-irpp_reduc1*P$234)+(P$237&gt;=irpp_seuil2)*(P$237&lt;irpp_seuil3)*(irpp_taux2*P$235-irpp_reduc2*P$234)+(P$237&gt;=irpp_seuil3)*(P$237&lt;irpp_seuil4)*(irpp_taux3*P$235-irpp_reduc3*P$234)+(P$237&gt;=irpp_seuil4)*(irpp_taux4*P$235-irpp_reduc4*P$234)</f>
        <v>1257.6137360060095</v>
      </c>
      <c r="R240" s="262">
        <f>(R$237&gt;=irpp_seuil1)*(R$237&lt;irpp_seuil2)*(irpp_taux1*R$235-irpp_reduc1*R$234)+(R$237&gt;=irpp_seuil2)*(R$237&lt;irpp_seuil3)*(irpp_taux2*R$235-irpp_reduc2*R$234)+(R$237&gt;=irpp_seuil3)*(R$237&lt;irpp_seuil4)*(irpp_taux3*R$235-irpp_reduc3*R$234)+(R$237&gt;=irpp_seuil4)*(irpp_taux4*R$235-irpp_reduc4*R$234)</f>
        <v>0</v>
      </c>
      <c r="S240" s="262">
        <f>(S$237&gt;=irpp_seuil1)*(S$237&lt;irpp_seuil2)*(irpp_taux1*S$235-irpp_reduc1*S$234)+(S$237&gt;=irpp_seuil2)*(S$237&lt;irpp_seuil3)*(irpp_taux2*S$235-irpp_reduc2*S$234)+(S$237&gt;=irpp_seuil3)*(S$237&lt;irpp_seuil4)*(irpp_taux3*S$235-irpp_reduc3*S$234)+(S$237&gt;=irpp_seuil4)*(irpp_taux4*S$235-irpp_reduc4*S$234)</f>
        <v>0</v>
      </c>
      <c r="T240" s="262">
        <f>(T$237&gt;=irpp_seuil1)*(T$237&lt;irpp_seuil2)*(irpp_taux1*T$235-irpp_reduc1*T$234)+(T$237&gt;=irpp_seuil2)*(T$237&lt;irpp_seuil3)*(irpp_taux2*T$235-irpp_reduc2*T$234)+(T$237&gt;=irpp_seuil3)*(T$237&lt;irpp_seuil4)*(irpp_taux3*T$235-irpp_reduc3*T$234)+(T$237&gt;=irpp_seuil4)*(irpp_taux4*T$235-irpp_reduc4*T$234)</f>
        <v>424.29582400400636</v>
      </c>
      <c r="U240" s="262">
        <f>(U$237&gt;=irpp_seuil1)*(U$237&lt;irpp_seuil2)*(irpp_taux1*U$235-irpp_reduc1*U$234)+(U$237&gt;=irpp_seuil2)*(U$237&lt;irpp_seuil3)*(irpp_taux2*U$235-irpp_reduc2*U$234)+(U$237&gt;=irpp_seuil3)*(U$237&lt;irpp_seuil4)*(irpp_taux3*U$235-irpp_reduc3*U$234)+(U$237&gt;=irpp_seuil4)*(irpp_taux4*U$235-irpp_reduc4*U$234)</f>
        <v>1257.6137360060095</v>
      </c>
    </row>
    <row r="241" spans="1:21" hidden="1" x14ac:dyDescent="0.25">
      <c r="A241" s="433" t="s">
        <v>7</v>
      </c>
      <c r="B241" s="434"/>
      <c r="C241" s="435">
        <f>(C$3="isolé")*(C$232&gt;0)*(irpp_max_avqf_iso*IF(OR(C$13="ga_m",C$13="ga_p"),0.5,1)+irpp_max_avqf_couple*2*MAX(0,C$233-1-IF(OR(C$13="ga_m",C$13="ga_p"),0.5,1)))
+(C$3="couple")*(C$232&gt;0)*(irpp_max_avqf_couple*2*MAX(C$233-2))</f>
        <v>0</v>
      </c>
      <c r="D241" s="435">
        <f>(D$3="isolé")*(D$232&gt;0)*(irpp_max_avqf_iso*IF(OR(D$13="ga_m",D$13="ga_p"),0.5,1)+irpp_max_avqf_couple*2*MAX(0,D$233-1-IF(OR(D$13="ga_m",D$13="ga_p"),0.5,1)))
+(D$3="couple")*(D$232&gt;0)*(irpp_max_avqf_couple*2*MAX(D$233-2))</f>
        <v>0</v>
      </c>
      <c r="E241" s="435">
        <f>(E$3="isolé")*(E$232&gt;0)*(irpp_max_avqf_iso*IF(OR(E$13="ga_m",E$13="ga_p"),0.5,1)+irpp_max_avqf_couple*2*MAX(0,E$233-1-IF(OR(E$13="ga_m",E$13="ga_p"),0.5,1)))
+(E$3="couple")*(E$232&gt;0)*(irpp_max_avqf_couple*2*MAX(E$233-2))</f>
        <v>0</v>
      </c>
      <c r="F241" s="435">
        <f>(F$3="isolé")*(F$232&gt;0)*(irpp_max_avqf_iso*IF(OR(F$13="ga_m",F$13="ga_p"),0.5,1)+irpp_max_avqf_couple*2*MAX(0,F$233-1-IF(OR(F$13="ga_m",F$13="ga_p"),0.5,1)))
+(F$3="couple")*(F$232&gt;0)*(irpp_max_avqf_couple*2*MAX(F$233-2))</f>
        <v>0</v>
      </c>
      <c r="H241" s="435">
        <f>(H$3="isolé")*(H$232&gt;0)*(irpp_max_avqf_iso*IF(OR(H$13="ga_m",H$13="ga_p"),0.5,1)+irpp_max_avqf_couple*2*MAX(0,H$233-1-IF(OR(H$13="ga_m",H$13="ga_p"),0.5,1)))
+(H$3="couple")*(H$232&gt;0)*(irpp_max_avqf_couple*2*MAX(H$233-2))</f>
        <v>4149</v>
      </c>
      <c r="I241" s="435">
        <f>(I$3="isolé")*(I$232&gt;0)*(irpp_max_avqf_iso*IF(OR(I$13="ga_m",I$13="ga_p"),0.5,1)+irpp_max_avqf_couple*2*MAX(0,I$233-1-IF(OR(I$13="ga_m",I$13="ga_p"),0.5,1)))
+(I$3="couple")*(I$232&gt;0)*(irpp_max_avqf_couple*2*MAX(I$233-2))</f>
        <v>4149</v>
      </c>
      <c r="J241" s="435">
        <f>(J$3="isolé")*(J$232&gt;0)*(irpp_max_avqf_iso*IF(OR(J$13="ga_m",J$13="ga_p"),0.5,1)+irpp_max_avqf_couple*2*MAX(0,J$233-1-IF(OR(J$13="ga_m",J$13="ga_p"),0.5,1)))
+(J$3="couple")*(J$232&gt;0)*(irpp_max_avqf_couple*2*MAX(J$233-2))</f>
        <v>4149</v>
      </c>
      <c r="K241" s="435">
        <f>(K$3="isolé")*(K$232&gt;0)*(irpp_max_avqf_iso*IF(OR(K$13="ga_m",K$13="ga_p"),0.5,1)+irpp_max_avqf_couple*2*MAX(0,K$233-1-IF(OR(K$13="ga_m",K$13="ga_p"),0.5,1)))
+(K$3="couple")*(K$232&gt;0)*(irpp_max_avqf_couple*2*MAX(K$233-2))</f>
        <v>4149</v>
      </c>
      <c r="M241" s="435">
        <f>(M$3="isolé")*(M$232&gt;0)*(irpp_max_avqf_iso*IF(OR(M$13="ga_m",M$13="ga_p"),0.5,1)+irpp_max_avqf_couple*2*MAX(0,M$233-1-IF(OR(M$13="ga_m",M$13="ga_p"),0.5,1)))
+(M$3="couple")*(M$232&gt;0)*(irpp_max_avqf_couple*2*MAX(M$233-2))</f>
        <v>5908</v>
      </c>
      <c r="N241" s="435">
        <f>(N$3="isolé")*(N$232&gt;0)*(irpp_max_avqf_iso*IF(OR(N$13="ga_m",N$13="ga_p"),0.5,1)+irpp_max_avqf_couple*2*MAX(0,N$233-1-IF(OR(N$13="ga_m",N$13="ga_p"),0.5,1)))
+(N$3="couple")*(N$232&gt;0)*(irpp_max_avqf_couple*2*MAX(N$233-2))</f>
        <v>5908</v>
      </c>
      <c r="O241" s="435">
        <f>(O$3="isolé")*(O$232&gt;0)*(irpp_max_avqf_iso*IF(OR(O$13="ga_m",O$13="ga_p"),0.5,1)+irpp_max_avqf_couple*2*MAX(0,O$233-1-IF(OR(O$13="ga_m",O$13="ga_p"),0.5,1)))
+(O$3="couple")*(O$232&gt;0)*(irpp_max_avqf_couple*2*MAX(O$233-2))</f>
        <v>5908</v>
      </c>
      <c r="P241" s="435">
        <f>(P$3="isolé")*(P$232&gt;0)*(irpp_max_avqf_iso*IF(OR(P$13="ga_m",P$13="ga_p"),0.5,1)+irpp_max_avqf_couple*2*MAX(0,P$233-1-IF(OR(P$13="ga_m",P$13="ga_p"),0.5,1)))
+(P$3="couple")*(P$232&gt;0)*(irpp_max_avqf_couple*2*MAX(P$233-2))</f>
        <v>5908</v>
      </c>
      <c r="R241" s="435">
        <f>(R$3="isolé")*(R$232&gt;0)*(irpp_max_avqf_iso*IF(OR(R$13="ga_m",R$13="ga_p"),0.5,1)+irpp_max_avqf_couple*2*MAX(0,R$233-1-IF(OR(R$13="ga_m",R$13="ga_p"),0.5,1)))
+(R$3="couple")*(R$232&gt;0)*(irpp_max_avqf_couple*2*MAX(R$233-2))</f>
        <v>9426</v>
      </c>
      <c r="S241" s="435">
        <f>(S$3="isolé")*(S$232&gt;0)*(irpp_max_avqf_iso*IF(OR(S$13="ga_m",S$13="ga_p"),0.5,1)+irpp_max_avqf_couple*2*MAX(0,S$233-1-IF(OR(S$13="ga_m",S$13="ga_p"),0.5,1)))
+(S$3="couple")*(S$232&gt;0)*(irpp_max_avqf_couple*2*MAX(S$233-2))</f>
        <v>9426</v>
      </c>
      <c r="T241" s="435">
        <f>(T$3="isolé")*(T$232&gt;0)*(irpp_max_avqf_iso*IF(OR(T$13="ga_m",T$13="ga_p"),0.5,1)+irpp_max_avqf_couple*2*MAX(0,T$233-1-IF(OR(T$13="ga_m",T$13="ga_p"),0.5,1)))
+(T$3="couple")*(T$232&gt;0)*(irpp_max_avqf_couple*2*MAX(T$233-2))</f>
        <v>9426</v>
      </c>
      <c r="U241" s="435">
        <f>(U$3="isolé")*(U$232&gt;0)*(irpp_max_avqf_iso*IF(OR(U$13="ga_m",U$13="ga_p"),0.5,1)+irpp_max_avqf_couple*2*MAX(0,U$233-1-IF(OR(U$13="ga_m",U$13="ga_p"),0.5,1)))
+(U$3="couple")*(U$232&gt;0)*(irpp_max_avqf_couple*2*MAX(U$233-2))</f>
        <v>9426</v>
      </c>
    </row>
    <row r="242" spans="1:21" hidden="1" x14ac:dyDescent="0.25">
      <c r="A242" s="116" t="s">
        <v>105</v>
      </c>
      <c r="B242" s="255"/>
      <c r="C242" s="262">
        <f>MIN(C$240-C$239,C$241)</f>
        <v>0</v>
      </c>
      <c r="D242" s="262">
        <f t="shared" ref="D242:F242" si="144">MIN(D$240-D$239,D$241)</f>
        <v>0</v>
      </c>
      <c r="E242" s="262">
        <f t="shared" si="144"/>
        <v>0</v>
      </c>
      <c r="F242" s="262">
        <f t="shared" si="144"/>
        <v>0</v>
      </c>
      <c r="H242" s="262">
        <f>MIN(H$240-H$239,H$241)</f>
        <v>0</v>
      </c>
      <c r="I242" s="262">
        <f t="shared" ref="I242:K242" si="145">MIN(I$240-I$239,I$241)</f>
        <v>0</v>
      </c>
      <c r="J242" s="262">
        <f t="shared" si="145"/>
        <v>424.29582400400636</v>
      </c>
      <c r="K242" s="262">
        <f t="shared" si="145"/>
        <v>1242.3399999999999</v>
      </c>
      <c r="M242" s="262">
        <f>MIN(M$240-M$239,M$241)</f>
        <v>0</v>
      </c>
      <c r="N242" s="262">
        <f t="shared" ref="N242:P242" si="146">MIN(N$240-N$239,N$241)</f>
        <v>0</v>
      </c>
      <c r="O242" s="262">
        <f t="shared" si="146"/>
        <v>424.29582400400636</v>
      </c>
      <c r="P242" s="262">
        <f t="shared" si="146"/>
        <v>1257.6137360060095</v>
      </c>
      <c r="R242" s="262">
        <f>MIN(R$240-R$239,R$241)</f>
        <v>0</v>
      </c>
      <c r="S242" s="262">
        <f t="shared" ref="S242:U242" si="147">MIN(S$240-S$239,S$241)</f>
        <v>0</v>
      </c>
      <c r="T242" s="262">
        <f t="shared" si="147"/>
        <v>424.29582400400636</v>
      </c>
      <c r="U242" s="262">
        <f t="shared" si="147"/>
        <v>1257.6137360060095</v>
      </c>
    </row>
    <row r="243" spans="1:21" hidden="1" x14ac:dyDescent="0.25">
      <c r="A243" s="274" t="s">
        <v>8</v>
      </c>
      <c r="B243" s="255"/>
      <c r="C243" s="262">
        <f>C$240-C$242</f>
        <v>0</v>
      </c>
      <c r="D243" s="262">
        <f t="shared" ref="D243:F243" si="148">D$240-D$242</f>
        <v>0</v>
      </c>
      <c r="E243" s="262">
        <f t="shared" si="148"/>
        <v>424.29582400400636</v>
      </c>
      <c r="F243" s="262">
        <f t="shared" si="148"/>
        <v>1257.6137360060095</v>
      </c>
      <c r="H243" s="262">
        <f>H$240-H$242</f>
        <v>0</v>
      </c>
      <c r="I243" s="262">
        <f t="shared" ref="I243:K243" si="149">I$240-I$242</f>
        <v>0</v>
      </c>
      <c r="J243" s="262">
        <f t="shared" si="149"/>
        <v>0</v>
      </c>
      <c r="K243" s="262">
        <f t="shared" si="149"/>
        <v>15.273736006009585</v>
      </c>
      <c r="M243" s="262">
        <f>M$240-M$242</f>
        <v>0</v>
      </c>
      <c r="N243" s="262">
        <f t="shared" ref="N243:P243" si="150">N$240-N$242</f>
        <v>0</v>
      </c>
      <c r="O243" s="262">
        <f t="shared" si="150"/>
        <v>0</v>
      </c>
      <c r="P243" s="262">
        <f t="shared" si="150"/>
        <v>0</v>
      </c>
      <c r="R243" s="262">
        <f>R$240-R$242</f>
        <v>0</v>
      </c>
      <c r="S243" s="262">
        <f t="shared" ref="S243:U243" si="151">S$240-S$242</f>
        <v>0</v>
      </c>
      <c r="T243" s="262">
        <f t="shared" si="151"/>
        <v>0</v>
      </c>
      <c r="U243" s="262">
        <f t="shared" si="151"/>
        <v>0</v>
      </c>
    </row>
    <row r="244" spans="1:21" ht="13" hidden="1" x14ac:dyDescent="0.3">
      <c r="A244" s="276" t="s">
        <v>156</v>
      </c>
      <c r="B244" s="255"/>
      <c r="C244" s="262"/>
      <c r="D244" s="262"/>
      <c r="E244" s="262"/>
      <c r="F244" s="262"/>
      <c r="H244" s="262"/>
      <c r="I244" s="262"/>
      <c r="J244" s="262"/>
      <c r="K244" s="262"/>
      <c r="M244" s="262"/>
      <c r="N244" s="262"/>
      <c r="O244" s="262"/>
      <c r="P244" s="262"/>
      <c r="R244" s="262"/>
      <c r="S244" s="262"/>
      <c r="T244" s="262"/>
      <c r="U244" s="262"/>
    </row>
    <row r="245" spans="1:21" hidden="1" x14ac:dyDescent="0.25">
      <c r="A245" s="274" t="s">
        <v>9</v>
      </c>
      <c r="B245" s="255"/>
      <c r="C245" s="262">
        <f>(C$243&gt;0)*IF(C$3="isolé",(MIN(C$243,IF(C$243&lt;irpp_plaf_decote,irpp_taux_decote*(irpp_plaf_decote-C$243),0))),(MIN(C$243,IF(C$243&lt;irpp_plaf_decote_couple,irpp_taux_decote*(irpp_plaf_decote_couple-C$243)))))</f>
        <v>0</v>
      </c>
      <c r="D245" s="262">
        <f>(D$243&gt;0)*IF(D$3="isolé",(MIN(D$243,IF(D$243&lt;irpp_plaf_decote,irpp_taux_decote*(irpp_plaf_decote-D$243),0))),(MIN(D$243,IF(D$243&lt;irpp_plaf_decote_couple,irpp_taux_decote*(irpp_plaf_decote_couple-D$243)))))</f>
        <v>0</v>
      </c>
      <c r="E245" s="262">
        <f>(E$243&gt;0)*IF(E$3="isolé",(MIN(E$243,IF(E$243&lt;irpp_plaf_decote,irpp_taux_decote*(irpp_plaf_decote-E$243),0))),(MIN(E$243,IF(E$243&lt;irpp_plaf_decote_couple,irpp_taux_decote*(irpp_plaf_decote_couple-E$243)))))</f>
        <v>424.29582400400636</v>
      </c>
      <c r="F245" s="262">
        <f>(F$243&gt;0)*IF(F$3="isolé",(MIN(F$243,IF(F$243&lt;irpp_plaf_decote,irpp_taux_decote*(irpp_plaf_decote-F$243),0))),(MIN(F$243,IF(F$243&lt;irpp_plaf_decote_couple,irpp_taux_decote*(irpp_plaf_decote_couple-F$243)))))</f>
        <v>303.80228445728073</v>
      </c>
      <c r="H245" s="262">
        <f>(H$243&gt;0)*IF(H$3="isolé",(MIN(H$243,IF(H$243&lt;irpp_plaf_decote,irpp_taux_decote*(irpp_plaf_decote-H$243),0))),(MIN(H$243,IF(H$243&lt;irpp_plaf_decote_couple,irpp_taux_decote*(irpp_plaf_decote_couple-H$243)))))</f>
        <v>0</v>
      </c>
      <c r="I245" s="262">
        <f>(I$243&gt;0)*IF(I$3="isolé",(MIN(I$243,IF(I$243&lt;irpp_plaf_decote,irpp_taux_decote*(irpp_plaf_decote-I$243),0))),(MIN(I$243,IF(I$243&lt;irpp_plaf_decote_couple,irpp_taux_decote*(irpp_plaf_decote_couple-I$243)))))</f>
        <v>0</v>
      </c>
      <c r="J245" s="262">
        <f>(J$243&gt;0)*IF(J$3="isolé",(MIN(J$243,IF(J$243&lt;irpp_plaf_decote,irpp_taux_decote*(irpp_plaf_decote-J$243),0))),(MIN(J$243,IF(J$243&lt;irpp_plaf_decote_couple,irpp_taux_decote*(irpp_plaf_decote_couple-J$243)))))</f>
        <v>0</v>
      </c>
      <c r="K245" s="262">
        <f>(K$243&gt;0)*IF(K$3="isolé",(MIN(K$243,IF(K$243&lt;irpp_plaf_decote,irpp_taux_decote*(irpp_plaf_decote-K$243),0))),(MIN(K$243,IF(K$243&lt;irpp_plaf_decote_couple,irpp_taux_decote*(irpp_plaf_decote_couple-K$243)))))</f>
        <v>15.273736006009585</v>
      </c>
      <c r="M245" s="262">
        <f>(M$243&gt;0)*IF(M$3="isolé",(MIN(M$243,IF(M$243&lt;irpp_plaf_decote,irpp_taux_decote*(irpp_plaf_decote-M$243),0))),(MIN(M$243,IF(M$243&lt;irpp_plaf_decote_couple,irpp_taux_decote*(irpp_plaf_decote_couple-M$243)))))</f>
        <v>0</v>
      </c>
      <c r="N245" s="262">
        <f>(N$243&gt;0)*IF(N$3="isolé",(MIN(N$243,IF(N$243&lt;irpp_plaf_decote,irpp_taux_decote*(irpp_plaf_decote-N$243),0))),(MIN(N$243,IF(N$243&lt;irpp_plaf_decote_couple,irpp_taux_decote*(irpp_plaf_decote_couple-N$243)))))</f>
        <v>0</v>
      </c>
      <c r="O245" s="262">
        <f>(O$243&gt;0)*IF(O$3="isolé",(MIN(O$243,IF(O$243&lt;irpp_plaf_decote,irpp_taux_decote*(irpp_plaf_decote-O$243),0))),(MIN(O$243,IF(O$243&lt;irpp_plaf_decote_couple,irpp_taux_decote*(irpp_plaf_decote_couple-O$243)))))</f>
        <v>0</v>
      </c>
      <c r="P245" s="262">
        <f>(P$243&gt;0)*IF(P$3="isolé",(MIN(P$243,IF(P$243&lt;irpp_plaf_decote,irpp_taux_decote*(irpp_plaf_decote-P$243),0))),(MIN(P$243,IF(P$243&lt;irpp_plaf_decote_couple,irpp_taux_decote*(irpp_plaf_decote_couple-P$243)))))</f>
        <v>0</v>
      </c>
      <c r="R245" s="262">
        <f>(R$243&gt;0)*IF(R$3="isolé",(MIN(R$243,IF(R$243&lt;irpp_plaf_decote,irpp_taux_decote*(irpp_plaf_decote-R$243),0))),(MIN(R$243,IF(R$243&lt;irpp_plaf_decote_couple,irpp_taux_decote*(irpp_plaf_decote_couple-R$243)))))</f>
        <v>0</v>
      </c>
      <c r="S245" s="262">
        <f>(S$243&gt;0)*IF(S$3="isolé",(MIN(S$243,IF(S$243&lt;irpp_plaf_decote,irpp_taux_decote*(irpp_plaf_decote-S$243),0))),(MIN(S$243,IF(S$243&lt;irpp_plaf_decote_couple,irpp_taux_decote*(irpp_plaf_decote_couple-S$243)))))</f>
        <v>0</v>
      </c>
      <c r="T245" s="262">
        <f>(T$243&gt;0)*IF(T$3="isolé",(MIN(T$243,IF(T$243&lt;irpp_plaf_decote,irpp_taux_decote*(irpp_plaf_decote-T$243),0))),(MIN(T$243,IF(T$243&lt;irpp_plaf_decote_couple,irpp_taux_decote*(irpp_plaf_decote_couple-T$243)))))</f>
        <v>0</v>
      </c>
      <c r="U245" s="262">
        <f>(U$243&gt;0)*IF(U$3="isolé",(MIN(U$243,IF(U$243&lt;irpp_plaf_decote,irpp_taux_decote*(irpp_plaf_decote-U$243),0))),(MIN(U$243,IF(U$243&lt;irpp_plaf_decote_couple,irpp_taux_decote*(irpp_plaf_decote_couple-U$243)))))</f>
        <v>0</v>
      </c>
    </row>
    <row r="246" spans="1:21" hidden="1" x14ac:dyDescent="0.25">
      <c r="A246" s="275" t="s">
        <v>157</v>
      </c>
      <c r="B246" s="255"/>
      <c r="C246" s="262">
        <f>C$243-C$245</f>
        <v>0</v>
      </c>
      <c r="D246" s="262">
        <f t="shared" ref="D246:F246" si="152">D$243-D$245</f>
        <v>0</v>
      </c>
      <c r="E246" s="262">
        <f t="shared" si="152"/>
        <v>0</v>
      </c>
      <c r="F246" s="262">
        <f t="shared" si="152"/>
        <v>953.81145154872877</v>
      </c>
      <c r="H246" s="262">
        <f>H$243-H$245</f>
        <v>0</v>
      </c>
      <c r="I246" s="262">
        <f t="shared" ref="I246:K246" si="153">I$243-I$245</f>
        <v>0</v>
      </c>
      <c r="J246" s="262">
        <f t="shared" si="153"/>
        <v>0</v>
      </c>
      <c r="K246" s="262">
        <f t="shared" si="153"/>
        <v>0</v>
      </c>
      <c r="M246" s="262">
        <f>M$243-M$245</f>
        <v>0</v>
      </c>
      <c r="N246" s="262">
        <f t="shared" ref="N246:P246" si="154">N$243-N$245</f>
        <v>0</v>
      </c>
      <c r="O246" s="262">
        <f t="shared" si="154"/>
        <v>0</v>
      </c>
      <c r="P246" s="262">
        <f t="shared" si="154"/>
        <v>0</v>
      </c>
      <c r="R246" s="262">
        <f>R$243-R$245</f>
        <v>0</v>
      </c>
      <c r="S246" s="262">
        <f t="shared" ref="S246:U246" si="155">S$243-S$245</f>
        <v>0</v>
      </c>
      <c r="T246" s="262">
        <f t="shared" si="155"/>
        <v>0</v>
      </c>
      <c r="U246" s="262">
        <f t="shared" si="155"/>
        <v>0</v>
      </c>
    </row>
    <row r="247" spans="1:21" hidden="1" x14ac:dyDescent="0.25">
      <c r="A247" s="274" t="s">
        <v>106</v>
      </c>
      <c r="B247" s="255"/>
      <c r="C247" s="262">
        <f>C$246</f>
        <v>0</v>
      </c>
      <c r="D247" s="262">
        <f t="shared" ref="D247:F247" si="156">D$246</f>
        <v>0</v>
      </c>
      <c r="E247" s="262">
        <f t="shared" si="156"/>
        <v>0</v>
      </c>
      <c r="F247" s="262">
        <f t="shared" si="156"/>
        <v>953.81145154872877</v>
      </c>
      <c r="H247" s="262">
        <f>H$246</f>
        <v>0</v>
      </c>
      <c r="I247" s="262">
        <f t="shared" ref="I247:K247" si="157">I$246</f>
        <v>0</v>
      </c>
      <c r="J247" s="262">
        <f t="shared" si="157"/>
        <v>0</v>
      </c>
      <c r="K247" s="262">
        <f t="shared" si="157"/>
        <v>0</v>
      </c>
      <c r="M247" s="262">
        <f>M$246</f>
        <v>0</v>
      </c>
      <c r="N247" s="262">
        <f t="shared" ref="N247:P247" si="158">N$246</f>
        <v>0</v>
      </c>
      <c r="O247" s="262">
        <f t="shared" si="158"/>
        <v>0</v>
      </c>
      <c r="P247" s="262">
        <f t="shared" si="158"/>
        <v>0</v>
      </c>
      <c r="R247" s="262">
        <f>R$246</f>
        <v>0</v>
      </c>
      <c r="S247" s="262">
        <f t="shared" ref="S247:U247" si="159">S$246</f>
        <v>0</v>
      </c>
      <c r="T247" s="262">
        <f t="shared" si="159"/>
        <v>0</v>
      </c>
      <c r="U247" s="262">
        <f t="shared" si="159"/>
        <v>0</v>
      </c>
    </row>
    <row r="248" spans="1:21" hidden="1" x14ac:dyDescent="0.25">
      <c r="A248" s="274" t="s">
        <v>107</v>
      </c>
      <c r="B248" s="255"/>
      <c r="C248" s="436">
        <f>(C$103*irpp_reduc_coll+C$104*irpp_reduc_lyc+C$10*irpp_reduc_es)*IF(OR(C$13="ga_m",C$13="ga_p"),0.5,IF(C$13="png",0,1))</f>
        <v>0</v>
      </c>
      <c r="D248" s="436">
        <f>(D$103*irpp_reduc_coll+D$104*irpp_reduc_lyc+D$10*irpp_reduc_es)*IF(OR(D$13="ga_m",D$13="ga_p"),0.5,IF(D$13="png",0,1))</f>
        <v>0</v>
      </c>
      <c r="E248" s="436">
        <f>(E$103*irpp_reduc_coll+E$104*irpp_reduc_lyc+E$10*irpp_reduc_es)*IF(OR(E$13="ga_m",E$13="ga_p"),0.5,IF(E$13="png",0,1))</f>
        <v>0</v>
      </c>
      <c r="F248" s="436">
        <f>(F$103*irpp_reduc_coll+F$104*irpp_reduc_lyc+F$10*irpp_reduc_es)*IF(OR(F$13="ga_m",F$13="ga_p"),0.5,IF(F$13="png",0,1))</f>
        <v>0</v>
      </c>
      <c r="H248" s="436">
        <f>(H$103*irpp_reduc_coll+H$104*irpp_reduc_lyc+H$10*irpp_reduc_es)*IF(OR(H$13="ga_m",H$13="ga_p"),0.5,IF(H$13="png",0,1))</f>
        <v>0</v>
      </c>
      <c r="I248" s="436">
        <f>(I$103*irpp_reduc_coll+I$104*irpp_reduc_lyc+I$10*irpp_reduc_es)*IF(OR(I$13="ga_m",I$13="ga_p"),0.5,IF(I$13="png",0,1))</f>
        <v>0</v>
      </c>
      <c r="J248" s="436">
        <f>(J$103*irpp_reduc_coll+J$104*irpp_reduc_lyc+J$10*irpp_reduc_es)*IF(OR(J$13="ga_m",J$13="ga_p"),0.5,IF(J$13="png",0,1))</f>
        <v>0</v>
      </c>
      <c r="K248" s="436">
        <f>(K$103*irpp_reduc_coll+K$104*irpp_reduc_lyc+K$10*irpp_reduc_es)*IF(OR(K$13="ga_m",K$13="ga_p"),0.5,IF(K$13="png",0,1))</f>
        <v>0</v>
      </c>
      <c r="M248" s="436">
        <f>(M$103*irpp_reduc_coll+M$104*irpp_reduc_lyc+M$10*irpp_reduc_es)*IF(OR(M$13="ga_m",M$13="ga_p"),0.5,IF(M$13="png",0,1))</f>
        <v>0</v>
      </c>
      <c r="N248" s="436">
        <f>(N$103*irpp_reduc_coll+N$104*irpp_reduc_lyc+N$10*irpp_reduc_es)*IF(OR(N$13="ga_m",N$13="ga_p"),0.5,IF(N$13="png",0,1))</f>
        <v>0</v>
      </c>
      <c r="O248" s="436">
        <f>(O$103*irpp_reduc_coll+O$104*irpp_reduc_lyc+O$10*irpp_reduc_es)*IF(OR(O$13="ga_m",O$13="ga_p"),0.5,IF(O$13="png",0,1))</f>
        <v>0</v>
      </c>
      <c r="P248" s="436">
        <f>(P$103*irpp_reduc_coll+P$104*irpp_reduc_lyc+P$10*irpp_reduc_es)*IF(OR(P$13="ga_m",P$13="ga_p"),0.5,IF(P$13="png",0,1))</f>
        <v>0</v>
      </c>
      <c r="R248" s="436">
        <f>(R$103*irpp_reduc_coll+R$104*irpp_reduc_lyc+R$10*irpp_reduc_es)*IF(OR(R$13="ga_m",R$13="ga_p"),0.5,IF(R$13="png",0,1))</f>
        <v>0</v>
      </c>
      <c r="S248" s="436">
        <f>(S$103*irpp_reduc_coll+S$104*irpp_reduc_lyc+S$10*irpp_reduc_es)*IF(OR(S$13="ga_m",S$13="ga_p"),0.5,IF(S$13="png",0,1))</f>
        <v>0</v>
      </c>
      <c r="T248" s="436">
        <f>(T$103*irpp_reduc_coll+T$104*irpp_reduc_lyc+T$10*irpp_reduc_es)*IF(OR(T$13="ga_m",T$13="ga_p"),0.5,IF(T$13="png",0,1))</f>
        <v>0</v>
      </c>
      <c r="U248" s="436">
        <f>(U$103*irpp_reduc_coll+U$104*irpp_reduc_lyc+U$10*irpp_reduc_es)*IF(OR(U$13="ga_m",U$13="ga_p"),0.5,IF(U$13="png",0,1))</f>
        <v>0</v>
      </c>
    </row>
    <row r="249" spans="1:21" hidden="1" x14ac:dyDescent="0.25">
      <c r="A249" s="10" t="s">
        <v>292</v>
      </c>
      <c r="B249" s="255"/>
      <c r="C249" s="262">
        <f>(C$21+C$24&gt;0)*irpp_part_fg_assmat*MIN(irpp_max_fg_assmat*IF(OR(C$13="ga_m",C$13="ga_p"),0.5,IF(C$13="png",0,1)),12*MAX(0,(C$157+C$169)))</f>
        <v>0</v>
      </c>
      <c r="D249" s="262">
        <f>(D$21+D$24&gt;0)*irpp_part_fg_assmat*MIN(irpp_max_fg_assmat*IF(OR(D$13="ga_m",D$13="ga_p"),0.5,IF(D$13="png",0,1)),12*MAX(0,(D$157+D$169)))</f>
        <v>0</v>
      </c>
      <c r="E249" s="262">
        <f>(E$21+E$24&gt;0)*irpp_part_fg_assmat*MIN(irpp_max_fg_assmat*IF(OR(E$13="ga_m",E$13="ga_p"),0.5,IF(E$13="png",0,1)),12*MAX(0,(E$157+E$169)))</f>
        <v>0</v>
      </c>
      <c r="F249" s="262">
        <f>(F$21+F$24&gt;0)*irpp_part_fg_assmat*MIN(irpp_max_fg_assmat*IF(OR(F$13="ga_m",F$13="ga_p"),0.5,IF(F$13="png",0,1)),12*MAX(0,(F$157+F$169)))</f>
        <v>0</v>
      </c>
      <c r="H249" s="262">
        <f>(H$21+H$24&gt;0)*irpp_part_fg_assmat*MIN(irpp_max_fg_assmat*IF(OR(H$13="ga_m",H$13="ga_p"),0.5,IF(H$13="png",0,1)),12*MAX(0,(H$157+H$169)))</f>
        <v>0</v>
      </c>
      <c r="I249" s="262">
        <f>(I$21+I$24&gt;0)*irpp_part_fg_assmat*MIN(irpp_max_fg_assmat*IF(OR(I$13="ga_m",I$13="ga_p"),0.5,IF(I$13="png",0,1)),12*MAX(0,(I$157+I$169)))</f>
        <v>0</v>
      </c>
      <c r="J249" s="262">
        <f>(J$21+J$24&gt;0)*irpp_part_fg_assmat*MIN(irpp_max_fg_assmat*IF(OR(J$13="ga_m",J$13="ga_p"),0.5,IF(J$13="png",0,1)),12*MAX(0,(J$157+J$169)))</f>
        <v>0</v>
      </c>
      <c r="K249" s="262">
        <f>(K$21+K$24&gt;0)*irpp_part_fg_assmat*MIN(irpp_max_fg_assmat*IF(OR(K$13="ga_m",K$13="ga_p"),0.5,IF(K$13="png",0,1)),12*MAX(0,(K$157+K$169)))</f>
        <v>0</v>
      </c>
      <c r="M249" s="262">
        <f>(M$21+M$24&gt;0)*irpp_part_fg_assmat*MIN(irpp_max_fg_assmat*IF(OR(M$13="ga_m",M$13="ga_p"),0.5,IF(M$13="png",0,1)),12*MAX(0,(M$157+M$169)))</f>
        <v>0</v>
      </c>
      <c r="N249" s="262">
        <f>(N$21+N$24&gt;0)*irpp_part_fg_assmat*MIN(irpp_max_fg_assmat*IF(OR(N$13="ga_m",N$13="ga_p"),0.5,IF(N$13="png",0,1)),12*MAX(0,(N$157+N$169)))</f>
        <v>0</v>
      </c>
      <c r="O249" s="262">
        <f>(O$21+O$24&gt;0)*irpp_part_fg_assmat*MIN(irpp_max_fg_assmat*IF(OR(O$13="ga_m",O$13="ga_p"),0.5,IF(O$13="png",0,1)),12*MAX(0,(O$157+O$169)))</f>
        <v>0</v>
      </c>
      <c r="P249" s="262">
        <f>(P$21+P$24&gt;0)*irpp_part_fg_assmat*MIN(irpp_max_fg_assmat*IF(OR(P$13="ga_m",P$13="ga_p"),0.5,IF(P$13="png",0,1)),12*MAX(0,(P$157+P$169)))</f>
        <v>0</v>
      </c>
      <c r="R249" s="262">
        <f>(R$21+R$24&gt;0)*irpp_part_fg_assmat*MIN(irpp_max_fg_assmat*IF(OR(R$13="ga_m",R$13="ga_p"),0.5,IF(R$13="png",0,1)),12*MAX(0,(R$157+R$169)))</f>
        <v>0</v>
      </c>
      <c r="S249" s="262">
        <f>(S$21+S$24&gt;0)*irpp_part_fg_assmat*MIN(irpp_max_fg_assmat*IF(OR(S$13="ga_m",S$13="ga_p"),0.5,IF(S$13="png",0,1)),12*MAX(0,(S$157+S$169)))</f>
        <v>0</v>
      </c>
      <c r="T249" s="262">
        <f>(T$21+T$24&gt;0)*irpp_part_fg_assmat*MIN(irpp_max_fg_assmat*IF(OR(T$13="ga_m",T$13="ga_p"),0.5,IF(T$13="png",0,1)),12*MAX(0,(T$157+T$169)))</f>
        <v>0</v>
      </c>
      <c r="U249" s="262">
        <f>(U$21+U$24&gt;0)*irpp_part_fg_assmat*MIN(irpp_max_fg_assmat*IF(OR(U$13="ga_m",U$13="ga_p"),0.5,IF(U$13="png",0,1)),12*MAX(0,(U$157+U$169)))</f>
        <v>0</v>
      </c>
    </row>
    <row r="250" spans="1:21" hidden="1" x14ac:dyDescent="0.25">
      <c r="A250" t="s">
        <v>293</v>
      </c>
      <c r="B250" s="255"/>
      <c r="C250" s="436">
        <f>(C$22+C$23&gt;0)*MIN(irpp_max_fg_gdom,irpp_seuil1_fg_gdom+irpp_supp_enf_seuil_fg_gdom*C$232)*IF(OR(C$13="ga_m",C$13="ga_p"),0.5,IF(C$13="png",0,1))</f>
        <v>0</v>
      </c>
      <c r="D250" s="436">
        <f>(D$22+D$23&gt;0)*MIN(irpp_max_fg_gdom,irpp_seuil1_fg_gdom+irpp_supp_enf_seuil_fg_gdom*D$232)*IF(OR(D$13="ga_m",D$13="ga_p"),0.5,IF(D$13="png",0,1))</f>
        <v>0</v>
      </c>
      <c r="E250" s="436">
        <f>(E$22+E$23&gt;0)*MIN(irpp_max_fg_gdom,irpp_seuil1_fg_gdom+irpp_supp_enf_seuil_fg_gdom*E$232)*IF(OR(E$13="ga_m",E$13="ga_p"),0.5,IF(E$13="png",0,1))</f>
        <v>0</v>
      </c>
      <c r="F250" s="436">
        <f>(F$22+F$23&gt;0)*MIN(irpp_max_fg_gdom,irpp_seuil1_fg_gdom+irpp_supp_enf_seuil_fg_gdom*F$232)*IF(OR(F$13="ga_m",F$13="ga_p"),0.5,IF(F$13="png",0,1))</f>
        <v>0</v>
      </c>
      <c r="H250" s="436">
        <f>(H$22+H$23&gt;0)*MIN(irpp_max_fg_gdom,irpp_seuil1_fg_gdom+irpp_supp_enf_seuil_fg_gdom*H$232)*IF(OR(H$13="ga_m",H$13="ga_p"),0.5,IF(H$13="png",0,1))</f>
        <v>0</v>
      </c>
      <c r="I250" s="436">
        <f>(I$22+I$23&gt;0)*MIN(irpp_max_fg_gdom,irpp_seuil1_fg_gdom+irpp_supp_enf_seuil_fg_gdom*I$232)*IF(OR(I$13="ga_m",I$13="ga_p"),0.5,IF(I$13="png",0,1))</f>
        <v>0</v>
      </c>
      <c r="J250" s="436">
        <f>(J$22+J$23&gt;0)*MIN(irpp_max_fg_gdom,irpp_seuil1_fg_gdom+irpp_supp_enf_seuil_fg_gdom*J$232)*IF(OR(J$13="ga_m",J$13="ga_p"),0.5,IF(J$13="png",0,1))</f>
        <v>0</v>
      </c>
      <c r="K250" s="436">
        <f>(K$22+K$23&gt;0)*MIN(irpp_max_fg_gdom,irpp_seuil1_fg_gdom+irpp_supp_enf_seuil_fg_gdom*K$232)*IF(OR(K$13="ga_m",K$13="ga_p"),0.5,IF(K$13="png",0,1))</f>
        <v>0</v>
      </c>
      <c r="M250" s="436">
        <f>(M$22+M$23&gt;0)*MIN(irpp_max_fg_gdom,irpp_seuil1_fg_gdom+irpp_supp_enf_seuil_fg_gdom*M$232)*IF(OR(M$13="ga_m",M$13="ga_p"),0.5,IF(M$13="png",0,1))</f>
        <v>0</v>
      </c>
      <c r="N250" s="436">
        <f>(N$22+N$23&gt;0)*MIN(irpp_max_fg_gdom,irpp_seuil1_fg_gdom+irpp_supp_enf_seuil_fg_gdom*N$232)*IF(OR(N$13="ga_m",N$13="ga_p"),0.5,IF(N$13="png",0,1))</f>
        <v>0</v>
      </c>
      <c r="O250" s="436">
        <f>(O$22+O$23&gt;0)*MIN(irpp_max_fg_gdom,irpp_seuil1_fg_gdom+irpp_supp_enf_seuil_fg_gdom*O$232)*IF(OR(O$13="ga_m",O$13="ga_p"),0.5,IF(O$13="png",0,1))</f>
        <v>0</v>
      </c>
      <c r="P250" s="436">
        <f>(P$22+P$23&gt;0)*MIN(irpp_max_fg_gdom,irpp_seuil1_fg_gdom+irpp_supp_enf_seuil_fg_gdom*P$232)*IF(OR(P$13="ga_m",P$13="ga_p"),0.5,IF(P$13="png",0,1))</f>
        <v>0</v>
      </c>
      <c r="R250" s="436">
        <f>(R$22+R$23&gt;0)*MIN(irpp_max_fg_gdom,irpp_seuil1_fg_gdom+irpp_supp_enf_seuil_fg_gdom*R$232)*IF(OR(R$13="ga_m",R$13="ga_p"),0.5,IF(R$13="png",0,1))</f>
        <v>0</v>
      </c>
      <c r="S250" s="436">
        <f>(S$22+S$23&gt;0)*MIN(irpp_max_fg_gdom,irpp_seuil1_fg_gdom+irpp_supp_enf_seuil_fg_gdom*S$232)*IF(OR(S$13="ga_m",S$13="ga_p"),0.5,IF(S$13="png",0,1))</f>
        <v>0</v>
      </c>
      <c r="T250" s="436">
        <f>(T$22+T$23&gt;0)*MIN(irpp_max_fg_gdom,irpp_seuil1_fg_gdom+irpp_supp_enf_seuil_fg_gdom*T$232)*IF(OR(T$13="ga_m",T$13="ga_p"),0.5,IF(T$13="png",0,1))</f>
        <v>0</v>
      </c>
      <c r="U250" s="436">
        <f>(U$22+U$23&gt;0)*MIN(irpp_max_fg_gdom,irpp_seuil1_fg_gdom+irpp_supp_enf_seuil_fg_gdom*U$232)*IF(OR(U$13="ga_m",U$13="ga_p"),0.5,IF(U$13="png",0,1))</f>
        <v>0</v>
      </c>
    </row>
    <row r="251" spans="1:21" ht="13.5" hidden="1" customHeight="1" x14ac:dyDescent="0.25">
      <c r="A251" t="s">
        <v>294</v>
      </c>
      <c r="B251" s="255"/>
      <c r="C251" s="262">
        <f>irpp_part_fg_gdom*MIN(C$250,12*MAX(0,C$163))</f>
        <v>0</v>
      </c>
      <c r="D251" s="262">
        <f>irpp_part_fg_gdom*MIN(D$250,12*MAX(0,D$163))</f>
        <v>0</v>
      </c>
      <c r="E251" s="262">
        <f>irpp_part_fg_gdom*MIN(E$250,12*MAX(0,E$163))</f>
        <v>0</v>
      </c>
      <c r="F251" s="262">
        <f>irpp_part_fg_gdom*MIN(F$250,12*MAX(0,F$163))</f>
        <v>0</v>
      </c>
      <c r="H251" s="262">
        <f>irpp_part_fg_gdom*MIN(H$250,12*MAX(0,H$163))</f>
        <v>0</v>
      </c>
      <c r="I251" s="262">
        <f>irpp_part_fg_gdom*MIN(I$250,12*MAX(0,I$163))</f>
        <v>0</v>
      </c>
      <c r="J251" s="262">
        <f>irpp_part_fg_gdom*MIN(J$250,12*MAX(0,J$163))</f>
        <v>0</v>
      </c>
      <c r="K251" s="262">
        <f>irpp_part_fg_gdom*MIN(K$250,12*MAX(0,K$163))</f>
        <v>0</v>
      </c>
      <c r="M251" s="262">
        <f>irpp_part_fg_gdom*MIN(M$250,12*MAX(0,M$163))</f>
        <v>0</v>
      </c>
      <c r="N251" s="262">
        <f>irpp_part_fg_gdom*MIN(N$250,12*MAX(0,N$163))</f>
        <v>0</v>
      </c>
      <c r="O251" s="262">
        <f>irpp_part_fg_gdom*MIN(O$250,12*MAX(0,O$163))</f>
        <v>0</v>
      </c>
      <c r="P251" s="262">
        <f>irpp_part_fg_gdom*MIN(P$250,12*MAX(0,P$163))</f>
        <v>0</v>
      </c>
      <c r="R251" s="262">
        <f>irpp_part_fg_gdom*MIN(R$250,12*MAX(0,R$163))</f>
        <v>0</v>
      </c>
      <c r="S251" s="262">
        <f>irpp_part_fg_gdom*MIN(S$250,12*MAX(0,S$163))</f>
        <v>0</v>
      </c>
      <c r="T251" s="262">
        <f>irpp_part_fg_gdom*MIN(T$250,12*MAX(0,T$163))</f>
        <v>0</v>
      </c>
      <c r="U251" s="262">
        <f>irpp_part_fg_gdom*MIN(U$250,12*MAX(0,U$163))</f>
        <v>0</v>
      </c>
    </row>
    <row r="252" spans="1:21" hidden="1" x14ac:dyDescent="0.25">
      <c r="A252" s="274" t="s">
        <v>112</v>
      </c>
      <c r="B252" s="255"/>
      <c r="C252" s="262">
        <f>MAX(0,C$247-C$248)-C249-C251</f>
        <v>0</v>
      </c>
      <c r="D252" s="262">
        <f t="shared" ref="D252:F252" si="160">MAX(0,D$247-D$248)-D249-D251</f>
        <v>0</v>
      </c>
      <c r="E252" s="262">
        <f t="shared" si="160"/>
        <v>0</v>
      </c>
      <c r="F252" s="262">
        <f t="shared" si="160"/>
        <v>953.81145154872877</v>
      </c>
      <c r="H252" s="262">
        <f>MAX(0,H$247-H$248)-H249-H251</f>
        <v>0</v>
      </c>
      <c r="I252" s="262">
        <f t="shared" ref="I252" si="161">MAX(0,I$247-I$248)-I249-I251</f>
        <v>0</v>
      </c>
      <c r="J252" s="262">
        <f t="shared" ref="J252" si="162">MAX(0,J$247-J$248)-J249-J251</f>
        <v>0</v>
      </c>
      <c r="K252" s="262">
        <f t="shared" ref="K252" si="163">MAX(0,K$247-K$248)-K249-K251</f>
        <v>0</v>
      </c>
      <c r="M252" s="262">
        <f>MAX(0,M$247-M$248)-M249-M251</f>
        <v>0</v>
      </c>
      <c r="N252" s="262">
        <f t="shared" ref="N252" si="164">MAX(0,N$247-N$248)-N249-N251</f>
        <v>0</v>
      </c>
      <c r="O252" s="262">
        <f t="shared" ref="O252" si="165">MAX(0,O$247-O$248)-O249-O251</f>
        <v>0</v>
      </c>
      <c r="P252" s="262">
        <f t="shared" ref="P252" si="166">MAX(0,P$247-P$248)-P249-P251</f>
        <v>0</v>
      </c>
      <c r="R252" s="262">
        <f>MAX(0,R$247-R$248)-R249-R251</f>
        <v>0</v>
      </c>
      <c r="S252" s="262">
        <f t="shared" ref="S252" si="167">MAX(0,S$247-S$248)-S249-S251</f>
        <v>0</v>
      </c>
      <c r="T252" s="262">
        <f t="shared" ref="T252" si="168">MAX(0,T$247-T$248)-T249-T251</f>
        <v>0</v>
      </c>
      <c r="U252" s="262">
        <f t="shared" ref="U252" si="169">MAX(0,U$247-U$248)-U249-U251</f>
        <v>0</v>
      </c>
    </row>
    <row r="253" spans="1:21" hidden="1" x14ac:dyDescent="0.25">
      <c r="A253" s="274" t="s">
        <v>170</v>
      </c>
      <c r="B253" s="255"/>
      <c r="C253" s="262">
        <f>IF(C$3="isolé",
IF(AND(C$235&gt;=irpp_seuil1_cont_excep,C$235&lt;irpp_seuil2_cont_excep),irpp_taux1_cont_excep*(C$235-irpp_seuil1_cont_excep),IF(C$235&gt;irpp_seuil2_cont_excep,irpp_taux2_cont_excep*(C$235-irpp_seuil2_cont_excep)+7500,0)),
IF(AND(C$235&gt;=2*irpp_seuil1_cont_excep,C$235&lt;2*irpp_seuil2_cont_excep),irpp_taux1_cont_excep*(C$235-2*irpp_seuil1_cont_excep),IF(C$235&gt;2*irpp_seuil2_cont_excep,irpp_taux2_cont_excep*(C$235-2*irpp_seuil2_cont_excep)+15000,0)))</f>
        <v>0</v>
      </c>
      <c r="D253" s="262">
        <f>IF(D$3="isolé",
IF(AND(D$235&gt;=irpp_seuil1_cont_excep,D$235&lt;irpp_seuil2_cont_excep),irpp_taux1_cont_excep*(D$235-irpp_seuil1_cont_excep),IF(D$235&gt;irpp_seuil2_cont_excep,irpp_taux2_cont_excep*(D$235-irpp_seuil2_cont_excep)+7500,0)),
IF(AND(D$235&gt;=2*irpp_seuil1_cont_excep,D$235&lt;2*irpp_seuil2_cont_excep),irpp_taux1_cont_excep*(D$235-2*irpp_seuil1_cont_excep),IF(D$235&gt;2*irpp_seuil2_cont_excep,irpp_taux2_cont_excep*(D$235-2*irpp_seuil2_cont_excep)+15000,0)))</f>
        <v>0</v>
      </c>
      <c r="E253" s="262">
        <f>IF(E$3="isolé",
IF(AND(E$235&gt;=irpp_seuil1_cont_excep,E$235&lt;irpp_seuil2_cont_excep),irpp_taux1_cont_excep*(E$235-irpp_seuil1_cont_excep),IF(E$235&gt;irpp_seuil2_cont_excep,irpp_taux2_cont_excep*(E$235-irpp_seuil2_cont_excep)+7500,0)),
IF(AND(E$235&gt;=2*irpp_seuil1_cont_excep,E$235&lt;2*irpp_seuil2_cont_excep),irpp_taux1_cont_excep*(E$235-2*irpp_seuil1_cont_excep),IF(E$235&gt;2*irpp_seuil2_cont_excep,irpp_taux2_cont_excep*(E$235-2*irpp_seuil2_cont_excep)+15000,0)))</f>
        <v>0</v>
      </c>
      <c r="F253" s="262">
        <f>IF(F$3="isolé",
IF(AND(F$235&gt;=irpp_seuil1_cont_excep,F$235&lt;irpp_seuil2_cont_excep),irpp_taux1_cont_excep*(F$235-irpp_seuil1_cont_excep),IF(F$235&gt;irpp_seuil2_cont_excep,irpp_taux2_cont_excep*(F$235-irpp_seuil2_cont_excep)+7500,0)),
IF(AND(F$235&gt;=2*irpp_seuil1_cont_excep,F$235&lt;2*irpp_seuil2_cont_excep),irpp_taux1_cont_excep*(F$235-2*irpp_seuil1_cont_excep),IF(F$235&gt;2*irpp_seuil2_cont_excep,irpp_taux2_cont_excep*(F$235-2*irpp_seuil2_cont_excep)+15000,0)))</f>
        <v>0</v>
      </c>
      <c r="H253" s="262">
        <f>IF(H$3="isolé",
IF(AND(H$235&gt;=irpp_seuil1_cont_excep,H$235&lt;irpp_seuil2_cont_excep),irpp_taux1_cont_excep*(H$235-irpp_seuil1_cont_excep),IF(H$235&gt;irpp_seuil2_cont_excep,irpp_taux2_cont_excep*(H$235-irpp_seuil2_cont_excep)+7500,0)),
IF(AND(H$235&gt;=2*irpp_seuil1_cont_excep,H$235&lt;2*irpp_seuil2_cont_excep),irpp_taux1_cont_excep*(H$235-2*irpp_seuil1_cont_excep),IF(H$235&gt;2*irpp_seuil2_cont_excep,irpp_taux2_cont_excep*(H$235-2*irpp_seuil2_cont_excep)+15000,0)))</f>
        <v>0</v>
      </c>
      <c r="I253" s="262">
        <f>IF(I$3="isolé",
IF(AND(I$235&gt;=irpp_seuil1_cont_excep,I$235&lt;irpp_seuil2_cont_excep),irpp_taux1_cont_excep*(I$235-irpp_seuil1_cont_excep),IF(I$235&gt;irpp_seuil2_cont_excep,irpp_taux2_cont_excep*(I$235-irpp_seuil2_cont_excep)+7500,0)),
IF(AND(I$235&gt;=2*irpp_seuil1_cont_excep,I$235&lt;2*irpp_seuil2_cont_excep),irpp_taux1_cont_excep*(I$235-2*irpp_seuil1_cont_excep),IF(I$235&gt;2*irpp_seuil2_cont_excep,irpp_taux2_cont_excep*(I$235-2*irpp_seuil2_cont_excep)+15000,0)))</f>
        <v>0</v>
      </c>
      <c r="J253" s="262">
        <f>IF(J$3="isolé",
IF(AND(J$235&gt;=irpp_seuil1_cont_excep,J$235&lt;irpp_seuil2_cont_excep),irpp_taux1_cont_excep*(J$235-irpp_seuil1_cont_excep),IF(J$235&gt;irpp_seuil2_cont_excep,irpp_taux2_cont_excep*(J$235-irpp_seuil2_cont_excep)+7500,0)),
IF(AND(J$235&gt;=2*irpp_seuil1_cont_excep,J$235&lt;2*irpp_seuil2_cont_excep),irpp_taux1_cont_excep*(J$235-2*irpp_seuil1_cont_excep),IF(J$235&gt;2*irpp_seuil2_cont_excep,irpp_taux2_cont_excep*(J$235-2*irpp_seuil2_cont_excep)+15000,0)))</f>
        <v>0</v>
      </c>
      <c r="K253" s="262">
        <f>IF(K$3="isolé",
IF(AND(K$235&gt;=irpp_seuil1_cont_excep,K$235&lt;irpp_seuil2_cont_excep),irpp_taux1_cont_excep*(K$235-irpp_seuil1_cont_excep),IF(K$235&gt;irpp_seuil2_cont_excep,irpp_taux2_cont_excep*(K$235-irpp_seuil2_cont_excep)+7500,0)),
IF(AND(K$235&gt;=2*irpp_seuil1_cont_excep,K$235&lt;2*irpp_seuil2_cont_excep),irpp_taux1_cont_excep*(K$235-2*irpp_seuil1_cont_excep),IF(K$235&gt;2*irpp_seuil2_cont_excep,irpp_taux2_cont_excep*(K$235-2*irpp_seuil2_cont_excep)+15000,0)))</f>
        <v>0</v>
      </c>
      <c r="M253" s="262">
        <f>IF(M$3="isolé",
IF(AND(M$235&gt;=irpp_seuil1_cont_excep,M$235&lt;irpp_seuil2_cont_excep),irpp_taux1_cont_excep*(M$235-irpp_seuil1_cont_excep),IF(M$235&gt;irpp_seuil2_cont_excep,irpp_taux2_cont_excep*(M$235-irpp_seuil2_cont_excep)+7500,0)),
IF(AND(M$235&gt;=2*irpp_seuil1_cont_excep,M$235&lt;2*irpp_seuil2_cont_excep),irpp_taux1_cont_excep*(M$235-2*irpp_seuil1_cont_excep),IF(M$235&gt;2*irpp_seuil2_cont_excep,irpp_taux2_cont_excep*(M$235-2*irpp_seuil2_cont_excep)+15000,0)))</f>
        <v>0</v>
      </c>
      <c r="N253" s="262">
        <f>IF(N$3="isolé",
IF(AND(N$235&gt;=irpp_seuil1_cont_excep,N$235&lt;irpp_seuil2_cont_excep),irpp_taux1_cont_excep*(N$235-irpp_seuil1_cont_excep),IF(N$235&gt;irpp_seuil2_cont_excep,irpp_taux2_cont_excep*(N$235-irpp_seuil2_cont_excep)+7500,0)),
IF(AND(N$235&gt;=2*irpp_seuil1_cont_excep,N$235&lt;2*irpp_seuil2_cont_excep),irpp_taux1_cont_excep*(N$235-2*irpp_seuil1_cont_excep),IF(N$235&gt;2*irpp_seuil2_cont_excep,irpp_taux2_cont_excep*(N$235-2*irpp_seuil2_cont_excep)+15000,0)))</f>
        <v>0</v>
      </c>
      <c r="O253" s="262">
        <f>IF(O$3="isolé",
IF(AND(O$235&gt;=irpp_seuil1_cont_excep,O$235&lt;irpp_seuil2_cont_excep),irpp_taux1_cont_excep*(O$235-irpp_seuil1_cont_excep),IF(O$235&gt;irpp_seuil2_cont_excep,irpp_taux2_cont_excep*(O$235-irpp_seuil2_cont_excep)+7500,0)),
IF(AND(O$235&gt;=2*irpp_seuil1_cont_excep,O$235&lt;2*irpp_seuil2_cont_excep),irpp_taux1_cont_excep*(O$235-2*irpp_seuil1_cont_excep),IF(O$235&gt;2*irpp_seuil2_cont_excep,irpp_taux2_cont_excep*(O$235-2*irpp_seuil2_cont_excep)+15000,0)))</f>
        <v>0</v>
      </c>
      <c r="P253" s="262">
        <f>IF(P$3="isolé",
IF(AND(P$235&gt;=irpp_seuil1_cont_excep,P$235&lt;irpp_seuil2_cont_excep),irpp_taux1_cont_excep*(P$235-irpp_seuil1_cont_excep),IF(P$235&gt;irpp_seuil2_cont_excep,irpp_taux2_cont_excep*(P$235-irpp_seuil2_cont_excep)+7500,0)),
IF(AND(P$235&gt;=2*irpp_seuil1_cont_excep,P$235&lt;2*irpp_seuil2_cont_excep),irpp_taux1_cont_excep*(P$235-2*irpp_seuil1_cont_excep),IF(P$235&gt;2*irpp_seuil2_cont_excep,irpp_taux2_cont_excep*(P$235-2*irpp_seuil2_cont_excep)+15000,0)))</f>
        <v>0</v>
      </c>
      <c r="R253" s="262">
        <f>IF(R$3="isolé",
IF(AND(R$235&gt;=irpp_seuil1_cont_excep,R$235&lt;irpp_seuil2_cont_excep),irpp_taux1_cont_excep*(R$235-irpp_seuil1_cont_excep),IF(R$235&gt;irpp_seuil2_cont_excep,irpp_taux2_cont_excep*(R$235-irpp_seuil2_cont_excep)+7500,0)),
IF(AND(R$235&gt;=2*irpp_seuil1_cont_excep,R$235&lt;2*irpp_seuil2_cont_excep),irpp_taux1_cont_excep*(R$235-2*irpp_seuil1_cont_excep),IF(R$235&gt;2*irpp_seuil2_cont_excep,irpp_taux2_cont_excep*(R$235-2*irpp_seuil2_cont_excep)+15000,0)))</f>
        <v>0</v>
      </c>
      <c r="S253" s="262">
        <f>IF(S$3="isolé",
IF(AND(S$235&gt;=irpp_seuil1_cont_excep,S$235&lt;irpp_seuil2_cont_excep),irpp_taux1_cont_excep*(S$235-irpp_seuil1_cont_excep),IF(S$235&gt;irpp_seuil2_cont_excep,irpp_taux2_cont_excep*(S$235-irpp_seuil2_cont_excep)+7500,0)),
IF(AND(S$235&gt;=2*irpp_seuil1_cont_excep,S$235&lt;2*irpp_seuil2_cont_excep),irpp_taux1_cont_excep*(S$235-2*irpp_seuil1_cont_excep),IF(S$235&gt;2*irpp_seuil2_cont_excep,irpp_taux2_cont_excep*(S$235-2*irpp_seuil2_cont_excep)+15000,0)))</f>
        <v>0</v>
      </c>
      <c r="T253" s="262">
        <f>IF(T$3="isolé",
IF(AND(T$235&gt;=irpp_seuil1_cont_excep,T$235&lt;irpp_seuil2_cont_excep),irpp_taux1_cont_excep*(T$235-irpp_seuil1_cont_excep),IF(T$235&gt;irpp_seuil2_cont_excep,irpp_taux2_cont_excep*(T$235-irpp_seuil2_cont_excep)+7500,0)),
IF(AND(T$235&gt;=2*irpp_seuil1_cont_excep,T$235&lt;2*irpp_seuil2_cont_excep),irpp_taux1_cont_excep*(T$235-2*irpp_seuil1_cont_excep),IF(T$235&gt;2*irpp_seuil2_cont_excep,irpp_taux2_cont_excep*(T$235-2*irpp_seuil2_cont_excep)+15000,0)))</f>
        <v>0</v>
      </c>
      <c r="U253" s="262">
        <f>IF(U$3="isolé",
IF(AND(U$235&gt;=irpp_seuil1_cont_excep,U$235&lt;irpp_seuil2_cont_excep),irpp_taux1_cont_excep*(U$235-irpp_seuil1_cont_excep),IF(U$235&gt;irpp_seuil2_cont_excep,irpp_taux2_cont_excep*(U$235-irpp_seuil2_cont_excep)+7500,0)),
IF(AND(U$235&gt;=2*irpp_seuil1_cont_excep,U$235&lt;2*irpp_seuil2_cont_excep),irpp_taux1_cont_excep*(U$235-2*irpp_seuil1_cont_excep),IF(U$235&gt;2*irpp_seuil2_cont_excep,irpp_taux2_cont_excep*(U$235-2*irpp_seuil2_cont_excep)+15000,0)))</f>
        <v>0</v>
      </c>
    </row>
    <row r="254" spans="1:21" ht="13" hidden="1" thickBot="1" x14ac:dyDescent="0.3">
      <c r="A254" s="279" t="s">
        <v>208</v>
      </c>
      <c r="B254" s="277"/>
      <c r="C254" s="266">
        <f>IF(C235&gt;0,((C252+C$253)/C235)*(MAX(0,(Coef_impot)*C$58-MAX(irpp_min_reduc_fp,MIN(irpp_max_reduc_fp,irpp_taux_reduc_fp*(Coef_impot)*C$58)))),0)</f>
        <v>0</v>
      </c>
      <c r="D254" s="266">
        <f>IF(D235&gt;0,((D252+D$253)/D235)*(MAX(0,(Coef_impot)*D$58-MAX(irpp_min_reduc_fp,MIN(irpp_max_reduc_fp,irpp_taux_reduc_fp*(Coef_impot)*D$58)))),0)</f>
        <v>0</v>
      </c>
      <c r="E254" s="266">
        <f>IF(E235&gt;0,((E252+E$253)/E235)*(MAX(0,(Coef_impot)*E$58-MAX(irpp_min_reduc_fp,MIN(irpp_max_reduc_fp,irpp_taux_reduc_fp*(Coef_impot)*E$58)))),0)</f>
        <v>0</v>
      </c>
      <c r="F254" s="266">
        <f>IF(F235&gt;0,((F252+F$253)/F235)*(MAX(0,(Coef_impot)*F$58-MAX(irpp_min_reduc_fp,MIN(irpp_max_reduc_fp,irpp_taux_reduc_fp*(Coef_impot)*F$58)))),0)</f>
        <v>985.97713147228694</v>
      </c>
      <c r="H254" s="266">
        <f>IF(H235&gt;0,((H252+H$253)/H235)*(MAX(0,(Coef_impot)*H$58-MAX(irpp_min_reduc_fp,MIN(irpp_max_reduc_fp,irpp_taux_reduc_fp*(Coef_impot)*H$58)))),0)</f>
        <v>0</v>
      </c>
      <c r="I254" s="266">
        <f>IF(I235&gt;0,((I252+I$253)/I235)*(MAX(0,(Coef_impot)*I$58-MAX(irpp_min_reduc_fp,MIN(irpp_max_reduc_fp,irpp_taux_reduc_fp*(Coef_impot)*I$58)))),0)</f>
        <v>0</v>
      </c>
      <c r="J254" s="266">
        <f>IF(J235&gt;0,((J252+J$253)/J235)*(MAX(0,(Coef_impot)*J$58-MAX(irpp_min_reduc_fp,MIN(irpp_max_reduc_fp,irpp_taux_reduc_fp*(Coef_impot)*J$58)))),0)</f>
        <v>0</v>
      </c>
      <c r="K254" s="266">
        <f>IF(K235&gt;0,((K252+K$253)/K235)*(MAX(0,(Coef_impot)*K$58-MAX(irpp_min_reduc_fp,MIN(irpp_max_reduc_fp,irpp_taux_reduc_fp*(Coef_impot)*K$58)))),0)</f>
        <v>0</v>
      </c>
      <c r="M254" s="266">
        <f>IF(M235&gt;0,((M252+M$253)/M235)*(MAX(0,(Coef_impot)*M$58-MAX(irpp_min_reduc_fp,MIN(irpp_max_reduc_fp,irpp_taux_reduc_fp*(Coef_impot)*M$58)))),0)</f>
        <v>0</v>
      </c>
      <c r="N254" s="266">
        <f>IF(N235&gt;0,((N252+N$253)/N235)*(MAX(0,(Coef_impot)*N$58-MAX(irpp_min_reduc_fp,MIN(irpp_max_reduc_fp,irpp_taux_reduc_fp*(Coef_impot)*N$58)))),0)</f>
        <v>0</v>
      </c>
      <c r="O254" s="266">
        <f>IF(O235&gt;0,((O252+O$253)/O235)*(MAX(0,(Coef_impot)*O$58-MAX(irpp_min_reduc_fp,MIN(irpp_max_reduc_fp,irpp_taux_reduc_fp*(Coef_impot)*O$58)))),0)</f>
        <v>0</v>
      </c>
      <c r="P254" s="266">
        <f>IF(P235&gt;0,((P252+P$253)/P235)*(MAX(0,(Coef_impot)*P$58-MAX(irpp_min_reduc_fp,MIN(irpp_max_reduc_fp,irpp_taux_reduc_fp*(Coef_impot)*P$58)))),0)</f>
        <v>0</v>
      </c>
      <c r="R254" s="266">
        <f>IF(R235&gt;0,((R252+R$253)/R235)*(MAX(0,(Coef_impot)*R$58-MAX(irpp_min_reduc_fp,MIN(irpp_max_reduc_fp,irpp_taux_reduc_fp*(Coef_impot)*R$58)))),0)</f>
        <v>0</v>
      </c>
      <c r="S254" s="266">
        <f>IF(S235&gt;0,((S252+S$253)/S235)*(MAX(0,(Coef_impot)*S$58-MAX(irpp_min_reduc_fp,MIN(irpp_max_reduc_fp,irpp_taux_reduc_fp*(Coef_impot)*S$58)))),0)</f>
        <v>0</v>
      </c>
      <c r="T254" s="266">
        <f>IF(T235&gt;0,((T252+T$253)/T235)*(MAX(0,(Coef_impot)*T$58-MAX(irpp_min_reduc_fp,MIN(irpp_max_reduc_fp,irpp_taux_reduc_fp*(Coef_impot)*T$58)))),0)</f>
        <v>0</v>
      </c>
      <c r="U254" s="266">
        <f>IF(U235&gt;0,((U252+U$253)/U235)*(MAX(0,(Coef_impot)*U$58-MAX(irpp_min_reduc_fp,MIN(irpp_max_reduc_fp,irpp_taux_reduc_fp*(Coef_impot)*U$58)))),0)</f>
        <v>0</v>
      </c>
    </row>
    <row r="255" spans="1:21" hidden="1" x14ac:dyDescent="0.25">
      <c r="C255" s="201"/>
      <c r="D255" s="201"/>
      <c r="E255" s="201"/>
      <c r="F255" s="201"/>
      <c r="H255" s="201"/>
      <c r="I255" s="201"/>
      <c r="J255" s="201"/>
      <c r="K255" s="201"/>
      <c r="M255" s="201"/>
      <c r="N255" s="201"/>
      <c r="O255" s="201"/>
      <c r="P255" s="201"/>
      <c r="R255" s="201"/>
      <c r="S255" s="201"/>
      <c r="T255" s="201"/>
      <c r="U255" s="201"/>
    </row>
    <row r="256" spans="1:21" ht="13.5" hidden="1" thickBot="1" x14ac:dyDescent="0.35">
      <c r="A256" s="295" t="s">
        <v>332</v>
      </c>
      <c r="C256" s="201"/>
      <c r="D256" s="201"/>
      <c r="E256" s="201"/>
      <c r="F256" s="201"/>
      <c r="H256" s="201"/>
      <c r="I256" s="201"/>
      <c r="J256" s="201"/>
      <c r="K256" s="201"/>
      <c r="M256" s="201"/>
      <c r="N256" s="201"/>
      <c r="O256" s="201"/>
      <c r="P256" s="201"/>
      <c r="R256" s="201"/>
      <c r="S256" s="201"/>
      <c r="T256" s="201"/>
      <c r="U256" s="201"/>
    </row>
    <row r="257" spans="1:21" ht="13.5" hidden="1" thickBot="1" x14ac:dyDescent="0.35">
      <c r="A257" s="286" t="s">
        <v>331</v>
      </c>
      <c r="B257" s="186"/>
      <c r="C257" s="347">
        <f>MAX(0,Coef_n_2*C$58-MAX(irpp_min_reduc_fp,MIN(irpp_max_reduc_fp,irpp_taux_reduc_fp*Coef_n_2*C$58)))
+12*C$52*(C13&lt;&gt;"ga_m")</f>
        <v>0</v>
      </c>
      <c r="D257" s="347">
        <f>MAX(0,Coef_n_2*D$58-MAX(irpp_min_reduc_fp,MIN(irpp_max_reduc_fp,irpp_taux_reduc_fp*Coef_n_2*D$58)))
+12*D$52*(D13&lt;&gt;"ga_m")</f>
        <v>7105.035193964849</v>
      </c>
      <c r="E257" s="347">
        <f>MAX(0,Coef_n_2*E$58-MAX(irpp_min_reduc_fp,MIN(irpp_max_reduc_fp,irpp_taux_reduc_fp*Coef_n_2*E$58)))
+12*E$52*(E13&lt;&gt;"ga_m")</f>
        <v>14210.070387929698</v>
      </c>
      <c r="F257" s="347">
        <f>MAX(0,Coef_n_2*F$58-MAX(irpp_min_reduc_fp,MIN(irpp_max_reduc_fp,irpp_taux_reduc_fp*Coef_n_2*F$58)))
+12*F$52*(F13&lt;&gt;"ga_m")</f>
        <v>21315.10558189455</v>
      </c>
      <c r="H257" s="347">
        <f>MAX(0,Coef_n_2*H$58-MAX(irpp_min_reduc_fp,MIN(irpp_max_reduc_fp,irpp_taux_reduc_fp*Coef_n_2*H$58)))
+12*H$52*(H13&lt;&gt;"ga_m")</f>
        <v>0</v>
      </c>
      <c r="I257" s="347">
        <f>MAX(0,Coef_n_2*I$58-MAX(irpp_min_reduc_fp,MIN(irpp_max_reduc_fp,irpp_taux_reduc_fp*Coef_n_2*I$58)))
+12*I$52*(I13&lt;&gt;"ga_m")</f>
        <v>7105.035193964849</v>
      </c>
      <c r="J257" s="347">
        <f>MAX(0,Coef_n_2*J$58-MAX(irpp_min_reduc_fp,MIN(irpp_max_reduc_fp,irpp_taux_reduc_fp*Coef_n_2*J$58)))
+12*J$52*(J13&lt;&gt;"ga_m")</f>
        <v>14210.070387929698</v>
      </c>
      <c r="K257" s="347">
        <f>MAX(0,Coef_n_2*K$58-MAX(irpp_min_reduc_fp,MIN(irpp_max_reduc_fp,irpp_taux_reduc_fp*Coef_n_2*K$58)))
+12*K$52*(K13&lt;&gt;"ga_m")</f>
        <v>21315.10558189455</v>
      </c>
      <c r="M257" s="347">
        <f>MAX(0,Coef_n_2*M$58-MAX(irpp_min_reduc_fp,MIN(irpp_max_reduc_fp,irpp_taux_reduc_fp*Coef_n_2*M$58)))
+12*M$52*(M13&lt;&gt;"ga_m")</f>
        <v>0</v>
      </c>
      <c r="N257" s="347">
        <f>MAX(0,Coef_n_2*N$58-MAX(irpp_min_reduc_fp,MIN(irpp_max_reduc_fp,irpp_taux_reduc_fp*Coef_n_2*N$58)))
+12*N$52*(N13&lt;&gt;"ga_m")</f>
        <v>7105.035193964849</v>
      </c>
      <c r="O257" s="347">
        <f>MAX(0,Coef_n_2*O$58-MAX(irpp_min_reduc_fp,MIN(irpp_max_reduc_fp,irpp_taux_reduc_fp*Coef_n_2*O$58)))
+12*O$52*(O13&lt;&gt;"ga_m")</f>
        <v>14210.070387929698</v>
      </c>
      <c r="P257" s="347">
        <f>MAX(0,Coef_n_2*P$58-MAX(irpp_min_reduc_fp,MIN(irpp_max_reduc_fp,irpp_taux_reduc_fp*Coef_n_2*P$58)))
+12*P$52*(P13&lt;&gt;"ga_m")</f>
        <v>21315.10558189455</v>
      </c>
      <c r="R257" s="347">
        <f>MAX(0,Coef_n_2*R$58-MAX(irpp_min_reduc_fp,MIN(irpp_max_reduc_fp,irpp_taux_reduc_fp*Coef_n_2*R$58)))
+12*R$52*(R13&lt;&gt;"ga_m")</f>
        <v>0</v>
      </c>
      <c r="S257" s="347">
        <f>MAX(0,Coef_n_2*S$58-MAX(irpp_min_reduc_fp,MIN(irpp_max_reduc_fp,irpp_taux_reduc_fp*Coef_n_2*S$58)))
+12*S$52*(S13&lt;&gt;"ga_m")</f>
        <v>7105.035193964849</v>
      </c>
      <c r="T257" s="347">
        <f>MAX(0,Coef_n_2*T$58-MAX(irpp_min_reduc_fp,MIN(irpp_max_reduc_fp,irpp_taux_reduc_fp*Coef_n_2*T$58)))
+12*T$52*(T13&lt;&gt;"ga_m")</f>
        <v>14210.070387929698</v>
      </c>
      <c r="U257" s="347">
        <f>MAX(0,Coef_n_2*U$58-MAX(irpp_min_reduc_fp,MIN(irpp_max_reduc_fp,irpp_taux_reduc_fp*Coef_n_2*U$58)))
+12*U$52*(U13&lt;&gt;"ga_m")</f>
        <v>21315.10558189455</v>
      </c>
    </row>
    <row r="258" spans="1:21" hidden="1" x14ac:dyDescent="0.25">
      <c r="A258" s="275" t="s">
        <v>321</v>
      </c>
      <c r="B258" s="185"/>
      <c r="C258" s="262">
        <f>(C$97=1)*IF(C$257&lt;blyc_1enf_seuil6,6,IF(C$257&lt;blyc_1enf_seuil5,5,IF(C$257&lt;blyc_1enf_seuil4,4,IF(C$257&lt;blyc_1enf_seuil3,3,IF(C$257&lt;blyc_1enf_seuil2,2,IF(C$257&lt;blyc_1enf_seuil1,1,0))))))
+(C$97=2)*IF(C$257&lt;blyc_2enf_seuil6,6,IF(C$257&lt;blyc_2enf_seuil5,5,IF(C$257&lt;blyc_2enf_seuil4,4,IF(C$257&lt;blyc_2enf_seuil3,3,IF(C$257&lt;blyc_2enf_seuil2,2,IF(C$257&lt;blyc_1enf_seuil1,1,0))))))
+(C$97=3)*IF(C$257&lt;blyc_3enf_seuil6,6,IF(C$257&lt;blyc_3enf_seuil5,5,IF(C$257&lt;blyc_3enf_seuil4,4,IF(C$257&lt;blyc_3enf_seuil3,3,IF(C$257&lt;blyc_3enf_seuil2,2,IF(C$257&lt;blyc_1enf_seuil1,1,0))))))
+(C$97=4)*IF(C$257&lt;blyc_4enf_seuil6,6,IF(C$257&lt;blyc_4enf_seuil5,5,IF(C$257&lt;blyc_4enf_seuil4,4,IF(C$257&lt;blyc_4enf_seuil3,3,IF(C$257&lt;blyc_4enf_seuil2,2,IF(C$257&lt;blyc_1enf_seuil1,1,0))))))
+(C$97=5)*IF(C$257&lt;blyc_5enf_seuil6,6,IF(C$257&lt;blyc_5enf_seuil5,5,IF(C$257&lt;blyc_5enf_seuil4,4,IF(C$257&lt;blyc_5enf_seuil3,3,IF(C$257&lt;blyc_1enf_seuil2,2,IF(C$257&lt;blyc_1enf_seuil1,1,0))))))
+(C$97=6)*IF(C$257&lt;blyc_6enf_seuil6,6,IF(C$257&lt;blyc_6enf_seuil5,5,IF(C$257&lt;blyc_6enf_seuil4,4,IF(C$257&lt;blyc_6enf_seuil3,3,IF(C$257&lt;blyc_6enf_seuil2,2,IF(C$257&lt;blyc_1enf_seuil1,1,0))))))</f>
        <v>0</v>
      </c>
      <c r="D258" s="262">
        <f>(D$97=1)*IF(D$257&lt;blyc_1enf_seuil6,6,IF(D$257&lt;blyc_1enf_seuil5,5,IF(D$257&lt;blyc_1enf_seuil4,4,IF(D$257&lt;blyc_1enf_seuil3,3,IF(D$257&lt;blyc_1enf_seuil2,2,IF(D$257&lt;blyc_1enf_seuil1,1,0))))))
+(D$97=2)*IF(D$257&lt;blyc_2enf_seuil6,6,IF(D$257&lt;blyc_2enf_seuil5,5,IF(D$257&lt;blyc_2enf_seuil4,4,IF(D$257&lt;blyc_2enf_seuil3,3,IF(D$257&lt;blyc_2enf_seuil2,2,IF(D$257&lt;blyc_1enf_seuil1,1,0))))))
+(D$97=3)*IF(D$257&lt;blyc_3enf_seuil6,6,IF(D$257&lt;blyc_3enf_seuil5,5,IF(D$257&lt;blyc_3enf_seuil4,4,IF(D$257&lt;blyc_3enf_seuil3,3,IF(D$257&lt;blyc_3enf_seuil2,2,IF(D$257&lt;blyc_1enf_seuil1,1,0))))))
+(D$97=4)*IF(D$257&lt;blyc_4enf_seuil6,6,IF(D$257&lt;blyc_4enf_seuil5,5,IF(D$257&lt;blyc_4enf_seuil4,4,IF(D$257&lt;blyc_4enf_seuil3,3,IF(D$257&lt;blyc_4enf_seuil2,2,IF(D$257&lt;blyc_1enf_seuil1,1,0))))))
+(D$97=5)*IF(D$257&lt;blyc_5enf_seuil6,6,IF(D$257&lt;blyc_5enf_seuil5,5,IF(D$257&lt;blyc_5enf_seuil4,4,IF(D$257&lt;blyc_5enf_seuil3,3,IF(D$257&lt;blyc_1enf_seuil2,2,IF(D$257&lt;blyc_1enf_seuil1,1,0))))))
+(D$97=6)*IF(D$257&lt;blyc_6enf_seuil6,6,IF(D$257&lt;blyc_6enf_seuil5,5,IF(D$257&lt;blyc_6enf_seuil4,4,IF(D$257&lt;blyc_6enf_seuil3,3,IF(D$257&lt;blyc_6enf_seuil2,2,IF(D$257&lt;blyc_1enf_seuil1,1,0))))))</f>
        <v>0</v>
      </c>
      <c r="E258" s="262">
        <f>(E$97=1)*IF(E$257&lt;blyc_1enf_seuil6,6,IF(E$257&lt;blyc_1enf_seuil5,5,IF(E$257&lt;blyc_1enf_seuil4,4,IF(E$257&lt;blyc_1enf_seuil3,3,IF(E$257&lt;blyc_1enf_seuil2,2,IF(E$257&lt;blyc_1enf_seuil1,1,0))))))
+(E$97=2)*IF(E$257&lt;blyc_2enf_seuil6,6,IF(E$257&lt;blyc_2enf_seuil5,5,IF(E$257&lt;blyc_2enf_seuil4,4,IF(E$257&lt;blyc_2enf_seuil3,3,IF(E$257&lt;blyc_2enf_seuil2,2,IF(E$257&lt;blyc_1enf_seuil1,1,0))))))
+(E$97=3)*IF(E$257&lt;blyc_3enf_seuil6,6,IF(E$257&lt;blyc_3enf_seuil5,5,IF(E$257&lt;blyc_3enf_seuil4,4,IF(E$257&lt;blyc_3enf_seuil3,3,IF(E$257&lt;blyc_3enf_seuil2,2,IF(E$257&lt;blyc_1enf_seuil1,1,0))))))
+(E$97=4)*IF(E$257&lt;blyc_4enf_seuil6,6,IF(E$257&lt;blyc_4enf_seuil5,5,IF(E$257&lt;blyc_4enf_seuil4,4,IF(E$257&lt;blyc_4enf_seuil3,3,IF(E$257&lt;blyc_4enf_seuil2,2,IF(E$257&lt;blyc_1enf_seuil1,1,0))))))
+(E$97=5)*IF(E$257&lt;blyc_5enf_seuil6,6,IF(E$257&lt;blyc_5enf_seuil5,5,IF(E$257&lt;blyc_5enf_seuil4,4,IF(E$257&lt;blyc_5enf_seuil3,3,IF(E$257&lt;blyc_1enf_seuil2,2,IF(E$257&lt;blyc_1enf_seuil1,1,0))))))
+(E$97=6)*IF(E$257&lt;blyc_6enf_seuil6,6,IF(E$257&lt;blyc_6enf_seuil5,5,IF(E$257&lt;blyc_6enf_seuil4,4,IF(E$257&lt;blyc_6enf_seuil3,3,IF(E$257&lt;blyc_6enf_seuil2,2,IF(E$257&lt;blyc_1enf_seuil1,1,0))))))</f>
        <v>0</v>
      </c>
      <c r="F258" s="262">
        <f>(F$97=1)*IF(F$257&lt;blyc_1enf_seuil6,6,IF(F$257&lt;blyc_1enf_seuil5,5,IF(F$257&lt;blyc_1enf_seuil4,4,IF(F$257&lt;blyc_1enf_seuil3,3,IF(F$257&lt;blyc_1enf_seuil2,2,IF(F$257&lt;blyc_1enf_seuil1,1,0))))))
+(F$97=2)*IF(F$257&lt;blyc_2enf_seuil6,6,IF(F$257&lt;blyc_2enf_seuil5,5,IF(F$257&lt;blyc_2enf_seuil4,4,IF(F$257&lt;blyc_2enf_seuil3,3,IF(F$257&lt;blyc_2enf_seuil2,2,IF(F$257&lt;blyc_1enf_seuil1,1,0))))))
+(F$97=3)*IF(F$257&lt;blyc_3enf_seuil6,6,IF(F$257&lt;blyc_3enf_seuil5,5,IF(F$257&lt;blyc_3enf_seuil4,4,IF(F$257&lt;blyc_3enf_seuil3,3,IF(F$257&lt;blyc_3enf_seuil2,2,IF(F$257&lt;blyc_1enf_seuil1,1,0))))))
+(F$97=4)*IF(F$257&lt;blyc_4enf_seuil6,6,IF(F$257&lt;blyc_4enf_seuil5,5,IF(F$257&lt;blyc_4enf_seuil4,4,IF(F$257&lt;blyc_4enf_seuil3,3,IF(F$257&lt;blyc_4enf_seuil2,2,IF(F$257&lt;blyc_1enf_seuil1,1,0))))))
+(F$97=5)*IF(F$257&lt;blyc_5enf_seuil6,6,IF(F$257&lt;blyc_5enf_seuil5,5,IF(F$257&lt;blyc_5enf_seuil4,4,IF(F$257&lt;blyc_5enf_seuil3,3,IF(F$257&lt;blyc_1enf_seuil2,2,IF(F$257&lt;blyc_1enf_seuil1,1,0))))))
+(F$97=6)*IF(F$257&lt;blyc_6enf_seuil6,6,IF(F$257&lt;blyc_6enf_seuil5,5,IF(F$257&lt;blyc_6enf_seuil4,4,IF(F$257&lt;blyc_6enf_seuil3,3,IF(F$257&lt;blyc_6enf_seuil2,2,IF(F$257&lt;blyc_1enf_seuil1,1,0))))))</f>
        <v>0</v>
      </c>
      <c r="H258" s="262">
        <f>(H$97=1)*IF(H$257&lt;blyc_1enf_seuil6,6,IF(H$257&lt;blyc_1enf_seuil5,5,IF(H$257&lt;blyc_1enf_seuil4,4,IF(H$257&lt;blyc_1enf_seuil3,3,IF(H$257&lt;blyc_1enf_seuil2,2,IF(H$257&lt;blyc_1enf_seuil1,1,0))))))
+(H$97=2)*IF(H$257&lt;blyc_2enf_seuil6,6,IF(H$257&lt;blyc_2enf_seuil5,5,IF(H$257&lt;blyc_2enf_seuil4,4,IF(H$257&lt;blyc_2enf_seuil3,3,IF(H$257&lt;blyc_2enf_seuil2,2,IF(H$257&lt;blyc_1enf_seuil1,1,0))))))
+(H$97=3)*IF(H$257&lt;blyc_3enf_seuil6,6,IF(H$257&lt;blyc_3enf_seuil5,5,IF(H$257&lt;blyc_3enf_seuil4,4,IF(H$257&lt;blyc_3enf_seuil3,3,IF(H$257&lt;blyc_3enf_seuil2,2,IF(H$257&lt;blyc_1enf_seuil1,1,0))))))
+(H$97=4)*IF(H$257&lt;blyc_4enf_seuil6,6,IF(H$257&lt;blyc_4enf_seuil5,5,IF(H$257&lt;blyc_4enf_seuil4,4,IF(H$257&lt;blyc_4enf_seuil3,3,IF(H$257&lt;blyc_4enf_seuil2,2,IF(H$257&lt;blyc_1enf_seuil1,1,0))))))
+(H$97=5)*IF(H$257&lt;blyc_5enf_seuil6,6,IF(H$257&lt;blyc_5enf_seuil5,5,IF(H$257&lt;blyc_5enf_seuil4,4,IF(H$257&lt;blyc_5enf_seuil3,3,IF(H$257&lt;blyc_1enf_seuil2,2,IF(H$257&lt;blyc_1enf_seuil1,1,0))))))
+(H$97=6)*IF(H$257&lt;blyc_6enf_seuil6,6,IF(H$257&lt;blyc_6enf_seuil5,5,IF(H$257&lt;blyc_6enf_seuil4,4,IF(H$257&lt;blyc_6enf_seuil3,3,IF(H$257&lt;blyc_6enf_seuil2,2,IF(H$257&lt;blyc_1enf_seuil1,1,0))))))</f>
        <v>6</v>
      </c>
      <c r="I258" s="262">
        <f>(I$97=1)*IF(I$257&lt;blyc_1enf_seuil6,6,IF(I$257&lt;blyc_1enf_seuil5,5,IF(I$257&lt;blyc_1enf_seuil4,4,IF(I$257&lt;blyc_1enf_seuil3,3,IF(I$257&lt;blyc_1enf_seuil2,2,IF(I$257&lt;blyc_1enf_seuil1,1,0))))))
+(I$97=2)*IF(I$257&lt;blyc_2enf_seuil6,6,IF(I$257&lt;blyc_2enf_seuil5,5,IF(I$257&lt;blyc_2enf_seuil4,4,IF(I$257&lt;blyc_2enf_seuil3,3,IF(I$257&lt;blyc_2enf_seuil2,2,IF(I$257&lt;blyc_1enf_seuil1,1,0))))))
+(I$97=3)*IF(I$257&lt;blyc_3enf_seuil6,6,IF(I$257&lt;blyc_3enf_seuil5,5,IF(I$257&lt;blyc_3enf_seuil4,4,IF(I$257&lt;blyc_3enf_seuil3,3,IF(I$257&lt;blyc_3enf_seuil2,2,IF(I$257&lt;blyc_1enf_seuil1,1,0))))))
+(I$97=4)*IF(I$257&lt;blyc_4enf_seuil6,6,IF(I$257&lt;blyc_4enf_seuil5,5,IF(I$257&lt;blyc_4enf_seuil4,4,IF(I$257&lt;blyc_4enf_seuil3,3,IF(I$257&lt;blyc_4enf_seuil2,2,IF(I$257&lt;blyc_1enf_seuil1,1,0))))))
+(I$97=5)*IF(I$257&lt;blyc_5enf_seuil6,6,IF(I$257&lt;blyc_5enf_seuil5,5,IF(I$257&lt;blyc_5enf_seuil4,4,IF(I$257&lt;blyc_5enf_seuil3,3,IF(I$257&lt;blyc_1enf_seuil2,2,IF(I$257&lt;blyc_1enf_seuil1,1,0))))))
+(I$97=6)*IF(I$257&lt;blyc_6enf_seuil6,6,IF(I$257&lt;blyc_6enf_seuil5,5,IF(I$257&lt;blyc_6enf_seuil4,4,IF(I$257&lt;blyc_6enf_seuil3,3,IF(I$257&lt;blyc_6enf_seuil2,2,IF(I$257&lt;blyc_1enf_seuil1,1,0))))))</f>
        <v>5</v>
      </c>
      <c r="J258" s="262">
        <f>(J$97=1)*IF(J$257&lt;blyc_1enf_seuil6,6,IF(J$257&lt;blyc_1enf_seuil5,5,IF(J$257&lt;blyc_1enf_seuil4,4,IF(J$257&lt;blyc_1enf_seuil3,3,IF(J$257&lt;blyc_1enf_seuil2,2,IF(J$257&lt;blyc_1enf_seuil1,1,0))))))
+(J$97=2)*IF(J$257&lt;blyc_2enf_seuil6,6,IF(J$257&lt;blyc_2enf_seuil5,5,IF(J$257&lt;blyc_2enf_seuil4,4,IF(J$257&lt;blyc_2enf_seuil3,3,IF(J$257&lt;blyc_2enf_seuil2,2,IF(J$257&lt;blyc_1enf_seuil1,1,0))))))
+(J$97=3)*IF(J$257&lt;blyc_3enf_seuil6,6,IF(J$257&lt;blyc_3enf_seuil5,5,IF(J$257&lt;blyc_3enf_seuil4,4,IF(J$257&lt;blyc_3enf_seuil3,3,IF(J$257&lt;blyc_3enf_seuil2,2,IF(J$257&lt;blyc_1enf_seuil1,1,0))))))
+(J$97=4)*IF(J$257&lt;blyc_4enf_seuil6,6,IF(J$257&lt;blyc_4enf_seuil5,5,IF(J$257&lt;blyc_4enf_seuil4,4,IF(J$257&lt;blyc_4enf_seuil3,3,IF(J$257&lt;blyc_4enf_seuil2,2,IF(J$257&lt;blyc_1enf_seuil1,1,0))))))
+(J$97=5)*IF(J$257&lt;blyc_5enf_seuil6,6,IF(J$257&lt;blyc_5enf_seuil5,5,IF(J$257&lt;blyc_5enf_seuil4,4,IF(J$257&lt;blyc_5enf_seuil3,3,IF(J$257&lt;blyc_1enf_seuil2,2,IF(J$257&lt;blyc_1enf_seuil1,1,0))))))
+(J$97=6)*IF(J$257&lt;blyc_6enf_seuil6,6,IF(J$257&lt;blyc_6enf_seuil5,5,IF(J$257&lt;blyc_6enf_seuil4,4,IF(J$257&lt;blyc_6enf_seuil3,3,IF(J$257&lt;blyc_6enf_seuil2,2,IF(J$257&lt;blyc_1enf_seuil1,1,0))))))</f>
        <v>3</v>
      </c>
      <c r="K258" s="262">
        <f>(K$97=1)*IF(K$257&lt;blyc_1enf_seuil6,6,IF(K$257&lt;blyc_1enf_seuil5,5,IF(K$257&lt;blyc_1enf_seuil4,4,IF(K$257&lt;blyc_1enf_seuil3,3,IF(K$257&lt;blyc_1enf_seuil2,2,IF(K$257&lt;blyc_1enf_seuil1,1,0))))))
+(K$97=2)*IF(K$257&lt;blyc_2enf_seuil6,6,IF(K$257&lt;blyc_2enf_seuil5,5,IF(K$257&lt;blyc_2enf_seuil4,4,IF(K$257&lt;blyc_2enf_seuil3,3,IF(K$257&lt;blyc_2enf_seuil2,2,IF(K$257&lt;blyc_1enf_seuil1,1,0))))))
+(K$97=3)*IF(K$257&lt;blyc_3enf_seuil6,6,IF(K$257&lt;blyc_3enf_seuil5,5,IF(K$257&lt;blyc_3enf_seuil4,4,IF(K$257&lt;blyc_3enf_seuil3,3,IF(K$257&lt;blyc_3enf_seuil2,2,IF(K$257&lt;blyc_1enf_seuil1,1,0))))))
+(K$97=4)*IF(K$257&lt;blyc_4enf_seuil6,6,IF(K$257&lt;blyc_4enf_seuil5,5,IF(K$257&lt;blyc_4enf_seuil4,4,IF(K$257&lt;blyc_4enf_seuil3,3,IF(K$257&lt;blyc_4enf_seuil2,2,IF(K$257&lt;blyc_1enf_seuil1,1,0))))))
+(K$97=5)*IF(K$257&lt;blyc_5enf_seuil6,6,IF(K$257&lt;blyc_5enf_seuil5,5,IF(K$257&lt;blyc_5enf_seuil4,4,IF(K$257&lt;blyc_5enf_seuil3,3,IF(K$257&lt;blyc_1enf_seuil2,2,IF(K$257&lt;blyc_1enf_seuil1,1,0))))))
+(K$97=6)*IF(K$257&lt;blyc_6enf_seuil6,6,IF(K$257&lt;blyc_6enf_seuil5,5,IF(K$257&lt;blyc_6enf_seuil4,4,IF(K$257&lt;blyc_6enf_seuil3,3,IF(K$257&lt;blyc_6enf_seuil2,2,IF(K$257&lt;blyc_1enf_seuil1,1,0))))))</f>
        <v>1</v>
      </c>
      <c r="M258" s="262">
        <f>(M$97=1)*IF(M$257&lt;blyc_1enf_seuil6,6,IF(M$257&lt;blyc_1enf_seuil5,5,IF(M$257&lt;blyc_1enf_seuil4,4,IF(M$257&lt;blyc_1enf_seuil3,3,IF(M$257&lt;blyc_1enf_seuil2,2,IF(M$257&lt;blyc_1enf_seuil1,1,0))))))
+(M$97=2)*IF(M$257&lt;blyc_2enf_seuil6,6,IF(M$257&lt;blyc_2enf_seuil5,5,IF(M$257&lt;blyc_2enf_seuil4,4,IF(M$257&lt;blyc_2enf_seuil3,3,IF(M$257&lt;blyc_2enf_seuil2,2,IF(M$257&lt;blyc_1enf_seuil1,1,0))))))
+(M$97=3)*IF(M$257&lt;blyc_3enf_seuil6,6,IF(M$257&lt;blyc_3enf_seuil5,5,IF(M$257&lt;blyc_3enf_seuil4,4,IF(M$257&lt;blyc_3enf_seuil3,3,IF(M$257&lt;blyc_3enf_seuil2,2,IF(M$257&lt;blyc_1enf_seuil1,1,0))))))
+(M$97=4)*IF(M$257&lt;blyc_4enf_seuil6,6,IF(M$257&lt;blyc_4enf_seuil5,5,IF(M$257&lt;blyc_4enf_seuil4,4,IF(M$257&lt;blyc_4enf_seuil3,3,IF(M$257&lt;blyc_4enf_seuil2,2,IF(M$257&lt;blyc_1enf_seuil1,1,0))))))
+(M$97=5)*IF(M$257&lt;blyc_5enf_seuil6,6,IF(M$257&lt;blyc_5enf_seuil5,5,IF(M$257&lt;blyc_5enf_seuil4,4,IF(M$257&lt;blyc_5enf_seuil3,3,IF(M$257&lt;blyc_1enf_seuil2,2,IF(M$257&lt;blyc_1enf_seuil1,1,0))))))
+(M$97=6)*IF(M$257&lt;blyc_6enf_seuil6,6,IF(M$257&lt;blyc_6enf_seuil5,5,IF(M$257&lt;blyc_6enf_seuil4,4,IF(M$257&lt;blyc_6enf_seuil3,3,IF(M$257&lt;blyc_6enf_seuil2,2,IF(M$257&lt;blyc_1enf_seuil1,1,0))))))</f>
        <v>6</v>
      </c>
      <c r="N258" s="262">
        <f>(N$97=1)*IF(N$257&lt;blyc_1enf_seuil6,6,IF(N$257&lt;blyc_1enf_seuil5,5,IF(N$257&lt;blyc_1enf_seuil4,4,IF(N$257&lt;blyc_1enf_seuil3,3,IF(N$257&lt;blyc_1enf_seuil2,2,IF(N$257&lt;blyc_1enf_seuil1,1,0))))))
+(N$97=2)*IF(N$257&lt;blyc_2enf_seuil6,6,IF(N$257&lt;blyc_2enf_seuil5,5,IF(N$257&lt;blyc_2enf_seuil4,4,IF(N$257&lt;blyc_2enf_seuil3,3,IF(N$257&lt;blyc_2enf_seuil2,2,IF(N$257&lt;blyc_1enf_seuil1,1,0))))))
+(N$97=3)*IF(N$257&lt;blyc_3enf_seuil6,6,IF(N$257&lt;blyc_3enf_seuil5,5,IF(N$257&lt;blyc_3enf_seuil4,4,IF(N$257&lt;blyc_3enf_seuil3,3,IF(N$257&lt;blyc_3enf_seuil2,2,IF(N$257&lt;blyc_1enf_seuil1,1,0))))))
+(N$97=4)*IF(N$257&lt;blyc_4enf_seuil6,6,IF(N$257&lt;blyc_4enf_seuil5,5,IF(N$257&lt;blyc_4enf_seuil4,4,IF(N$257&lt;blyc_4enf_seuil3,3,IF(N$257&lt;blyc_4enf_seuil2,2,IF(N$257&lt;blyc_1enf_seuil1,1,0))))))
+(N$97=5)*IF(N$257&lt;blyc_5enf_seuil6,6,IF(N$257&lt;blyc_5enf_seuil5,5,IF(N$257&lt;blyc_5enf_seuil4,4,IF(N$257&lt;blyc_5enf_seuil3,3,IF(N$257&lt;blyc_1enf_seuil2,2,IF(N$257&lt;blyc_1enf_seuil1,1,0))))))
+(N$97=6)*IF(N$257&lt;blyc_6enf_seuil6,6,IF(N$257&lt;blyc_6enf_seuil5,5,IF(N$257&lt;blyc_6enf_seuil4,4,IF(N$257&lt;blyc_6enf_seuil3,3,IF(N$257&lt;blyc_6enf_seuil2,2,IF(N$257&lt;blyc_1enf_seuil1,1,0))))))</f>
        <v>5</v>
      </c>
      <c r="O258" s="262">
        <f>(O$97=1)*IF(O$257&lt;blyc_1enf_seuil6,6,IF(O$257&lt;blyc_1enf_seuil5,5,IF(O$257&lt;blyc_1enf_seuil4,4,IF(O$257&lt;blyc_1enf_seuil3,3,IF(O$257&lt;blyc_1enf_seuil2,2,IF(O$257&lt;blyc_1enf_seuil1,1,0))))))
+(O$97=2)*IF(O$257&lt;blyc_2enf_seuil6,6,IF(O$257&lt;blyc_2enf_seuil5,5,IF(O$257&lt;blyc_2enf_seuil4,4,IF(O$257&lt;blyc_2enf_seuil3,3,IF(O$257&lt;blyc_2enf_seuil2,2,IF(O$257&lt;blyc_1enf_seuil1,1,0))))))
+(O$97=3)*IF(O$257&lt;blyc_3enf_seuil6,6,IF(O$257&lt;blyc_3enf_seuil5,5,IF(O$257&lt;blyc_3enf_seuil4,4,IF(O$257&lt;blyc_3enf_seuil3,3,IF(O$257&lt;blyc_3enf_seuil2,2,IF(O$257&lt;blyc_1enf_seuil1,1,0))))))
+(O$97=4)*IF(O$257&lt;blyc_4enf_seuil6,6,IF(O$257&lt;blyc_4enf_seuil5,5,IF(O$257&lt;blyc_4enf_seuil4,4,IF(O$257&lt;blyc_4enf_seuil3,3,IF(O$257&lt;blyc_4enf_seuil2,2,IF(O$257&lt;blyc_1enf_seuil1,1,0))))))
+(O$97=5)*IF(O$257&lt;blyc_5enf_seuil6,6,IF(O$257&lt;blyc_5enf_seuil5,5,IF(O$257&lt;blyc_5enf_seuil4,4,IF(O$257&lt;blyc_5enf_seuil3,3,IF(O$257&lt;blyc_1enf_seuil2,2,IF(O$257&lt;blyc_1enf_seuil1,1,0))))))
+(O$97=6)*IF(O$257&lt;blyc_6enf_seuil6,6,IF(O$257&lt;blyc_6enf_seuil5,5,IF(O$257&lt;blyc_6enf_seuil4,4,IF(O$257&lt;blyc_6enf_seuil3,3,IF(O$257&lt;blyc_6enf_seuil2,2,IF(O$257&lt;blyc_1enf_seuil1,1,0))))))</f>
        <v>3</v>
      </c>
      <c r="P258" s="262">
        <f>(P$97=1)*IF(P$257&lt;blyc_1enf_seuil6,6,IF(P$257&lt;blyc_1enf_seuil5,5,IF(P$257&lt;blyc_1enf_seuil4,4,IF(P$257&lt;blyc_1enf_seuil3,3,IF(P$257&lt;blyc_1enf_seuil2,2,IF(P$257&lt;blyc_1enf_seuil1,1,0))))))
+(P$97=2)*IF(P$257&lt;blyc_2enf_seuil6,6,IF(P$257&lt;blyc_2enf_seuil5,5,IF(P$257&lt;blyc_2enf_seuil4,4,IF(P$257&lt;blyc_2enf_seuil3,3,IF(P$257&lt;blyc_2enf_seuil2,2,IF(P$257&lt;blyc_1enf_seuil1,1,0))))))
+(P$97=3)*IF(P$257&lt;blyc_3enf_seuil6,6,IF(P$257&lt;blyc_3enf_seuil5,5,IF(P$257&lt;blyc_3enf_seuil4,4,IF(P$257&lt;blyc_3enf_seuil3,3,IF(P$257&lt;blyc_3enf_seuil2,2,IF(P$257&lt;blyc_1enf_seuil1,1,0))))))
+(P$97=4)*IF(P$257&lt;blyc_4enf_seuil6,6,IF(P$257&lt;blyc_4enf_seuil5,5,IF(P$257&lt;blyc_4enf_seuil4,4,IF(P$257&lt;blyc_4enf_seuil3,3,IF(P$257&lt;blyc_4enf_seuil2,2,IF(P$257&lt;blyc_1enf_seuil1,1,0))))))
+(P$97=5)*IF(P$257&lt;blyc_5enf_seuil6,6,IF(P$257&lt;blyc_5enf_seuil5,5,IF(P$257&lt;blyc_5enf_seuil4,4,IF(P$257&lt;blyc_5enf_seuil3,3,IF(P$257&lt;blyc_1enf_seuil2,2,IF(P$257&lt;blyc_1enf_seuil1,1,0))))))
+(P$97=6)*IF(P$257&lt;blyc_6enf_seuil6,6,IF(P$257&lt;blyc_6enf_seuil5,5,IF(P$257&lt;blyc_6enf_seuil4,4,IF(P$257&lt;blyc_6enf_seuil3,3,IF(P$257&lt;blyc_6enf_seuil2,2,IF(P$257&lt;blyc_1enf_seuil1,1,0))))))</f>
        <v>1</v>
      </c>
      <c r="R258" s="262">
        <f>(R$97=1)*IF(R$257&lt;blyc_1enf_seuil6,6,IF(R$257&lt;blyc_1enf_seuil5,5,IF(R$257&lt;blyc_1enf_seuil4,4,IF(R$257&lt;blyc_1enf_seuil3,3,IF(R$257&lt;blyc_1enf_seuil2,2,IF(R$257&lt;blyc_1enf_seuil1,1,0))))))
+(R$97=2)*IF(R$257&lt;blyc_2enf_seuil6,6,IF(R$257&lt;blyc_2enf_seuil5,5,IF(R$257&lt;blyc_2enf_seuil4,4,IF(R$257&lt;blyc_2enf_seuil3,3,IF(R$257&lt;blyc_2enf_seuil2,2,IF(R$257&lt;blyc_1enf_seuil1,1,0))))))
+(R$97=3)*IF(R$257&lt;blyc_3enf_seuil6,6,IF(R$257&lt;blyc_3enf_seuil5,5,IF(R$257&lt;blyc_3enf_seuil4,4,IF(R$257&lt;blyc_3enf_seuil3,3,IF(R$257&lt;blyc_3enf_seuil2,2,IF(R$257&lt;blyc_1enf_seuil1,1,0))))))
+(R$97=4)*IF(R$257&lt;blyc_4enf_seuil6,6,IF(R$257&lt;blyc_4enf_seuil5,5,IF(R$257&lt;blyc_4enf_seuil4,4,IF(R$257&lt;blyc_4enf_seuil3,3,IF(R$257&lt;blyc_4enf_seuil2,2,IF(R$257&lt;blyc_1enf_seuil1,1,0))))))
+(R$97=5)*IF(R$257&lt;blyc_5enf_seuil6,6,IF(R$257&lt;blyc_5enf_seuil5,5,IF(R$257&lt;blyc_5enf_seuil4,4,IF(R$257&lt;blyc_5enf_seuil3,3,IF(R$257&lt;blyc_1enf_seuil2,2,IF(R$257&lt;blyc_1enf_seuil1,1,0))))))
+(R$97=6)*IF(R$257&lt;blyc_6enf_seuil6,6,IF(R$257&lt;blyc_6enf_seuil5,5,IF(R$257&lt;blyc_6enf_seuil4,4,IF(R$257&lt;blyc_6enf_seuil3,3,IF(R$257&lt;blyc_6enf_seuil2,2,IF(R$257&lt;blyc_1enf_seuil1,1,0))))))</f>
        <v>6</v>
      </c>
      <c r="S258" s="262">
        <f>(S$97=1)*IF(S$257&lt;blyc_1enf_seuil6,6,IF(S$257&lt;blyc_1enf_seuil5,5,IF(S$257&lt;blyc_1enf_seuil4,4,IF(S$257&lt;blyc_1enf_seuil3,3,IF(S$257&lt;blyc_1enf_seuil2,2,IF(S$257&lt;blyc_1enf_seuil1,1,0))))))
+(S$97=2)*IF(S$257&lt;blyc_2enf_seuil6,6,IF(S$257&lt;blyc_2enf_seuil5,5,IF(S$257&lt;blyc_2enf_seuil4,4,IF(S$257&lt;blyc_2enf_seuil3,3,IF(S$257&lt;blyc_2enf_seuil2,2,IF(S$257&lt;blyc_1enf_seuil1,1,0))))))
+(S$97=3)*IF(S$257&lt;blyc_3enf_seuil6,6,IF(S$257&lt;blyc_3enf_seuil5,5,IF(S$257&lt;blyc_3enf_seuil4,4,IF(S$257&lt;blyc_3enf_seuil3,3,IF(S$257&lt;blyc_3enf_seuil2,2,IF(S$257&lt;blyc_1enf_seuil1,1,0))))))
+(S$97=4)*IF(S$257&lt;blyc_4enf_seuil6,6,IF(S$257&lt;blyc_4enf_seuil5,5,IF(S$257&lt;blyc_4enf_seuil4,4,IF(S$257&lt;blyc_4enf_seuil3,3,IF(S$257&lt;blyc_4enf_seuil2,2,IF(S$257&lt;blyc_1enf_seuil1,1,0))))))
+(S$97=5)*IF(S$257&lt;blyc_5enf_seuil6,6,IF(S$257&lt;blyc_5enf_seuil5,5,IF(S$257&lt;blyc_5enf_seuil4,4,IF(S$257&lt;blyc_5enf_seuil3,3,IF(S$257&lt;blyc_1enf_seuil2,2,IF(S$257&lt;blyc_1enf_seuil1,1,0))))))
+(S$97=6)*IF(S$257&lt;blyc_6enf_seuil6,6,IF(S$257&lt;blyc_6enf_seuil5,5,IF(S$257&lt;blyc_6enf_seuil4,4,IF(S$257&lt;blyc_6enf_seuil3,3,IF(S$257&lt;blyc_6enf_seuil2,2,IF(S$257&lt;blyc_1enf_seuil1,1,0))))))</f>
        <v>5</v>
      </c>
      <c r="T258" s="262">
        <f>(T$97=1)*IF(T$257&lt;blyc_1enf_seuil6,6,IF(T$257&lt;blyc_1enf_seuil5,5,IF(T$257&lt;blyc_1enf_seuil4,4,IF(T$257&lt;blyc_1enf_seuil3,3,IF(T$257&lt;blyc_1enf_seuil2,2,IF(T$257&lt;blyc_1enf_seuil1,1,0))))))
+(T$97=2)*IF(T$257&lt;blyc_2enf_seuil6,6,IF(T$257&lt;blyc_2enf_seuil5,5,IF(T$257&lt;blyc_2enf_seuil4,4,IF(T$257&lt;blyc_2enf_seuil3,3,IF(T$257&lt;blyc_2enf_seuil2,2,IF(T$257&lt;blyc_1enf_seuil1,1,0))))))
+(T$97=3)*IF(T$257&lt;blyc_3enf_seuil6,6,IF(T$257&lt;blyc_3enf_seuil5,5,IF(T$257&lt;blyc_3enf_seuil4,4,IF(T$257&lt;blyc_3enf_seuil3,3,IF(T$257&lt;blyc_3enf_seuil2,2,IF(T$257&lt;blyc_1enf_seuil1,1,0))))))
+(T$97=4)*IF(T$257&lt;blyc_4enf_seuil6,6,IF(T$257&lt;blyc_4enf_seuil5,5,IF(T$257&lt;blyc_4enf_seuil4,4,IF(T$257&lt;blyc_4enf_seuil3,3,IF(T$257&lt;blyc_4enf_seuil2,2,IF(T$257&lt;blyc_1enf_seuil1,1,0))))))
+(T$97=5)*IF(T$257&lt;blyc_5enf_seuil6,6,IF(T$257&lt;blyc_5enf_seuil5,5,IF(T$257&lt;blyc_5enf_seuil4,4,IF(T$257&lt;blyc_5enf_seuil3,3,IF(T$257&lt;blyc_1enf_seuil2,2,IF(T$257&lt;blyc_1enf_seuil1,1,0))))))
+(T$97=6)*IF(T$257&lt;blyc_6enf_seuil6,6,IF(T$257&lt;blyc_6enf_seuil5,5,IF(T$257&lt;blyc_6enf_seuil4,4,IF(T$257&lt;blyc_6enf_seuil3,3,IF(T$257&lt;blyc_6enf_seuil2,2,IF(T$257&lt;blyc_1enf_seuil1,1,0))))))</f>
        <v>4</v>
      </c>
      <c r="U258" s="262">
        <f>(U$97=1)*IF(U$257&lt;blyc_1enf_seuil6,6,IF(U$257&lt;blyc_1enf_seuil5,5,IF(U$257&lt;blyc_1enf_seuil4,4,IF(U$257&lt;blyc_1enf_seuil3,3,IF(U$257&lt;blyc_1enf_seuil2,2,IF(U$257&lt;blyc_1enf_seuil1,1,0))))))
+(U$97=2)*IF(U$257&lt;blyc_2enf_seuil6,6,IF(U$257&lt;blyc_2enf_seuil5,5,IF(U$257&lt;blyc_2enf_seuil4,4,IF(U$257&lt;blyc_2enf_seuil3,3,IF(U$257&lt;blyc_2enf_seuil2,2,IF(U$257&lt;blyc_1enf_seuil1,1,0))))))
+(U$97=3)*IF(U$257&lt;blyc_3enf_seuil6,6,IF(U$257&lt;blyc_3enf_seuil5,5,IF(U$257&lt;blyc_3enf_seuil4,4,IF(U$257&lt;blyc_3enf_seuil3,3,IF(U$257&lt;blyc_3enf_seuil2,2,IF(U$257&lt;blyc_1enf_seuil1,1,0))))))
+(U$97=4)*IF(U$257&lt;blyc_4enf_seuil6,6,IF(U$257&lt;blyc_4enf_seuil5,5,IF(U$257&lt;blyc_4enf_seuil4,4,IF(U$257&lt;blyc_4enf_seuil3,3,IF(U$257&lt;blyc_4enf_seuil2,2,IF(U$257&lt;blyc_1enf_seuil1,1,0))))))
+(U$97=5)*IF(U$257&lt;blyc_5enf_seuil6,6,IF(U$257&lt;blyc_5enf_seuil5,5,IF(U$257&lt;blyc_5enf_seuil4,4,IF(U$257&lt;blyc_5enf_seuil3,3,IF(U$257&lt;blyc_1enf_seuil2,2,IF(U$257&lt;blyc_1enf_seuil1,1,0))))))
+(U$97=6)*IF(U$257&lt;blyc_6enf_seuil6,6,IF(U$257&lt;blyc_6enf_seuil5,5,IF(U$257&lt;blyc_6enf_seuil4,4,IF(U$257&lt;blyc_6enf_seuil3,3,IF(U$257&lt;blyc_6enf_seuil2,2,IF(U$257&lt;blyc_1enf_seuil1,1,0))))))</f>
        <v>2</v>
      </c>
    </row>
    <row r="259" spans="1:21" ht="13" hidden="1" thickBot="1" x14ac:dyDescent="0.3">
      <c r="A259" s="279" t="s">
        <v>320</v>
      </c>
      <c r="B259" s="277"/>
      <c r="C259" s="266">
        <f>(C258=1)*blyc_montant_ech1+(C258=2)*blyc_montant_ech2+(C258=3)*blyc_montant_ech3+(C258=4)*blyc_montant_ech4+(C258=5)*blyc_montant_ech5+(C258=6)*blyc_montant_ech6</f>
        <v>0</v>
      </c>
      <c r="D259" s="266">
        <f>(D258=1)*blyc_montant_ech1+(D258=2)*blyc_montant_ech2+(D258=3)*blyc_montant_ech3+(D258=4)*blyc_montant_ech4+(D258=5)*blyc_montant_ech5+(D258=6)*blyc_montant_ech6</f>
        <v>0</v>
      </c>
      <c r="E259" s="266">
        <f>(E258=1)*blyc_montant_ech1+(E258=2)*blyc_montant_ech2+(E258=3)*blyc_montant_ech3+(E258=4)*blyc_montant_ech4+(E258=5)*blyc_montant_ech5+(E258=6)*blyc_montant_ech6</f>
        <v>0</v>
      </c>
      <c r="F259" s="266">
        <f>(F258=1)*blyc_montant_ech1+(F258=2)*blyc_montant_ech2+(F258=3)*blyc_montant_ech3+(F258=4)*blyc_montant_ech4+(F258=5)*blyc_montant_ech5+(F258=6)*blyc_montant_ech6</f>
        <v>0</v>
      </c>
      <c r="H259" s="266">
        <f>(H258=1)*blyc_montant_ech1+(H258=2)*blyc_montant_ech2+(H258=3)*blyc_montant_ech3+(H258=4)*blyc_montant_ech4+(H258=5)*blyc_montant_ech5+(H258=6)*blyc_montant_ech6</f>
        <v>1008</v>
      </c>
      <c r="I259" s="266">
        <f>(I258=1)*blyc_montant_ech1+(I258=2)*blyc_montant_ech2+(I258=3)*blyc_montant_ech3+(I258=4)*blyc_montant_ech4+(I258=5)*blyc_montant_ech5+(I258=6)*blyc_montant_ech6</f>
        <v>897</v>
      </c>
      <c r="J259" s="266">
        <f>(J258=1)*blyc_montant_ech1+(J258=2)*blyc_montant_ech2+(J258=3)*blyc_montant_ech3+(J258=4)*blyc_montant_ech4+(J258=5)*blyc_montant_ech5+(J258=6)*blyc_montant_ech6</f>
        <v>687</v>
      </c>
      <c r="K259" s="266">
        <f>(K258=1)*blyc_montant_ech1+(K258=2)*blyc_montant_ech2+(K258=3)*blyc_montant_ech3+(K258=4)*blyc_montant_ech4+(K258=5)*blyc_montant_ech5+(K258=6)*blyc_montant_ech6</f>
        <v>474</v>
      </c>
      <c r="M259" s="266">
        <f>(M258=1)*blyc_montant_ech1+(M258=2)*blyc_montant_ech2+(M258=3)*blyc_montant_ech3+(M258=4)*blyc_montant_ech4+(M258=5)*blyc_montant_ech5+(M258=6)*blyc_montant_ech6</f>
        <v>1008</v>
      </c>
      <c r="N259" s="266">
        <f>(N258=1)*blyc_montant_ech1+(N258=2)*blyc_montant_ech2+(N258=3)*blyc_montant_ech3+(N258=4)*blyc_montant_ech4+(N258=5)*blyc_montant_ech5+(N258=6)*blyc_montant_ech6</f>
        <v>897</v>
      </c>
      <c r="O259" s="266">
        <f>(O258=1)*blyc_montant_ech1+(O258=2)*blyc_montant_ech2+(O258=3)*blyc_montant_ech3+(O258=4)*blyc_montant_ech4+(O258=5)*blyc_montant_ech5+(O258=6)*blyc_montant_ech6</f>
        <v>687</v>
      </c>
      <c r="P259" s="266">
        <f>(P258=1)*blyc_montant_ech1+(P258=2)*blyc_montant_ech2+(P258=3)*blyc_montant_ech3+(P258=4)*blyc_montant_ech4+(P258=5)*blyc_montant_ech5+(P258=6)*blyc_montant_ech6</f>
        <v>474</v>
      </c>
      <c r="R259" s="266">
        <f>(R258=1)*blyc_montant_ech1+(R258=2)*blyc_montant_ech2+(R258=3)*blyc_montant_ech3+(R258=4)*blyc_montant_ech4+(R258=5)*blyc_montant_ech5+(R258=6)*blyc_montant_ech6</f>
        <v>1008</v>
      </c>
      <c r="S259" s="266">
        <f>(S258=1)*blyc_montant_ech1+(S258=2)*blyc_montant_ech2+(S258=3)*blyc_montant_ech3+(S258=4)*blyc_montant_ech4+(S258=5)*blyc_montant_ech5+(S258=6)*blyc_montant_ech6</f>
        <v>897</v>
      </c>
      <c r="T259" s="266">
        <f>(T258=1)*blyc_montant_ech1+(T258=2)*blyc_montant_ech2+(T258=3)*blyc_montant_ech3+(T258=4)*blyc_montant_ech4+(T258=5)*blyc_montant_ech5+(T258=6)*blyc_montant_ech6</f>
        <v>792</v>
      </c>
      <c r="U259" s="266">
        <f>(U258=1)*blyc_montant_ech1+(U258=2)*blyc_montant_ech2+(U258=3)*blyc_montant_ech3+(U258=4)*blyc_montant_ech4+(U258=5)*blyc_montant_ech5+(U258=6)*blyc_montant_ech6</f>
        <v>582</v>
      </c>
    </row>
    <row r="260" spans="1:21" hidden="1" x14ac:dyDescent="0.25">
      <c r="A260" s="4"/>
      <c r="B260" s="260"/>
      <c r="C260" s="184"/>
      <c r="D260" s="184"/>
      <c r="E260" s="184"/>
      <c r="F260" s="184"/>
      <c r="H260" s="184"/>
      <c r="I260" s="184"/>
      <c r="J260" s="184"/>
      <c r="K260" s="184"/>
      <c r="M260" s="184"/>
      <c r="N260" s="184"/>
      <c r="O260" s="184"/>
      <c r="P260" s="184"/>
      <c r="R260" s="184"/>
      <c r="S260" s="184"/>
      <c r="T260" s="184"/>
      <c r="U260" s="184"/>
    </row>
    <row r="261" spans="1:21" ht="13.5" hidden="1" thickBot="1" x14ac:dyDescent="0.35">
      <c r="A261" s="295" t="s">
        <v>518</v>
      </c>
      <c r="C261" s="201"/>
      <c r="D261" s="201"/>
      <c r="E261" s="201"/>
      <c r="F261" s="201"/>
      <c r="H261" s="201"/>
      <c r="I261" s="201"/>
      <c r="J261" s="201"/>
      <c r="K261" s="201"/>
      <c r="M261" s="201"/>
      <c r="N261" s="201"/>
      <c r="O261" s="201"/>
      <c r="P261" s="201"/>
      <c r="R261" s="201"/>
      <c r="S261" s="201"/>
      <c r="T261" s="201"/>
      <c r="U261" s="201"/>
    </row>
    <row r="262" spans="1:21" ht="13.5" hidden="1" thickBot="1" x14ac:dyDescent="0.35">
      <c r="A262" s="286" t="s">
        <v>331</v>
      </c>
      <c r="B262" s="186"/>
      <c r="C262" s="347">
        <f>C257</f>
        <v>0</v>
      </c>
      <c r="D262" s="347">
        <f t="shared" ref="D262:F262" si="170">D257</f>
        <v>7105.035193964849</v>
      </c>
      <c r="E262" s="347">
        <f t="shared" si="170"/>
        <v>14210.070387929698</v>
      </c>
      <c r="F262" s="347">
        <f t="shared" si="170"/>
        <v>21315.10558189455</v>
      </c>
      <c r="H262" s="347">
        <f>H257</f>
        <v>0</v>
      </c>
      <c r="I262" s="347">
        <f t="shared" ref="I262:K262" si="171">I257</f>
        <v>7105.035193964849</v>
      </c>
      <c r="J262" s="347">
        <f t="shared" si="171"/>
        <v>14210.070387929698</v>
      </c>
      <c r="K262" s="347">
        <f t="shared" si="171"/>
        <v>21315.10558189455</v>
      </c>
      <c r="M262" s="347">
        <f>M257</f>
        <v>0</v>
      </c>
      <c r="N262" s="347">
        <f t="shared" ref="N262:P262" si="172">N257</f>
        <v>7105.035193964849</v>
      </c>
      <c r="O262" s="347">
        <f t="shared" si="172"/>
        <v>14210.070387929698</v>
      </c>
      <c r="P262" s="347">
        <f t="shared" si="172"/>
        <v>21315.10558189455</v>
      </c>
      <c r="R262" s="347">
        <f>R257</f>
        <v>0</v>
      </c>
      <c r="S262" s="347">
        <f t="shared" ref="S262:U262" si="173">S257</f>
        <v>7105.035193964849</v>
      </c>
      <c r="T262" s="347">
        <f t="shared" si="173"/>
        <v>14210.070387929698</v>
      </c>
      <c r="U262" s="347">
        <f t="shared" si="173"/>
        <v>21315.10558189455</v>
      </c>
    </row>
    <row r="263" spans="1:21" hidden="1" x14ac:dyDescent="0.25">
      <c r="A263" s="275" t="s">
        <v>367</v>
      </c>
      <c r="C263" s="262">
        <f>MAX(0,C97-1)</f>
        <v>0</v>
      </c>
      <c r="D263" s="262">
        <f t="shared" ref="D263:F263" si="174">MAX(0,D97-1)</f>
        <v>0</v>
      </c>
      <c r="E263" s="262">
        <f t="shared" si="174"/>
        <v>0</v>
      </c>
      <c r="F263" s="262">
        <f t="shared" si="174"/>
        <v>0</v>
      </c>
      <c r="H263" s="262">
        <f>MAX(0,H97-1)</f>
        <v>0</v>
      </c>
      <c r="I263" s="262">
        <f t="shared" ref="I263:K263" si="175">MAX(0,I97-1)</f>
        <v>0</v>
      </c>
      <c r="J263" s="262">
        <f t="shared" si="175"/>
        <v>0</v>
      </c>
      <c r="K263" s="262">
        <f t="shared" si="175"/>
        <v>0</v>
      </c>
      <c r="M263" s="262">
        <f>MAX(0,M97-1)</f>
        <v>1</v>
      </c>
      <c r="N263" s="262">
        <f t="shared" ref="N263:P263" si="176">MAX(0,N97-1)</f>
        <v>1</v>
      </c>
      <c r="O263" s="262">
        <f t="shared" si="176"/>
        <v>1</v>
      </c>
      <c r="P263" s="262">
        <f t="shared" si="176"/>
        <v>1</v>
      </c>
      <c r="R263" s="262">
        <f>MAX(0,R97-1)</f>
        <v>2</v>
      </c>
      <c r="S263" s="262">
        <f t="shared" ref="S263:U263" si="177">MAX(0,S97-1)</f>
        <v>2</v>
      </c>
      <c r="T263" s="262">
        <f t="shared" si="177"/>
        <v>2</v>
      </c>
      <c r="U263" s="262">
        <f t="shared" si="177"/>
        <v>2</v>
      </c>
    </row>
    <row r="264" spans="1:21" hidden="1" x14ac:dyDescent="0.25">
      <c r="A264" s="275" t="s">
        <v>321</v>
      </c>
      <c r="B264" s="185"/>
      <c r="C264" s="262">
        <f>(C$263=0)*IF(C$262&lt;bs_pc0_seuil1,7,IF(C$262&lt;bs_pc0_seuil2,6,IF(C$262&lt;bs_pc0_seuil3,5,IF(C$262&lt;bs_pc0_seuil4,4,IF(C$262&lt;bs_pc0_seuil5,3,IF(C$262&lt;bs_pc0_seuil6,2,IF(C$262&lt;bs_pc0_seuil7,1,IF(C$262&lt;bs_pc0_seuil8,0.5,0))))))))
+(C$263=1)*IF(C$262&lt;bs_pc1_seuil1,7,IF(C$262&lt;bs_pc1_seuil2,6,IF(C$262&lt;bs_pc1_seuil3,5,IF(C$262&lt;bs_pc1_seuil4,4,IF(C$262&lt;bs_pc1_seuil5,3,IF(C$262&lt;bs_pc1_seuil6,2,IF(C$262&lt;bs_pc1_seuil7,1,IF(C$262&lt;bs_pc1_seuil8,0.5,0))))))))
+(C$263=2)*IF(C$262&lt;bs_pc2_seuil1,7,IF(C$262&lt;bs_pc2_seuil2,6,IF(C$262&lt;bs_pc2_seuil3,5,IF(C$262&lt;bs_pc2_seuil4,4,IF(C$262&lt;bs_pc2_seuil5,3,IF(C$262&lt;bs_pc2_seuil6,2,IF(C$262&lt;bs_pc2_seuil7,1,IF(C$262&lt;bs_pc2_seuil8,0.5,0))))))))
+(C$263=3)*IF(C$262&lt;bs_pc3_seuil1,7,IF(C$262&lt;bs_pc3_seuil2,6,IF(C$262&lt;bs_pc3_seuil3,5,IF(C$262&lt;bs_pc3_seuil4,4,IF(C$262&lt;bs_pc3_seuil5,3,IF(C$262&lt;bs_pc3_seuil6,2,IF(C$262&lt;bs_pc3_seuil7,1,IF(C$262&lt;bs_pc3_seuil8,0.5,0))))))))
+(C$263=4)*IF(C$262&lt;bs_pc4_seuil1,7,IF(C$262&lt;bs_pc4_seuil2,6,IF(C$262&lt;bs_pc4_seuil3,5,IF(C$262&lt;bs_pc4_seuil4,4,IF(C$262&lt;bs_pc4_seuil5,3,IF(C$262&lt;bs_pc4_seuil6,2,IF(C$262&lt;bs_pc4_seuil7,1,IF(C$262&lt;bs_pc4_seuil8,0.5,0))))))))
+(C$263=5)*IF(C$262&lt;bs_pc5_seuil1,7,IF(C$262&lt;bs_pc5_seuil2,6,IF(C$262&lt;bs_pc5_seuil3,5,IF(C$262&lt;bs_pc5_seuil4,4,IF(C$262&lt;bs_pc5_seuil5,3,IF(C$262&lt;bs_pc5_seuil6,2,IF(C$262&lt;bs_pc5_seuil7,1,IF(C$262&lt;bs_pc5_seuil8,0.5,0))))))))
+(C$263=6)*IF(C$262&lt;bs_pc6_seuil1,7,IF(C$262&lt;bs_pc6_seuil2,6,IF(C$262&lt;bs_pc6_seuil3,5,IF(C$262&lt;bs_pc6_seuil4,4,IF(C$262&lt;bs_pc6_seuil5,3,IF(C$262&lt;bs_pc6_seuil6,2,IF(C$262&lt;bs_pc6_seuil7,1,IF(C$262&lt;bs_pc6_seuil8,0.5,0))))))))
+(C$263=7)*IF(C$262&lt;bs_pc7_seuil1,7,IF(C$262&lt;bs_pc7_seuil2,6,IF(C$262&lt;bs_pc7_seuil3,5,IF(C$262&lt;bs_pc7_seuil4,4,IF(C$262&lt;bs_pc7_seuil5,3,IF(C$262&lt;bs_pc7_seuil6,2,IF(C$262&lt;bs_pc7_seuil7,1,IF(C$262&lt;bs_pc7_seuil8,0.5,0))))))))
+(C$263=8)*IF(C$262&lt;bs_pc8_seuil1,7,IF(C$262&lt;bs_pc8_seuil2,6,IF(C$262&lt;bs_pc8_seuil3,5,IF(C$262&lt;bs_pc8_seuil4,4,IF(C$262&lt;bs_pc8_seuil5,3,IF(C$262&lt;bs_pc8_seuil6,2,IF(C$262&lt;bs_pc8_seuil7,1,IF(C$262&lt;bs_pc8_seuil8,0.5,0))))))))
+(C$263=9)*IF(C$262&lt;bs_pc9_seuil1,7,IF(C$262&lt;bs_pc9_seuil2,6,IF(C$262&lt;bs_pc9_seuil3,5,IF(C$262&lt;bs_pc9_seuil4,4,IF(C$262&lt;bs_pc9_seuil5,3,IF(C$262&lt;bs_pc9_seuil6,2,IF(C$262&lt;bs_pc9_seuil7,1,IF(C$262&lt;bs_pc9_seuil8,0.5,0))))))))
+(C$263=10)*IF(C$262&lt;bs_pc10_seuil1,7,IF(C$262&lt;bs_pc10_seuil2,6,IF(C$262&lt;bs_pc10_seuil3,5,IF(C$262&lt;bs_pc10_seuil4,4,IF(C$262&lt;bs_pc10_seuil5,3,IF(C$262&lt;bs_pc10_seuil6,2,IF(C$262&lt;bs_pc10_seuil7,1,IF(C$262&lt;bs_pc10_seuil8,0.5,0))))))))
+(C$263=11)*IF(C$262&lt;bs_pc11_seuil1,7,IF(C$262&lt;bs_pc11_seuil2,6,IF(C$262&lt;bs_pc11_seuil3,5,IF(C$262&lt;bs_pc11_seuil4,4,IF(C$262&lt;bs_pc11_seuil5,3,IF(C$262&lt;bs_pc11_seuil6,2,IF(C$262&lt;bs_pc11_seuil7,1,IF(C$262&lt;bs_pc11_seuil8,0.5,0))))))))
+(C$263=12)*IF(C$262&lt;bs_pc12_seuil1,7,IF(C$262&lt;bs_pc12_seuil2,6,IF(C$262&lt;bs_pc12_seuil3,5,IF(C$262&lt;bs_pc12_seuil4,4,IF(C$262&lt;bs_pc12_seuil5,3,IF(C$262&lt;bs_pc12_seuil6,2,IF(C$262&lt;bs_pc12_seuil7,1,IF(C$262&lt;bs_pc12_seuil8,0.5,0))))))))
+(C$263=13)*IF(C$262&lt;bs_pc13_seuil1,7,IF(C$262&lt;bs_pc13_seuil2,6,IF(C$262&lt;bs_pc13_seuil3,5,IF(C$262&lt;bs_pc13_seuil4,4,IF(C$262&lt;bs_pc13_seuil5,3,IF(C$262&lt;bs_pc13_seuil6,2,IF(C$262&lt;bs_pc13_seuil7,1,IF(C$262&lt;bs_pc13_seuil8,0.5,0))))))))
+(C$263=14)*IF(C$262&lt;bs_pc14_seuil1,7,IF(C$262&lt;bs_pc14_seuil2,6,IF(C$262&lt;bs_pc14_seuil3,5,IF(C$262&lt;bs_pc14_seuil4,4,IF(C$262&lt;bs_pc14_seuil5,3,IF(C$262&lt;bs_pc14_seuil6,2,IF(C$262&lt;bs_pc14_seuil7,1,IF(C$262&lt;bs_pc14_seuil8,0.5,0))))))))
+(C$263=15)*IF(C$262&lt;bs_pc15_seuil1,7,IF(C$262&lt;bs_pc15_seuil2,6,IF(C$262&lt;bs_pc15_seuil3,5,IF(C$262&lt;bs_pc15_seuil4,4,IF(C$262&lt;bs_pc15_seuil5,3,IF(C$262&lt;bs_pc15_seuil6,2,IF(C$262&lt;bs_pc15_seuil7,1,IF(C$262&lt;bs_pc15_seuil8,0.5,0))))))))
+(C$263=16)*IF(C$262&lt;bs_pc16_seuil1,7,IF(C$262&lt;bs_pc16_seuil2,6,IF(C$262&lt;bs_pc16_seuil3,5,IF(C$262&lt;bs_pc16_seuil4,4,IF(C$262&lt;bs_pc16_seuil5,3,IF(C$262&lt;bs_pc16_seuil6,2,IF(C$262&lt;bs_pc16_seuil7,1,IF(C$262&lt;bs_pc16_seuil8,0.5,0))))))))
+(C$263=17)*IF(C$262&lt;bs_pc17_seuil1,7,IF(C$262&lt;bs_pc17_seuil2,6,IF(C$262&lt;bs_pc17_seuil3,5,IF(C$262&lt;bs_pc17_seuil4,4,IF(C$262&lt;bs_pc17_seuil5,3,IF(C$262&lt;bs_pc17_seuil6,2,IF(C$262&lt;bs_pc17_seuil7,1,IF(C$262&lt;bs_pc17_seuil8,0.5,0))))))))</f>
        <v>7</v>
      </c>
      <c r="D264" s="262">
        <f>(D$263=0)*IF(D$262&lt;bs_pc0_seuil1,7,IF(D$262&lt;bs_pc0_seuil2,6,IF(D$262&lt;bs_pc0_seuil3,5,IF(D$262&lt;bs_pc0_seuil4,4,IF(D$262&lt;bs_pc0_seuil5,3,IF(D$262&lt;bs_pc0_seuil6,2,IF(D$262&lt;bs_pc0_seuil7,1,IF(D$262&lt;bs_pc0_seuil8,0.5,0))))))))
+(D$263=1)*IF(D$262&lt;bs_pc1_seuil1,7,IF(D$262&lt;bs_pc1_seuil2,6,IF(D$262&lt;bs_pc1_seuil3,5,IF(D$262&lt;bs_pc1_seuil4,4,IF(D$262&lt;bs_pc1_seuil5,3,IF(D$262&lt;bs_pc1_seuil6,2,IF(D$262&lt;bs_pc1_seuil7,1,IF(D$262&lt;bs_pc1_seuil8,0.5,0))))))))
+(D$263=2)*IF(D$262&lt;bs_pc2_seuil1,7,IF(D$262&lt;bs_pc2_seuil2,6,IF(D$262&lt;bs_pc2_seuil3,5,IF(D$262&lt;bs_pc2_seuil4,4,IF(D$262&lt;bs_pc2_seuil5,3,IF(D$262&lt;bs_pc2_seuil6,2,IF(D$262&lt;bs_pc2_seuil7,1,IF(D$262&lt;bs_pc2_seuil8,0.5,0))))))))
+(D$263=3)*IF(D$262&lt;bs_pc3_seuil1,7,IF(D$262&lt;bs_pc3_seuil2,6,IF(D$262&lt;bs_pc3_seuil3,5,IF(D$262&lt;bs_pc3_seuil4,4,IF(D$262&lt;bs_pc3_seuil5,3,IF(D$262&lt;bs_pc3_seuil6,2,IF(D$262&lt;bs_pc3_seuil7,1,IF(D$262&lt;bs_pc3_seuil8,0.5,0))))))))
+(D$263=4)*IF(D$262&lt;bs_pc4_seuil1,7,IF(D$262&lt;bs_pc4_seuil2,6,IF(D$262&lt;bs_pc4_seuil3,5,IF(D$262&lt;bs_pc4_seuil4,4,IF(D$262&lt;bs_pc4_seuil5,3,IF(D$262&lt;bs_pc4_seuil6,2,IF(D$262&lt;bs_pc4_seuil7,1,IF(D$262&lt;bs_pc4_seuil8,0.5,0))))))))
+(D$263=5)*IF(D$262&lt;bs_pc5_seuil1,7,IF(D$262&lt;bs_pc5_seuil2,6,IF(D$262&lt;bs_pc5_seuil3,5,IF(D$262&lt;bs_pc5_seuil4,4,IF(D$262&lt;bs_pc5_seuil5,3,IF(D$262&lt;bs_pc5_seuil6,2,IF(D$262&lt;bs_pc5_seuil7,1,IF(D$262&lt;bs_pc5_seuil8,0.5,0))))))))
+(D$263=6)*IF(D$262&lt;bs_pc6_seuil1,7,IF(D$262&lt;bs_pc6_seuil2,6,IF(D$262&lt;bs_pc6_seuil3,5,IF(D$262&lt;bs_pc6_seuil4,4,IF(D$262&lt;bs_pc6_seuil5,3,IF(D$262&lt;bs_pc6_seuil6,2,IF(D$262&lt;bs_pc6_seuil7,1,IF(D$262&lt;bs_pc6_seuil8,0.5,0))))))))
+(D$263=7)*IF(D$262&lt;bs_pc7_seuil1,7,IF(D$262&lt;bs_pc7_seuil2,6,IF(D$262&lt;bs_pc7_seuil3,5,IF(D$262&lt;bs_pc7_seuil4,4,IF(D$262&lt;bs_pc7_seuil5,3,IF(D$262&lt;bs_pc7_seuil6,2,IF(D$262&lt;bs_pc7_seuil7,1,IF(D$262&lt;bs_pc7_seuil8,0.5,0))))))))
+(D$263=8)*IF(D$262&lt;bs_pc8_seuil1,7,IF(D$262&lt;bs_pc8_seuil2,6,IF(D$262&lt;bs_pc8_seuil3,5,IF(D$262&lt;bs_pc8_seuil4,4,IF(D$262&lt;bs_pc8_seuil5,3,IF(D$262&lt;bs_pc8_seuil6,2,IF(D$262&lt;bs_pc8_seuil7,1,IF(D$262&lt;bs_pc8_seuil8,0.5,0))))))))
+(D$263=9)*IF(D$262&lt;bs_pc9_seuil1,7,IF(D$262&lt;bs_pc9_seuil2,6,IF(D$262&lt;bs_pc9_seuil3,5,IF(D$262&lt;bs_pc9_seuil4,4,IF(D$262&lt;bs_pc9_seuil5,3,IF(D$262&lt;bs_pc9_seuil6,2,IF(D$262&lt;bs_pc9_seuil7,1,IF(D$262&lt;bs_pc9_seuil8,0.5,0))))))))
+(D$263=10)*IF(D$262&lt;bs_pc10_seuil1,7,IF(D$262&lt;bs_pc10_seuil2,6,IF(D$262&lt;bs_pc10_seuil3,5,IF(D$262&lt;bs_pc10_seuil4,4,IF(D$262&lt;bs_pc10_seuil5,3,IF(D$262&lt;bs_pc10_seuil6,2,IF(D$262&lt;bs_pc10_seuil7,1,IF(D$262&lt;bs_pc10_seuil8,0.5,0))))))))
+(D$263=11)*IF(D$262&lt;bs_pc11_seuil1,7,IF(D$262&lt;bs_pc11_seuil2,6,IF(D$262&lt;bs_pc11_seuil3,5,IF(D$262&lt;bs_pc11_seuil4,4,IF(D$262&lt;bs_pc11_seuil5,3,IF(D$262&lt;bs_pc11_seuil6,2,IF(D$262&lt;bs_pc11_seuil7,1,IF(D$262&lt;bs_pc11_seuil8,0.5,0))))))))
+(D$263=12)*IF(D$262&lt;bs_pc12_seuil1,7,IF(D$262&lt;bs_pc12_seuil2,6,IF(D$262&lt;bs_pc12_seuil3,5,IF(D$262&lt;bs_pc12_seuil4,4,IF(D$262&lt;bs_pc12_seuil5,3,IF(D$262&lt;bs_pc12_seuil6,2,IF(D$262&lt;bs_pc12_seuil7,1,IF(D$262&lt;bs_pc12_seuil8,0.5,0))))))))
+(D$263=13)*IF(D$262&lt;bs_pc13_seuil1,7,IF(D$262&lt;bs_pc13_seuil2,6,IF(D$262&lt;bs_pc13_seuil3,5,IF(D$262&lt;bs_pc13_seuil4,4,IF(D$262&lt;bs_pc13_seuil5,3,IF(D$262&lt;bs_pc13_seuil6,2,IF(D$262&lt;bs_pc13_seuil7,1,IF(D$262&lt;bs_pc13_seuil8,0.5,0))))))))
+(D$263=14)*IF(D$262&lt;bs_pc14_seuil1,7,IF(D$262&lt;bs_pc14_seuil2,6,IF(D$262&lt;bs_pc14_seuil3,5,IF(D$262&lt;bs_pc14_seuil4,4,IF(D$262&lt;bs_pc14_seuil5,3,IF(D$262&lt;bs_pc14_seuil6,2,IF(D$262&lt;bs_pc14_seuil7,1,IF(D$262&lt;bs_pc14_seuil8,0.5,0))))))))
+(D$263=15)*IF(D$262&lt;bs_pc15_seuil1,7,IF(D$262&lt;bs_pc15_seuil2,6,IF(D$262&lt;bs_pc15_seuil3,5,IF(D$262&lt;bs_pc15_seuil4,4,IF(D$262&lt;bs_pc15_seuil5,3,IF(D$262&lt;bs_pc15_seuil6,2,IF(D$262&lt;bs_pc15_seuil7,1,IF(D$262&lt;bs_pc15_seuil8,0.5,0))))))))
+(D$263=16)*IF(D$262&lt;bs_pc16_seuil1,7,IF(D$262&lt;bs_pc16_seuil2,6,IF(D$262&lt;bs_pc16_seuil3,5,IF(D$262&lt;bs_pc16_seuil4,4,IF(D$262&lt;bs_pc16_seuil5,3,IF(D$262&lt;bs_pc16_seuil6,2,IF(D$262&lt;bs_pc16_seuil7,1,IF(D$262&lt;bs_pc16_seuil8,0.5,0))))))))
+(D$263=17)*IF(D$262&lt;bs_pc17_seuil1,7,IF(D$262&lt;bs_pc17_seuil2,6,IF(D$262&lt;bs_pc17_seuil3,5,IF(D$262&lt;bs_pc17_seuil4,4,IF(D$262&lt;bs_pc17_seuil5,3,IF(D$262&lt;bs_pc17_seuil6,2,IF(D$262&lt;bs_pc17_seuil7,1,IF(D$262&lt;bs_pc17_seuil8,0.5,0))))))))</f>
        <v>6</v>
      </c>
      <c r="E264" s="262">
        <f>(E$263=0)*IF(E$262&lt;bs_pc0_seuil1,7,IF(E$262&lt;bs_pc0_seuil2,6,IF(E$262&lt;bs_pc0_seuil3,5,IF(E$262&lt;bs_pc0_seuil4,4,IF(E$262&lt;bs_pc0_seuil5,3,IF(E$262&lt;bs_pc0_seuil6,2,IF(E$262&lt;bs_pc0_seuil7,1,IF(E$262&lt;bs_pc0_seuil8,0.5,0))))))))
+(E$263=1)*IF(E$262&lt;bs_pc1_seuil1,7,IF(E$262&lt;bs_pc1_seuil2,6,IF(E$262&lt;bs_pc1_seuil3,5,IF(E$262&lt;bs_pc1_seuil4,4,IF(E$262&lt;bs_pc1_seuil5,3,IF(E$262&lt;bs_pc1_seuil6,2,IF(E$262&lt;bs_pc1_seuil7,1,IF(E$262&lt;bs_pc1_seuil8,0.5,0))))))))
+(E$263=2)*IF(E$262&lt;bs_pc2_seuil1,7,IF(E$262&lt;bs_pc2_seuil2,6,IF(E$262&lt;bs_pc2_seuil3,5,IF(E$262&lt;bs_pc2_seuil4,4,IF(E$262&lt;bs_pc2_seuil5,3,IF(E$262&lt;bs_pc2_seuil6,2,IF(E$262&lt;bs_pc2_seuil7,1,IF(E$262&lt;bs_pc2_seuil8,0.5,0))))))))
+(E$263=3)*IF(E$262&lt;bs_pc3_seuil1,7,IF(E$262&lt;bs_pc3_seuil2,6,IF(E$262&lt;bs_pc3_seuil3,5,IF(E$262&lt;bs_pc3_seuil4,4,IF(E$262&lt;bs_pc3_seuil5,3,IF(E$262&lt;bs_pc3_seuil6,2,IF(E$262&lt;bs_pc3_seuil7,1,IF(E$262&lt;bs_pc3_seuil8,0.5,0))))))))
+(E$263=4)*IF(E$262&lt;bs_pc4_seuil1,7,IF(E$262&lt;bs_pc4_seuil2,6,IF(E$262&lt;bs_pc4_seuil3,5,IF(E$262&lt;bs_pc4_seuil4,4,IF(E$262&lt;bs_pc4_seuil5,3,IF(E$262&lt;bs_pc4_seuil6,2,IF(E$262&lt;bs_pc4_seuil7,1,IF(E$262&lt;bs_pc4_seuil8,0.5,0))))))))
+(E$263=5)*IF(E$262&lt;bs_pc5_seuil1,7,IF(E$262&lt;bs_pc5_seuil2,6,IF(E$262&lt;bs_pc5_seuil3,5,IF(E$262&lt;bs_pc5_seuil4,4,IF(E$262&lt;bs_pc5_seuil5,3,IF(E$262&lt;bs_pc5_seuil6,2,IF(E$262&lt;bs_pc5_seuil7,1,IF(E$262&lt;bs_pc5_seuil8,0.5,0))))))))
+(E$263=6)*IF(E$262&lt;bs_pc6_seuil1,7,IF(E$262&lt;bs_pc6_seuil2,6,IF(E$262&lt;bs_pc6_seuil3,5,IF(E$262&lt;bs_pc6_seuil4,4,IF(E$262&lt;bs_pc6_seuil5,3,IF(E$262&lt;bs_pc6_seuil6,2,IF(E$262&lt;bs_pc6_seuil7,1,IF(E$262&lt;bs_pc6_seuil8,0.5,0))))))))
+(E$263=7)*IF(E$262&lt;bs_pc7_seuil1,7,IF(E$262&lt;bs_pc7_seuil2,6,IF(E$262&lt;bs_pc7_seuil3,5,IF(E$262&lt;bs_pc7_seuil4,4,IF(E$262&lt;bs_pc7_seuil5,3,IF(E$262&lt;bs_pc7_seuil6,2,IF(E$262&lt;bs_pc7_seuil7,1,IF(E$262&lt;bs_pc7_seuil8,0.5,0))))))))
+(E$263=8)*IF(E$262&lt;bs_pc8_seuil1,7,IF(E$262&lt;bs_pc8_seuil2,6,IF(E$262&lt;bs_pc8_seuil3,5,IF(E$262&lt;bs_pc8_seuil4,4,IF(E$262&lt;bs_pc8_seuil5,3,IF(E$262&lt;bs_pc8_seuil6,2,IF(E$262&lt;bs_pc8_seuil7,1,IF(E$262&lt;bs_pc8_seuil8,0.5,0))))))))
+(E$263=9)*IF(E$262&lt;bs_pc9_seuil1,7,IF(E$262&lt;bs_pc9_seuil2,6,IF(E$262&lt;bs_pc9_seuil3,5,IF(E$262&lt;bs_pc9_seuil4,4,IF(E$262&lt;bs_pc9_seuil5,3,IF(E$262&lt;bs_pc9_seuil6,2,IF(E$262&lt;bs_pc9_seuil7,1,IF(E$262&lt;bs_pc9_seuil8,0.5,0))))))))
+(E$263=10)*IF(E$262&lt;bs_pc10_seuil1,7,IF(E$262&lt;bs_pc10_seuil2,6,IF(E$262&lt;bs_pc10_seuil3,5,IF(E$262&lt;bs_pc10_seuil4,4,IF(E$262&lt;bs_pc10_seuil5,3,IF(E$262&lt;bs_pc10_seuil6,2,IF(E$262&lt;bs_pc10_seuil7,1,IF(E$262&lt;bs_pc10_seuil8,0.5,0))))))))
+(E$263=11)*IF(E$262&lt;bs_pc11_seuil1,7,IF(E$262&lt;bs_pc11_seuil2,6,IF(E$262&lt;bs_pc11_seuil3,5,IF(E$262&lt;bs_pc11_seuil4,4,IF(E$262&lt;bs_pc11_seuil5,3,IF(E$262&lt;bs_pc11_seuil6,2,IF(E$262&lt;bs_pc11_seuil7,1,IF(E$262&lt;bs_pc11_seuil8,0.5,0))))))))
+(E$263=12)*IF(E$262&lt;bs_pc12_seuil1,7,IF(E$262&lt;bs_pc12_seuil2,6,IF(E$262&lt;bs_pc12_seuil3,5,IF(E$262&lt;bs_pc12_seuil4,4,IF(E$262&lt;bs_pc12_seuil5,3,IF(E$262&lt;bs_pc12_seuil6,2,IF(E$262&lt;bs_pc12_seuil7,1,IF(E$262&lt;bs_pc12_seuil8,0.5,0))))))))
+(E$263=13)*IF(E$262&lt;bs_pc13_seuil1,7,IF(E$262&lt;bs_pc13_seuil2,6,IF(E$262&lt;bs_pc13_seuil3,5,IF(E$262&lt;bs_pc13_seuil4,4,IF(E$262&lt;bs_pc13_seuil5,3,IF(E$262&lt;bs_pc13_seuil6,2,IF(E$262&lt;bs_pc13_seuil7,1,IF(E$262&lt;bs_pc13_seuil8,0.5,0))))))))
+(E$263=14)*IF(E$262&lt;bs_pc14_seuil1,7,IF(E$262&lt;bs_pc14_seuil2,6,IF(E$262&lt;bs_pc14_seuil3,5,IF(E$262&lt;bs_pc14_seuil4,4,IF(E$262&lt;bs_pc14_seuil5,3,IF(E$262&lt;bs_pc14_seuil6,2,IF(E$262&lt;bs_pc14_seuil7,1,IF(E$262&lt;bs_pc14_seuil8,0.5,0))))))))
+(E$263=15)*IF(E$262&lt;bs_pc15_seuil1,7,IF(E$262&lt;bs_pc15_seuil2,6,IF(E$262&lt;bs_pc15_seuil3,5,IF(E$262&lt;bs_pc15_seuil4,4,IF(E$262&lt;bs_pc15_seuil5,3,IF(E$262&lt;bs_pc15_seuil6,2,IF(E$262&lt;bs_pc15_seuil7,1,IF(E$262&lt;bs_pc15_seuil8,0.5,0))))))))
+(E$263=16)*IF(E$262&lt;bs_pc16_seuil1,7,IF(E$262&lt;bs_pc16_seuil2,6,IF(E$262&lt;bs_pc16_seuil3,5,IF(E$262&lt;bs_pc16_seuil4,4,IF(E$262&lt;bs_pc16_seuil5,3,IF(E$262&lt;bs_pc16_seuil6,2,IF(E$262&lt;bs_pc16_seuil7,1,IF(E$262&lt;bs_pc16_seuil8,0.5,0))))))))
+(E$263=17)*IF(E$262&lt;bs_pc17_seuil1,7,IF(E$262&lt;bs_pc17_seuil2,6,IF(E$262&lt;bs_pc17_seuil3,5,IF(E$262&lt;bs_pc17_seuil4,4,IF(E$262&lt;bs_pc17_seuil5,3,IF(E$262&lt;bs_pc17_seuil6,2,IF(E$262&lt;bs_pc17_seuil7,1,IF(E$262&lt;bs_pc17_seuil8,0.5,0))))))))</f>
        <v>4</v>
      </c>
      <c r="F264" s="262">
        <f>(F$263=0)*IF(F$262&lt;bs_pc0_seuil1,7,IF(F$262&lt;bs_pc0_seuil2,6,IF(F$262&lt;bs_pc0_seuil3,5,IF(F$262&lt;bs_pc0_seuil4,4,IF(F$262&lt;bs_pc0_seuil5,3,IF(F$262&lt;bs_pc0_seuil6,2,IF(F$262&lt;bs_pc0_seuil7,1,IF(F$262&lt;bs_pc0_seuil8,0.5,0))))))))
+(F$263=1)*IF(F$262&lt;bs_pc1_seuil1,7,IF(F$262&lt;bs_pc1_seuil2,6,IF(F$262&lt;bs_pc1_seuil3,5,IF(F$262&lt;bs_pc1_seuil4,4,IF(F$262&lt;bs_pc1_seuil5,3,IF(F$262&lt;bs_pc1_seuil6,2,IF(F$262&lt;bs_pc1_seuil7,1,IF(F$262&lt;bs_pc1_seuil8,0.5,0))))))))
+(F$263=2)*IF(F$262&lt;bs_pc2_seuil1,7,IF(F$262&lt;bs_pc2_seuil2,6,IF(F$262&lt;bs_pc2_seuil3,5,IF(F$262&lt;bs_pc2_seuil4,4,IF(F$262&lt;bs_pc2_seuil5,3,IF(F$262&lt;bs_pc2_seuil6,2,IF(F$262&lt;bs_pc2_seuil7,1,IF(F$262&lt;bs_pc2_seuil8,0.5,0))))))))
+(F$263=3)*IF(F$262&lt;bs_pc3_seuil1,7,IF(F$262&lt;bs_pc3_seuil2,6,IF(F$262&lt;bs_pc3_seuil3,5,IF(F$262&lt;bs_pc3_seuil4,4,IF(F$262&lt;bs_pc3_seuil5,3,IF(F$262&lt;bs_pc3_seuil6,2,IF(F$262&lt;bs_pc3_seuil7,1,IF(F$262&lt;bs_pc3_seuil8,0.5,0))))))))
+(F$263=4)*IF(F$262&lt;bs_pc4_seuil1,7,IF(F$262&lt;bs_pc4_seuil2,6,IF(F$262&lt;bs_pc4_seuil3,5,IF(F$262&lt;bs_pc4_seuil4,4,IF(F$262&lt;bs_pc4_seuil5,3,IF(F$262&lt;bs_pc4_seuil6,2,IF(F$262&lt;bs_pc4_seuil7,1,IF(F$262&lt;bs_pc4_seuil8,0.5,0))))))))
+(F$263=5)*IF(F$262&lt;bs_pc5_seuil1,7,IF(F$262&lt;bs_pc5_seuil2,6,IF(F$262&lt;bs_pc5_seuil3,5,IF(F$262&lt;bs_pc5_seuil4,4,IF(F$262&lt;bs_pc5_seuil5,3,IF(F$262&lt;bs_pc5_seuil6,2,IF(F$262&lt;bs_pc5_seuil7,1,IF(F$262&lt;bs_pc5_seuil8,0.5,0))))))))
+(F$263=6)*IF(F$262&lt;bs_pc6_seuil1,7,IF(F$262&lt;bs_pc6_seuil2,6,IF(F$262&lt;bs_pc6_seuil3,5,IF(F$262&lt;bs_pc6_seuil4,4,IF(F$262&lt;bs_pc6_seuil5,3,IF(F$262&lt;bs_pc6_seuil6,2,IF(F$262&lt;bs_pc6_seuil7,1,IF(F$262&lt;bs_pc6_seuil8,0.5,0))))))))
+(F$263=7)*IF(F$262&lt;bs_pc7_seuil1,7,IF(F$262&lt;bs_pc7_seuil2,6,IF(F$262&lt;bs_pc7_seuil3,5,IF(F$262&lt;bs_pc7_seuil4,4,IF(F$262&lt;bs_pc7_seuil5,3,IF(F$262&lt;bs_pc7_seuil6,2,IF(F$262&lt;bs_pc7_seuil7,1,IF(F$262&lt;bs_pc7_seuil8,0.5,0))))))))
+(F$263=8)*IF(F$262&lt;bs_pc8_seuil1,7,IF(F$262&lt;bs_pc8_seuil2,6,IF(F$262&lt;bs_pc8_seuil3,5,IF(F$262&lt;bs_pc8_seuil4,4,IF(F$262&lt;bs_pc8_seuil5,3,IF(F$262&lt;bs_pc8_seuil6,2,IF(F$262&lt;bs_pc8_seuil7,1,IF(F$262&lt;bs_pc8_seuil8,0.5,0))))))))
+(F$263=9)*IF(F$262&lt;bs_pc9_seuil1,7,IF(F$262&lt;bs_pc9_seuil2,6,IF(F$262&lt;bs_pc9_seuil3,5,IF(F$262&lt;bs_pc9_seuil4,4,IF(F$262&lt;bs_pc9_seuil5,3,IF(F$262&lt;bs_pc9_seuil6,2,IF(F$262&lt;bs_pc9_seuil7,1,IF(F$262&lt;bs_pc9_seuil8,0.5,0))))))))
+(F$263=10)*IF(F$262&lt;bs_pc10_seuil1,7,IF(F$262&lt;bs_pc10_seuil2,6,IF(F$262&lt;bs_pc10_seuil3,5,IF(F$262&lt;bs_pc10_seuil4,4,IF(F$262&lt;bs_pc10_seuil5,3,IF(F$262&lt;bs_pc10_seuil6,2,IF(F$262&lt;bs_pc10_seuil7,1,IF(F$262&lt;bs_pc10_seuil8,0.5,0))))))))
+(F$263=11)*IF(F$262&lt;bs_pc11_seuil1,7,IF(F$262&lt;bs_pc11_seuil2,6,IF(F$262&lt;bs_pc11_seuil3,5,IF(F$262&lt;bs_pc11_seuil4,4,IF(F$262&lt;bs_pc11_seuil5,3,IF(F$262&lt;bs_pc11_seuil6,2,IF(F$262&lt;bs_pc11_seuil7,1,IF(F$262&lt;bs_pc11_seuil8,0.5,0))))))))
+(F$263=12)*IF(F$262&lt;bs_pc12_seuil1,7,IF(F$262&lt;bs_pc12_seuil2,6,IF(F$262&lt;bs_pc12_seuil3,5,IF(F$262&lt;bs_pc12_seuil4,4,IF(F$262&lt;bs_pc12_seuil5,3,IF(F$262&lt;bs_pc12_seuil6,2,IF(F$262&lt;bs_pc12_seuil7,1,IF(F$262&lt;bs_pc12_seuil8,0.5,0))))))))
+(F$263=13)*IF(F$262&lt;bs_pc13_seuil1,7,IF(F$262&lt;bs_pc13_seuil2,6,IF(F$262&lt;bs_pc13_seuil3,5,IF(F$262&lt;bs_pc13_seuil4,4,IF(F$262&lt;bs_pc13_seuil5,3,IF(F$262&lt;bs_pc13_seuil6,2,IF(F$262&lt;bs_pc13_seuil7,1,IF(F$262&lt;bs_pc13_seuil8,0.5,0))))))))
+(F$263=14)*IF(F$262&lt;bs_pc14_seuil1,7,IF(F$262&lt;bs_pc14_seuil2,6,IF(F$262&lt;bs_pc14_seuil3,5,IF(F$262&lt;bs_pc14_seuil4,4,IF(F$262&lt;bs_pc14_seuil5,3,IF(F$262&lt;bs_pc14_seuil6,2,IF(F$262&lt;bs_pc14_seuil7,1,IF(F$262&lt;bs_pc14_seuil8,0.5,0))))))))
+(F$263=15)*IF(F$262&lt;bs_pc15_seuil1,7,IF(F$262&lt;bs_pc15_seuil2,6,IF(F$262&lt;bs_pc15_seuil3,5,IF(F$262&lt;bs_pc15_seuil4,4,IF(F$262&lt;bs_pc15_seuil5,3,IF(F$262&lt;bs_pc15_seuil6,2,IF(F$262&lt;bs_pc15_seuil7,1,IF(F$262&lt;bs_pc15_seuil8,0.5,0))))))))
+(F$263=16)*IF(F$262&lt;bs_pc16_seuil1,7,IF(F$262&lt;bs_pc16_seuil2,6,IF(F$262&lt;bs_pc16_seuil3,5,IF(F$262&lt;bs_pc16_seuil4,4,IF(F$262&lt;bs_pc16_seuil5,3,IF(F$262&lt;bs_pc16_seuil6,2,IF(F$262&lt;bs_pc16_seuil7,1,IF(F$262&lt;bs_pc16_seuil8,0.5,0))))))))
+(F$263=17)*IF(F$262&lt;bs_pc17_seuil1,7,IF(F$262&lt;bs_pc17_seuil2,6,IF(F$262&lt;bs_pc17_seuil3,5,IF(F$262&lt;bs_pc17_seuil4,4,IF(F$262&lt;bs_pc17_seuil5,3,IF(F$262&lt;bs_pc17_seuil6,2,IF(F$262&lt;bs_pc17_seuil7,1,IF(F$262&lt;bs_pc17_seuil8,0.5,0))))))))</f>
        <v>1</v>
      </c>
      <c r="H264" s="262">
        <f>(H$263=0)*IF(H$262&lt;bs_pc0_seuil1,7,IF(H$262&lt;bs_pc0_seuil2,6,IF(H$262&lt;bs_pc0_seuil3,5,IF(H$262&lt;bs_pc0_seuil4,4,IF(H$262&lt;bs_pc0_seuil5,3,IF(H$262&lt;bs_pc0_seuil6,2,IF(H$262&lt;bs_pc0_seuil7,1,IF(H$262&lt;bs_pc0_seuil8,0.5,0))))))))
+(H$263=1)*IF(H$262&lt;bs_pc1_seuil1,7,IF(H$262&lt;bs_pc1_seuil2,6,IF(H$262&lt;bs_pc1_seuil3,5,IF(H$262&lt;bs_pc1_seuil4,4,IF(H$262&lt;bs_pc1_seuil5,3,IF(H$262&lt;bs_pc1_seuil6,2,IF(H$262&lt;bs_pc1_seuil7,1,IF(H$262&lt;bs_pc1_seuil8,0.5,0))))))))
+(H$263=2)*IF(H$262&lt;bs_pc2_seuil1,7,IF(H$262&lt;bs_pc2_seuil2,6,IF(H$262&lt;bs_pc2_seuil3,5,IF(H$262&lt;bs_pc2_seuil4,4,IF(H$262&lt;bs_pc2_seuil5,3,IF(H$262&lt;bs_pc2_seuil6,2,IF(H$262&lt;bs_pc2_seuil7,1,IF(H$262&lt;bs_pc2_seuil8,0.5,0))))))))
+(H$263=3)*IF(H$262&lt;bs_pc3_seuil1,7,IF(H$262&lt;bs_pc3_seuil2,6,IF(H$262&lt;bs_pc3_seuil3,5,IF(H$262&lt;bs_pc3_seuil4,4,IF(H$262&lt;bs_pc3_seuil5,3,IF(H$262&lt;bs_pc3_seuil6,2,IF(H$262&lt;bs_pc3_seuil7,1,IF(H$262&lt;bs_pc3_seuil8,0.5,0))))))))
+(H$263=4)*IF(H$262&lt;bs_pc4_seuil1,7,IF(H$262&lt;bs_pc4_seuil2,6,IF(H$262&lt;bs_pc4_seuil3,5,IF(H$262&lt;bs_pc4_seuil4,4,IF(H$262&lt;bs_pc4_seuil5,3,IF(H$262&lt;bs_pc4_seuil6,2,IF(H$262&lt;bs_pc4_seuil7,1,IF(H$262&lt;bs_pc4_seuil8,0.5,0))))))))
+(H$263=5)*IF(H$262&lt;bs_pc5_seuil1,7,IF(H$262&lt;bs_pc5_seuil2,6,IF(H$262&lt;bs_pc5_seuil3,5,IF(H$262&lt;bs_pc5_seuil4,4,IF(H$262&lt;bs_pc5_seuil5,3,IF(H$262&lt;bs_pc5_seuil6,2,IF(H$262&lt;bs_pc5_seuil7,1,IF(H$262&lt;bs_pc5_seuil8,0.5,0))))))))
+(H$263=6)*IF(H$262&lt;bs_pc6_seuil1,7,IF(H$262&lt;bs_pc6_seuil2,6,IF(H$262&lt;bs_pc6_seuil3,5,IF(H$262&lt;bs_pc6_seuil4,4,IF(H$262&lt;bs_pc6_seuil5,3,IF(H$262&lt;bs_pc6_seuil6,2,IF(H$262&lt;bs_pc6_seuil7,1,IF(H$262&lt;bs_pc6_seuil8,0.5,0))))))))
+(H$263=7)*IF(H$262&lt;bs_pc7_seuil1,7,IF(H$262&lt;bs_pc7_seuil2,6,IF(H$262&lt;bs_pc7_seuil3,5,IF(H$262&lt;bs_pc7_seuil4,4,IF(H$262&lt;bs_pc7_seuil5,3,IF(H$262&lt;bs_pc7_seuil6,2,IF(H$262&lt;bs_pc7_seuil7,1,IF(H$262&lt;bs_pc7_seuil8,0.5,0))))))))
+(H$263=8)*IF(H$262&lt;bs_pc8_seuil1,7,IF(H$262&lt;bs_pc8_seuil2,6,IF(H$262&lt;bs_pc8_seuil3,5,IF(H$262&lt;bs_pc8_seuil4,4,IF(H$262&lt;bs_pc8_seuil5,3,IF(H$262&lt;bs_pc8_seuil6,2,IF(H$262&lt;bs_pc8_seuil7,1,IF(H$262&lt;bs_pc8_seuil8,0.5,0))))))))
+(H$263=9)*IF(H$262&lt;bs_pc9_seuil1,7,IF(H$262&lt;bs_pc9_seuil2,6,IF(H$262&lt;bs_pc9_seuil3,5,IF(H$262&lt;bs_pc9_seuil4,4,IF(H$262&lt;bs_pc9_seuil5,3,IF(H$262&lt;bs_pc9_seuil6,2,IF(H$262&lt;bs_pc9_seuil7,1,IF(H$262&lt;bs_pc9_seuil8,0.5,0))))))))
+(H$263=10)*IF(H$262&lt;bs_pc10_seuil1,7,IF(H$262&lt;bs_pc10_seuil2,6,IF(H$262&lt;bs_pc10_seuil3,5,IF(H$262&lt;bs_pc10_seuil4,4,IF(H$262&lt;bs_pc10_seuil5,3,IF(H$262&lt;bs_pc10_seuil6,2,IF(H$262&lt;bs_pc10_seuil7,1,IF(H$262&lt;bs_pc10_seuil8,0.5,0))))))))
+(H$263=11)*IF(H$262&lt;bs_pc11_seuil1,7,IF(H$262&lt;bs_pc11_seuil2,6,IF(H$262&lt;bs_pc11_seuil3,5,IF(H$262&lt;bs_pc11_seuil4,4,IF(H$262&lt;bs_pc11_seuil5,3,IF(H$262&lt;bs_pc11_seuil6,2,IF(H$262&lt;bs_pc11_seuil7,1,IF(H$262&lt;bs_pc11_seuil8,0.5,0))))))))
+(H$263=12)*IF(H$262&lt;bs_pc12_seuil1,7,IF(H$262&lt;bs_pc12_seuil2,6,IF(H$262&lt;bs_pc12_seuil3,5,IF(H$262&lt;bs_pc12_seuil4,4,IF(H$262&lt;bs_pc12_seuil5,3,IF(H$262&lt;bs_pc12_seuil6,2,IF(H$262&lt;bs_pc12_seuil7,1,IF(H$262&lt;bs_pc12_seuil8,0.5,0))))))))
+(H$263=13)*IF(H$262&lt;bs_pc13_seuil1,7,IF(H$262&lt;bs_pc13_seuil2,6,IF(H$262&lt;bs_pc13_seuil3,5,IF(H$262&lt;bs_pc13_seuil4,4,IF(H$262&lt;bs_pc13_seuil5,3,IF(H$262&lt;bs_pc13_seuil6,2,IF(H$262&lt;bs_pc13_seuil7,1,IF(H$262&lt;bs_pc13_seuil8,0.5,0))))))))
+(H$263=14)*IF(H$262&lt;bs_pc14_seuil1,7,IF(H$262&lt;bs_pc14_seuil2,6,IF(H$262&lt;bs_pc14_seuil3,5,IF(H$262&lt;bs_pc14_seuil4,4,IF(H$262&lt;bs_pc14_seuil5,3,IF(H$262&lt;bs_pc14_seuil6,2,IF(H$262&lt;bs_pc14_seuil7,1,IF(H$262&lt;bs_pc14_seuil8,0.5,0))))))))
+(H$263=15)*IF(H$262&lt;bs_pc15_seuil1,7,IF(H$262&lt;bs_pc15_seuil2,6,IF(H$262&lt;bs_pc15_seuil3,5,IF(H$262&lt;bs_pc15_seuil4,4,IF(H$262&lt;bs_pc15_seuil5,3,IF(H$262&lt;bs_pc15_seuil6,2,IF(H$262&lt;bs_pc15_seuil7,1,IF(H$262&lt;bs_pc15_seuil8,0.5,0))))))))
+(H$263=16)*IF(H$262&lt;bs_pc16_seuil1,7,IF(H$262&lt;bs_pc16_seuil2,6,IF(H$262&lt;bs_pc16_seuil3,5,IF(H$262&lt;bs_pc16_seuil4,4,IF(H$262&lt;bs_pc16_seuil5,3,IF(H$262&lt;bs_pc16_seuil6,2,IF(H$262&lt;bs_pc16_seuil7,1,IF(H$262&lt;bs_pc16_seuil8,0.5,0))))))))
+(H$263=17)*IF(H$262&lt;bs_pc17_seuil1,7,IF(H$262&lt;bs_pc17_seuil2,6,IF(H$262&lt;bs_pc17_seuil3,5,IF(H$262&lt;bs_pc17_seuil4,4,IF(H$262&lt;bs_pc17_seuil5,3,IF(H$262&lt;bs_pc17_seuil6,2,IF(H$262&lt;bs_pc17_seuil7,1,IF(H$262&lt;bs_pc17_seuil8,0.5,0))))))))</f>
        <v>7</v>
      </c>
      <c r="I264" s="262">
        <f>(I$263=0)*IF(I$262&lt;bs_pc0_seuil1,7,IF(I$262&lt;bs_pc0_seuil2,6,IF(I$262&lt;bs_pc0_seuil3,5,IF(I$262&lt;bs_pc0_seuil4,4,IF(I$262&lt;bs_pc0_seuil5,3,IF(I$262&lt;bs_pc0_seuil6,2,IF(I$262&lt;bs_pc0_seuil7,1,IF(I$262&lt;bs_pc0_seuil8,0.5,0))))))))
+(I$263=1)*IF(I$262&lt;bs_pc1_seuil1,7,IF(I$262&lt;bs_pc1_seuil2,6,IF(I$262&lt;bs_pc1_seuil3,5,IF(I$262&lt;bs_pc1_seuil4,4,IF(I$262&lt;bs_pc1_seuil5,3,IF(I$262&lt;bs_pc1_seuil6,2,IF(I$262&lt;bs_pc1_seuil7,1,IF(I$262&lt;bs_pc1_seuil8,0.5,0))))))))
+(I$263=2)*IF(I$262&lt;bs_pc2_seuil1,7,IF(I$262&lt;bs_pc2_seuil2,6,IF(I$262&lt;bs_pc2_seuil3,5,IF(I$262&lt;bs_pc2_seuil4,4,IF(I$262&lt;bs_pc2_seuil5,3,IF(I$262&lt;bs_pc2_seuil6,2,IF(I$262&lt;bs_pc2_seuil7,1,IF(I$262&lt;bs_pc2_seuil8,0.5,0))))))))
+(I$263=3)*IF(I$262&lt;bs_pc3_seuil1,7,IF(I$262&lt;bs_pc3_seuil2,6,IF(I$262&lt;bs_pc3_seuil3,5,IF(I$262&lt;bs_pc3_seuil4,4,IF(I$262&lt;bs_pc3_seuil5,3,IF(I$262&lt;bs_pc3_seuil6,2,IF(I$262&lt;bs_pc3_seuil7,1,IF(I$262&lt;bs_pc3_seuil8,0.5,0))))))))
+(I$263=4)*IF(I$262&lt;bs_pc4_seuil1,7,IF(I$262&lt;bs_pc4_seuil2,6,IF(I$262&lt;bs_pc4_seuil3,5,IF(I$262&lt;bs_pc4_seuil4,4,IF(I$262&lt;bs_pc4_seuil5,3,IF(I$262&lt;bs_pc4_seuil6,2,IF(I$262&lt;bs_pc4_seuil7,1,IF(I$262&lt;bs_pc4_seuil8,0.5,0))))))))
+(I$263=5)*IF(I$262&lt;bs_pc5_seuil1,7,IF(I$262&lt;bs_pc5_seuil2,6,IF(I$262&lt;bs_pc5_seuil3,5,IF(I$262&lt;bs_pc5_seuil4,4,IF(I$262&lt;bs_pc5_seuil5,3,IF(I$262&lt;bs_pc5_seuil6,2,IF(I$262&lt;bs_pc5_seuil7,1,IF(I$262&lt;bs_pc5_seuil8,0.5,0))))))))
+(I$263=6)*IF(I$262&lt;bs_pc6_seuil1,7,IF(I$262&lt;bs_pc6_seuil2,6,IF(I$262&lt;bs_pc6_seuil3,5,IF(I$262&lt;bs_pc6_seuil4,4,IF(I$262&lt;bs_pc6_seuil5,3,IF(I$262&lt;bs_pc6_seuil6,2,IF(I$262&lt;bs_pc6_seuil7,1,IF(I$262&lt;bs_pc6_seuil8,0.5,0))))))))
+(I$263=7)*IF(I$262&lt;bs_pc7_seuil1,7,IF(I$262&lt;bs_pc7_seuil2,6,IF(I$262&lt;bs_pc7_seuil3,5,IF(I$262&lt;bs_pc7_seuil4,4,IF(I$262&lt;bs_pc7_seuil5,3,IF(I$262&lt;bs_pc7_seuil6,2,IF(I$262&lt;bs_pc7_seuil7,1,IF(I$262&lt;bs_pc7_seuil8,0.5,0))))))))
+(I$263=8)*IF(I$262&lt;bs_pc8_seuil1,7,IF(I$262&lt;bs_pc8_seuil2,6,IF(I$262&lt;bs_pc8_seuil3,5,IF(I$262&lt;bs_pc8_seuil4,4,IF(I$262&lt;bs_pc8_seuil5,3,IF(I$262&lt;bs_pc8_seuil6,2,IF(I$262&lt;bs_pc8_seuil7,1,IF(I$262&lt;bs_pc8_seuil8,0.5,0))))))))
+(I$263=9)*IF(I$262&lt;bs_pc9_seuil1,7,IF(I$262&lt;bs_pc9_seuil2,6,IF(I$262&lt;bs_pc9_seuil3,5,IF(I$262&lt;bs_pc9_seuil4,4,IF(I$262&lt;bs_pc9_seuil5,3,IF(I$262&lt;bs_pc9_seuil6,2,IF(I$262&lt;bs_pc9_seuil7,1,IF(I$262&lt;bs_pc9_seuil8,0.5,0))))))))
+(I$263=10)*IF(I$262&lt;bs_pc10_seuil1,7,IF(I$262&lt;bs_pc10_seuil2,6,IF(I$262&lt;bs_pc10_seuil3,5,IF(I$262&lt;bs_pc10_seuil4,4,IF(I$262&lt;bs_pc10_seuil5,3,IF(I$262&lt;bs_pc10_seuil6,2,IF(I$262&lt;bs_pc10_seuil7,1,IF(I$262&lt;bs_pc10_seuil8,0.5,0))))))))
+(I$263=11)*IF(I$262&lt;bs_pc11_seuil1,7,IF(I$262&lt;bs_pc11_seuil2,6,IF(I$262&lt;bs_pc11_seuil3,5,IF(I$262&lt;bs_pc11_seuil4,4,IF(I$262&lt;bs_pc11_seuil5,3,IF(I$262&lt;bs_pc11_seuil6,2,IF(I$262&lt;bs_pc11_seuil7,1,IF(I$262&lt;bs_pc11_seuil8,0.5,0))))))))
+(I$263=12)*IF(I$262&lt;bs_pc12_seuil1,7,IF(I$262&lt;bs_pc12_seuil2,6,IF(I$262&lt;bs_pc12_seuil3,5,IF(I$262&lt;bs_pc12_seuil4,4,IF(I$262&lt;bs_pc12_seuil5,3,IF(I$262&lt;bs_pc12_seuil6,2,IF(I$262&lt;bs_pc12_seuil7,1,IF(I$262&lt;bs_pc12_seuil8,0.5,0))))))))
+(I$263=13)*IF(I$262&lt;bs_pc13_seuil1,7,IF(I$262&lt;bs_pc13_seuil2,6,IF(I$262&lt;bs_pc13_seuil3,5,IF(I$262&lt;bs_pc13_seuil4,4,IF(I$262&lt;bs_pc13_seuil5,3,IF(I$262&lt;bs_pc13_seuil6,2,IF(I$262&lt;bs_pc13_seuil7,1,IF(I$262&lt;bs_pc13_seuil8,0.5,0))))))))
+(I$263=14)*IF(I$262&lt;bs_pc14_seuil1,7,IF(I$262&lt;bs_pc14_seuil2,6,IF(I$262&lt;bs_pc14_seuil3,5,IF(I$262&lt;bs_pc14_seuil4,4,IF(I$262&lt;bs_pc14_seuil5,3,IF(I$262&lt;bs_pc14_seuil6,2,IF(I$262&lt;bs_pc14_seuil7,1,IF(I$262&lt;bs_pc14_seuil8,0.5,0))))))))
+(I$263=15)*IF(I$262&lt;bs_pc15_seuil1,7,IF(I$262&lt;bs_pc15_seuil2,6,IF(I$262&lt;bs_pc15_seuil3,5,IF(I$262&lt;bs_pc15_seuil4,4,IF(I$262&lt;bs_pc15_seuil5,3,IF(I$262&lt;bs_pc15_seuil6,2,IF(I$262&lt;bs_pc15_seuil7,1,IF(I$262&lt;bs_pc15_seuil8,0.5,0))))))))
+(I$263=16)*IF(I$262&lt;bs_pc16_seuil1,7,IF(I$262&lt;bs_pc16_seuil2,6,IF(I$262&lt;bs_pc16_seuil3,5,IF(I$262&lt;bs_pc16_seuil4,4,IF(I$262&lt;bs_pc16_seuil5,3,IF(I$262&lt;bs_pc16_seuil6,2,IF(I$262&lt;bs_pc16_seuil7,1,IF(I$262&lt;bs_pc16_seuil8,0.5,0))))))))
+(I$263=17)*IF(I$262&lt;bs_pc17_seuil1,7,IF(I$262&lt;bs_pc17_seuil2,6,IF(I$262&lt;bs_pc17_seuil3,5,IF(I$262&lt;bs_pc17_seuil4,4,IF(I$262&lt;bs_pc17_seuil5,3,IF(I$262&lt;bs_pc17_seuil6,2,IF(I$262&lt;bs_pc17_seuil7,1,IF(I$262&lt;bs_pc17_seuil8,0.5,0))))))))</f>
        <v>6</v>
      </c>
      <c r="J264" s="262">
        <f>(J$263=0)*IF(J$262&lt;bs_pc0_seuil1,7,IF(J$262&lt;bs_pc0_seuil2,6,IF(J$262&lt;bs_pc0_seuil3,5,IF(J$262&lt;bs_pc0_seuil4,4,IF(J$262&lt;bs_pc0_seuil5,3,IF(J$262&lt;bs_pc0_seuil6,2,IF(J$262&lt;bs_pc0_seuil7,1,IF(J$262&lt;bs_pc0_seuil8,0.5,0))))))))
+(J$263=1)*IF(J$262&lt;bs_pc1_seuil1,7,IF(J$262&lt;bs_pc1_seuil2,6,IF(J$262&lt;bs_pc1_seuil3,5,IF(J$262&lt;bs_pc1_seuil4,4,IF(J$262&lt;bs_pc1_seuil5,3,IF(J$262&lt;bs_pc1_seuil6,2,IF(J$262&lt;bs_pc1_seuil7,1,IF(J$262&lt;bs_pc1_seuil8,0.5,0))))))))
+(J$263=2)*IF(J$262&lt;bs_pc2_seuil1,7,IF(J$262&lt;bs_pc2_seuil2,6,IF(J$262&lt;bs_pc2_seuil3,5,IF(J$262&lt;bs_pc2_seuil4,4,IF(J$262&lt;bs_pc2_seuil5,3,IF(J$262&lt;bs_pc2_seuil6,2,IF(J$262&lt;bs_pc2_seuil7,1,IF(J$262&lt;bs_pc2_seuil8,0.5,0))))))))
+(J$263=3)*IF(J$262&lt;bs_pc3_seuil1,7,IF(J$262&lt;bs_pc3_seuil2,6,IF(J$262&lt;bs_pc3_seuil3,5,IF(J$262&lt;bs_pc3_seuil4,4,IF(J$262&lt;bs_pc3_seuil5,3,IF(J$262&lt;bs_pc3_seuil6,2,IF(J$262&lt;bs_pc3_seuil7,1,IF(J$262&lt;bs_pc3_seuil8,0.5,0))))))))
+(J$263=4)*IF(J$262&lt;bs_pc4_seuil1,7,IF(J$262&lt;bs_pc4_seuil2,6,IF(J$262&lt;bs_pc4_seuil3,5,IF(J$262&lt;bs_pc4_seuil4,4,IF(J$262&lt;bs_pc4_seuil5,3,IF(J$262&lt;bs_pc4_seuil6,2,IF(J$262&lt;bs_pc4_seuil7,1,IF(J$262&lt;bs_pc4_seuil8,0.5,0))))))))
+(J$263=5)*IF(J$262&lt;bs_pc5_seuil1,7,IF(J$262&lt;bs_pc5_seuil2,6,IF(J$262&lt;bs_pc5_seuil3,5,IF(J$262&lt;bs_pc5_seuil4,4,IF(J$262&lt;bs_pc5_seuil5,3,IF(J$262&lt;bs_pc5_seuil6,2,IF(J$262&lt;bs_pc5_seuil7,1,IF(J$262&lt;bs_pc5_seuil8,0.5,0))))))))
+(J$263=6)*IF(J$262&lt;bs_pc6_seuil1,7,IF(J$262&lt;bs_pc6_seuil2,6,IF(J$262&lt;bs_pc6_seuil3,5,IF(J$262&lt;bs_pc6_seuil4,4,IF(J$262&lt;bs_pc6_seuil5,3,IF(J$262&lt;bs_pc6_seuil6,2,IF(J$262&lt;bs_pc6_seuil7,1,IF(J$262&lt;bs_pc6_seuil8,0.5,0))))))))
+(J$263=7)*IF(J$262&lt;bs_pc7_seuil1,7,IF(J$262&lt;bs_pc7_seuil2,6,IF(J$262&lt;bs_pc7_seuil3,5,IF(J$262&lt;bs_pc7_seuil4,4,IF(J$262&lt;bs_pc7_seuil5,3,IF(J$262&lt;bs_pc7_seuil6,2,IF(J$262&lt;bs_pc7_seuil7,1,IF(J$262&lt;bs_pc7_seuil8,0.5,0))))))))
+(J$263=8)*IF(J$262&lt;bs_pc8_seuil1,7,IF(J$262&lt;bs_pc8_seuil2,6,IF(J$262&lt;bs_pc8_seuil3,5,IF(J$262&lt;bs_pc8_seuil4,4,IF(J$262&lt;bs_pc8_seuil5,3,IF(J$262&lt;bs_pc8_seuil6,2,IF(J$262&lt;bs_pc8_seuil7,1,IF(J$262&lt;bs_pc8_seuil8,0.5,0))))))))
+(J$263=9)*IF(J$262&lt;bs_pc9_seuil1,7,IF(J$262&lt;bs_pc9_seuil2,6,IF(J$262&lt;bs_pc9_seuil3,5,IF(J$262&lt;bs_pc9_seuil4,4,IF(J$262&lt;bs_pc9_seuil5,3,IF(J$262&lt;bs_pc9_seuil6,2,IF(J$262&lt;bs_pc9_seuil7,1,IF(J$262&lt;bs_pc9_seuil8,0.5,0))))))))
+(J$263=10)*IF(J$262&lt;bs_pc10_seuil1,7,IF(J$262&lt;bs_pc10_seuil2,6,IF(J$262&lt;bs_pc10_seuil3,5,IF(J$262&lt;bs_pc10_seuil4,4,IF(J$262&lt;bs_pc10_seuil5,3,IF(J$262&lt;bs_pc10_seuil6,2,IF(J$262&lt;bs_pc10_seuil7,1,IF(J$262&lt;bs_pc10_seuil8,0.5,0))))))))
+(J$263=11)*IF(J$262&lt;bs_pc11_seuil1,7,IF(J$262&lt;bs_pc11_seuil2,6,IF(J$262&lt;bs_pc11_seuil3,5,IF(J$262&lt;bs_pc11_seuil4,4,IF(J$262&lt;bs_pc11_seuil5,3,IF(J$262&lt;bs_pc11_seuil6,2,IF(J$262&lt;bs_pc11_seuil7,1,IF(J$262&lt;bs_pc11_seuil8,0.5,0))))))))
+(J$263=12)*IF(J$262&lt;bs_pc12_seuil1,7,IF(J$262&lt;bs_pc12_seuil2,6,IF(J$262&lt;bs_pc12_seuil3,5,IF(J$262&lt;bs_pc12_seuil4,4,IF(J$262&lt;bs_pc12_seuil5,3,IF(J$262&lt;bs_pc12_seuil6,2,IF(J$262&lt;bs_pc12_seuil7,1,IF(J$262&lt;bs_pc12_seuil8,0.5,0))))))))
+(J$263=13)*IF(J$262&lt;bs_pc13_seuil1,7,IF(J$262&lt;bs_pc13_seuil2,6,IF(J$262&lt;bs_pc13_seuil3,5,IF(J$262&lt;bs_pc13_seuil4,4,IF(J$262&lt;bs_pc13_seuil5,3,IF(J$262&lt;bs_pc13_seuil6,2,IF(J$262&lt;bs_pc13_seuil7,1,IF(J$262&lt;bs_pc13_seuil8,0.5,0))))))))
+(J$263=14)*IF(J$262&lt;bs_pc14_seuil1,7,IF(J$262&lt;bs_pc14_seuil2,6,IF(J$262&lt;bs_pc14_seuil3,5,IF(J$262&lt;bs_pc14_seuil4,4,IF(J$262&lt;bs_pc14_seuil5,3,IF(J$262&lt;bs_pc14_seuil6,2,IF(J$262&lt;bs_pc14_seuil7,1,IF(J$262&lt;bs_pc14_seuil8,0.5,0))))))))
+(J$263=15)*IF(J$262&lt;bs_pc15_seuil1,7,IF(J$262&lt;bs_pc15_seuil2,6,IF(J$262&lt;bs_pc15_seuil3,5,IF(J$262&lt;bs_pc15_seuil4,4,IF(J$262&lt;bs_pc15_seuil5,3,IF(J$262&lt;bs_pc15_seuil6,2,IF(J$262&lt;bs_pc15_seuil7,1,IF(J$262&lt;bs_pc15_seuil8,0.5,0))))))))
+(J$263=16)*IF(J$262&lt;bs_pc16_seuil1,7,IF(J$262&lt;bs_pc16_seuil2,6,IF(J$262&lt;bs_pc16_seuil3,5,IF(J$262&lt;bs_pc16_seuil4,4,IF(J$262&lt;bs_pc16_seuil5,3,IF(J$262&lt;bs_pc16_seuil6,2,IF(J$262&lt;bs_pc16_seuil7,1,IF(J$262&lt;bs_pc16_seuil8,0.5,0))))))))
+(J$263=17)*IF(J$262&lt;bs_pc17_seuil1,7,IF(J$262&lt;bs_pc17_seuil2,6,IF(J$262&lt;bs_pc17_seuil3,5,IF(J$262&lt;bs_pc17_seuil4,4,IF(J$262&lt;bs_pc17_seuil5,3,IF(J$262&lt;bs_pc17_seuil6,2,IF(J$262&lt;bs_pc17_seuil7,1,IF(J$262&lt;bs_pc17_seuil8,0.5,0))))))))</f>
        <v>4</v>
      </c>
      <c r="K264" s="262">
        <f>(K$263=0)*IF(K$262&lt;bs_pc0_seuil1,7,IF(K$262&lt;bs_pc0_seuil2,6,IF(K$262&lt;bs_pc0_seuil3,5,IF(K$262&lt;bs_pc0_seuil4,4,IF(K$262&lt;bs_pc0_seuil5,3,IF(K$262&lt;bs_pc0_seuil6,2,IF(K$262&lt;bs_pc0_seuil7,1,IF(K$262&lt;bs_pc0_seuil8,0.5,0))))))))
+(K$263=1)*IF(K$262&lt;bs_pc1_seuil1,7,IF(K$262&lt;bs_pc1_seuil2,6,IF(K$262&lt;bs_pc1_seuil3,5,IF(K$262&lt;bs_pc1_seuil4,4,IF(K$262&lt;bs_pc1_seuil5,3,IF(K$262&lt;bs_pc1_seuil6,2,IF(K$262&lt;bs_pc1_seuil7,1,IF(K$262&lt;bs_pc1_seuil8,0.5,0))))))))
+(K$263=2)*IF(K$262&lt;bs_pc2_seuil1,7,IF(K$262&lt;bs_pc2_seuil2,6,IF(K$262&lt;bs_pc2_seuil3,5,IF(K$262&lt;bs_pc2_seuil4,4,IF(K$262&lt;bs_pc2_seuil5,3,IF(K$262&lt;bs_pc2_seuil6,2,IF(K$262&lt;bs_pc2_seuil7,1,IF(K$262&lt;bs_pc2_seuil8,0.5,0))))))))
+(K$263=3)*IF(K$262&lt;bs_pc3_seuil1,7,IF(K$262&lt;bs_pc3_seuil2,6,IF(K$262&lt;bs_pc3_seuil3,5,IF(K$262&lt;bs_pc3_seuil4,4,IF(K$262&lt;bs_pc3_seuil5,3,IF(K$262&lt;bs_pc3_seuil6,2,IF(K$262&lt;bs_pc3_seuil7,1,IF(K$262&lt;bs_pc3_seuil8,0.5,0))))))))
+(K$263=4)*IF(K$262&lt;bs_pc4_seuil1,7,IF(K$262&lt;bs_pc4_seuil2,6,IF(K$262&lt;bs_pc4_seuil3,5,IF(K$262&lt;bs_pc4_seuil4,4,IF(K$262&lt;bs_pc4_seuil5,3,IF(K$262&lt;bs_pc4_seuil6,2,IF(K$262&lt;bs_pc4_seuil7,1,IF(K$262&lt;bs_pc4_seuil8,0.5,0))))))))
+(K$263=5)*IF(K$262&lt;bs_pc5_seuil1,7,IF(K$262&lt;bs_pc5_seuil2,6,IF(K$262&lt;bs_pc5_seuil3,5,IF(K$262&lt;bs_pc5_seuil4,4,IF(K$262&lt;bs_pc5_seuil5,3,IF(K$262&lt;bs_pc5_seuil6,2,IF(K$262&lt;bs_pc5_seuil7,1,IF(K$262&lt;bs_pc5_seuil8,0.5,0))))))))
+(K$263=6)*IF(K$262&lt;bs_pc6_seuil1,7,IF(K$262&lt;bs_pc6_seuil2,6,IF(K$262&lt;bs_pc6_seuil3,5,IF(K$262&lt;bs_pc6_seuil4,4,IF(K$262&lt;bs_pc6_seuil5,3,IF(K$262&lt;bs_pc6_seuil6,2,IF(K$262&lt;bs_pc6_seuil7,1,IF(K$262&lt;bs_pc6_seuil8,0.5,0))))))))
+(K$263=7)*IF(K$262&lt;bs_pc7_seuil1,7,IF(K$262&lt;bs_pc7_seuil2,6,IF(K$262&lt;bs_pc7_seuil3,5,IF(K$262&lt;bs_pc7_seuil4,4,IF(K$262&lt;bs_pc7_seuil5,3,IF(K$262&lt;bs_pc7_seuil6,2,IF(K$262&lt;bs_pc7_seuil7,1,IF(K$262&lt;bs_pc7_seuil8,0.5,0))))))))
+(K$263=8)*IF(K$262&lt;bs_pc8_seuil1,7,IF(K$262&lt;bs_pc8_seuil2,6,IF(K$262&lt;bs_pc8_seuil3,5,IF(K$262&lt;bs_pc8_seuil4,4,IF(K$262&lt;bs_pc8_seuil5,3,IF(K$262&lt;bs_pc8_seuil6,2,IF(K$262&lt;bs_pc8_seuil7,1,IF(K$262&lt;bs_pc8_seuil8,0.5,0))))))))
+(K$263=9)*IF(K$262&lt;bs_pc9_seuil1,7,IF(K$262&lt;bs_pc9_seuil2,6,IF(K$262&lt;bs_pc9_seuil3,5,IF(K$262&lt;bs_pc9_seuil4,4,IF(K$262&lt;bs_pc9_seuil5,3,IF(K$262&lt;bs_pc9_seuil6,2,IF(K$262&lt;bs_pc9_seuil7,1,IF(K$262&lt;bs_pc9_seuil8,0.5,0))))))))
+(K$263=10)*IF(K$262&lt;bs_pc10_seuil1,7,IF(K$262&lt;bs_pc10_seuil2,6,IF(K$262&lt;bs_pc10_seuil3,5,IF(K$262&lt;bs_pc10_seuil4,4,IF(K$262&lt;bs_pc10_seuil5,3,IF(K$262&lt;bs_pc10_seuil6,2,IF(K$262&lt;bs_pc10_seuil7,1,IF(K$262&lt;bs_pc10_seuil8,0.5,0))))))))
+(K$263=11)*IF(K$262&lt;bs_pc11_seuil1,7,IF(K$262&lt;bs_pc11_seuil2,6,IF(K$262&lt;bs_pc11_seuil3,5,IF(K$262&lt;bs_pc11_seuil4,4,IF(K$262&lt;bs_pc11_seuil5,3,IF(K$262&lt;bs_pc11_seuil6,2,IF(K$262&lt;bs_pc11_seuil7,1,IF(K$262&lt;bs_pc11_seuil8,0.5,0))))))))
+(K$263=12)*IF(K$262&lt;bs_pc12_seuil1,7,IF(K$262&lt;bs_pc12_seuil2,6,IF(K$262&lt;bs_pc12_seuil3,5,IF(K$262&lt;bs_pc12_seuil4,4,IF(K$262&lt;bs_pc12_seuil5,3,IF(K$262&lt;bs_pc12_seuil6,2,IF(K$262&lt;bs_pc12_seuil7,1,IF(K$262&lt;bs_pc12_seuil8,0.5,0))))))))
+(K$263=13)*IF(K$262&lt;bs_pc13_seuil1,7,IF(K$262&lt;bs_pc13_seuil2,6,IF(K$262&lt;bs_pc13_seuil3,5,IF(K$262&lt;bs_pc13_seuil4,4,IF(K$262&lt;bs_pc13_seuil5,3,IF(K$262&lt;bs_pc13_seuil6,2,IF(K$262&lt;bs_pc13_seuil7,1,IF(K$262&lt;bs_pc13_seuil8,0.5,0))))))))
+(K$263=14)*IF(K$262&lt;bs_pc14_seuil1,7,IF(K$262&lt;bs_pc14_seuil2,6,IF(K$262&lt;bs_pc14_seuil3,5,IF(K$262&lt;bs_pc14_seuil4,4,IF(K$262&lt;bs_pc14_seuil5,3,IF(K$262&lt;bs_pc14_seuil6,2,IF(K$262&lt;bs_pc14_seuil7,1,IF(K$262&lt;bs_pc14_seuil8,0.5,0))))))))
+(K$263=15)*IF(K$262&lt;bs_pc15_seuil1,7,IF(K$262&lt;bs_pc15_seuil2,6,IF(K$262&lt;bs_pc15_seuil3,5,IF(K$262&lt;bs_pc15_seuil4,4,IF(K$262&lt;bs_pc15_seuil5,3,IF(K$262&lt;bs_pc15_seuil6,2,IF(K$262&lt;bs_pc15_seuil7,1,IF(K$262&lt;bs_pc15_seuil8,0.5,0))))))))
+(K$263=16)*IF(K$262&lt;bs_pc16_seuil1,7,IF(K$262&lt;bs_pc16_seuil2,6,IF(K$262&lt;bs_pc16_seuil3,5,IF(K$262&lt;bs_pc16_seuil4,4,IF(K$262&lt;bs_pc16_seuil5,3,IF(K$262&lt;bs_pc16_seuil6,2,IF(K$262&lt;bs_pc16_seuil7,1,IF(K$262&lt;bs_pc16_seuil8,0.5,0))))))))
+(K$263=17)*IF(K$262&lt;bs_pc17_seuil1,7,IF(K$262&lt;bs_pc17_seuil2,6,IF(K$262&lt;bs_pc17_seuil3,5,IF(K$262&lt;bs_pc17_seuil4,4,IF(K$262&lt;bs_pc17_seuil5,3,IF(K$262&lt;bs_pc17_seuil6,2,IF(K$262&lt;bs_pc17_seuil7,1,IF(K$262&lt;bs_pc17_seuil8,0.5,0))))))))</f>
        <v>1</v>
      </c>
      <c r="M264" s="262">
        <f>(M$263=0)*IF(M$262&lt;bs_pc0_seuil1,7,IF(M$262&lt;bs_pc0_seuil2,6,IF(M$262&lt;bs_pc0_seuil3,5,IF(M$262&lt;bs_pc0_seuil4,4,IF(M$262&lt;bs_pc0_seuil5,3,IF(M$262&lt;bs_pc0_seuil6,2,IF(M$262&lt;bs_pc0_seuil7,1,IF(M$262&lt;bs_pc0_seuil8,0.5,0))))))))
+(M$263=1)*IF(M$262&lt;bs_pc1_seuil1,7,IF(M$262&lt;bs_pc1_seuil2,6,IF(M$262&lt;bs_pc1_seuil3,5,IF(M$262&lt;bs_pc1_seuil4,4,IF(M$262&lt;bs_pc1_seuil5,3,IF(M$262&lt;bs_pc1_seuil6,2,IF(M$262&lt;bs_pc1_seuil7,1,IF(M$262&lt;bs_pc1_seuil8,0.5,0))))))))
+(M$263=2)*IF(M$262&lt;bs_pc2_seuil1,7,IF(M$262&lt;bs_pc2_seuil2,6,IF(M$262&lt;bs_pc2_seuil3,5,IF(M$262&lt;bs_pc2_seuil4,4,IF(M$262&lt;bs_pc2_seuil5,3,IF(M$262&lt;bs_pc2_seuil6,2,IF(M$262&lt;bs_pc2_seuil7,1,IF(M$262&lt;bs_pc2_seuil8,0.5,0))))))))
+(M$263=3)*IF(M$262&lt;bs_pc3_seuil1,7,IF(M$262&lt;bs_pc3_seuil2,6,IF(M$262&lt;bs_pc3_seuil3,5,IF(M$262&lt;bs_pc3_seuil4,4,IF(M$262&lt;bs_pc3_seuil5,3,IF(M$262&lt;bs_pc3_seuil6,2,IF(M$262&lt;bs_pc3_seuil7,1,IF(M$262&lt;bs_pc3_seuil8,0.5,0))))))))
+(M$263=4)*IF(M$262&lt;bs_pc4_seuil1,7,IF(M$262&lt;bs_pc4_seuil2,6,IF(M$262&lt;bs_pc4_seuil3,5,IF(M$262&lt;bs_pc4_seuil4,4,IF(M$262&lt;bs_pc4_seuil5,3,IF(M$262&lt;bs_pc4_seuil6,2,IF(M$262&lt;bs_pc4_seuil7,1,IF(M$262&lt;bs_pc4_seuil8,0.5,0))))))))
+(M$263=5)*IF(M$262&lt;bs_pc5_seuil1,7,IF(M$262&lt;bs_pc5_seuil2,6,IF(M$262&lt;bs_pc5_seuil3,5,IF(M$262&lt;bs_pc5_seuil4,4,IF(M$262&lt;bs_pc5_seuil5,3,IF(M$262&lt;bs_pc5_seuil6,2,IF(M$262&lt;bs_pc5_seuil7,1,IF(M$262&lt;bs_pc5_seuil8,0.5,0))))))))
+(M$263=6)*IF(M$262&lt;bs_pc6_seuil1,7,IF(M$262&lt;bs_pc6_seuil2,6,IF(M$262&lt;bs_pc6_seuil3,5,IF(M$262&lt;bs_pc6_seuil4,4,IF(M$262&lt;bs_pc6_seuil5,3,IF(M$262&lt;bs_pc6_seuil6,2,IF(M$262&lt;bs_pc6_seuil7,1,IF(M$262&lt;bs_pc6_seuil8,0.5,0))))))))
+(M$263=7)*IF(M$262&lt;bs_pc7_seuil1,7,IF(M$262&lt;bs_pc7_seuil2,6,IF(M$262&lt;bs_pc7_seuil3,5,IF(M$262&lt;bs_pc7_seuil4,4,IF(M$262&lt;bs_pc7_seuil5,3,IF(M$262&lt;bs_pc7_seuil6,2,IF(M$262&lt;bs_pc7_seuil7,1,IF(M$262&lt;bs_pc7_seuil8,0.5,0))))))))
+(M$263=8)*IF(M$262&lt;bs_pc8_seuil1,7,IF(M$262&lt;bs_pc8_seuil2,6,IF(M$262&lt;bs_pc8_seuil3,5,IF(M$262&lt;bs_pc8_seuil4,4,IF(M$262&lt;bs_pc8_seuil5,3,IF(M$262&lt;bs_pc8_seuil6,2,IF(M$262&lt;bs_pc8_seuil7,1,IF(M$262&lt;bs_pc8_seuil8,0.5,0))))))))
+(M$263=9)*IF(M$262&lt;bs_pc9_seuil1,7,IF(M$262&lt;bs_pc9_seuil2,6,IF(M$262&lt;bs_pc9_seuil3,5,IF(M$262&lt;bs_pc9_seuil4,4,IF(M$262&lt;bs_pc9_seuil5,3,IF(M$262&lt;bs_pc9_seuil6,2,IF(M$262&lt;bs_pc9_seuil7,1,IF(M$262&lt;bs_pc9_seuil8,0.5,0))))))))
+(M$263=10)*IF(M$262&lt;bs_pc10_seuil1,7,IF(M$262&lt;bs_pc10_seuil2,6,IF(M$262&lt;bs_pc10_seuil3,5,IF(M$262&lt;bs_pc10_seuil4,4,IF(M$262&lt;bs_pc10_seuil5,3,IF(M$262&lt;bs_pc10_seuil6,2,IF(M$262&lt;bs_pc10_seuil7,1,IF(M$262&lt;bs_pc10_seuil8,0.5,0))))))))
+(M$263=11)*IF(M$262&lt;bs_pc11_seuil1,7,IF(M$262&lt;bs_pc11_seuil2,6,IF(M$262&lt;bs_pc11_seuil3,5,IF(M$262&lt;bs_pc11_seuil4,4,IF(M$262&lt;bs_pc11_seuil5,3,IF(M$262&lt;bs_pc11_seuil6,2,IF(M$262&lt;bs_pc11_seuil7,1,IF(M$262&lt;bs_pc11_seuil8,0.5,0))))))))
+(M$263=12)*IF(M$262&lt;bs_pc12_seuil1,7,IF(M$262&lt;bs_pc12_seuil2,6,IF(M$262&lt;bs_pc12_seuil3,5,IF(M$262&lt;bs_pc12_seuil4,4,IF(M$262&lt;bs_pc12_seuil5,3,IF(M$262&lt;bs_pc12_seuil6,2,IF(M$262&lt;bs_pc12_seuil7,1,IF(M$262&lt;bs_pc12_seuil8,0.5,0))))))))
+(M$263=13)*IF(M$262&lt;bs_pc13_seuil1,7,IF(M$262&lt;bs_pc13_seuil2,6,IF(M$262&lt;bs_pc13_seuil3,5,IF(M$262&lt;bs_pc13_seuil4,4,IF(M$262&lt;bs_pc13_seuil5,3,IF(M$262&lt;bs_pc13_seuil6,2,IF(M$262&lt;bs_pc13_seuil7,1,IF(M$262&lt;bs_pc13_seuil8,0.5,0))))))))
+(M$263=14)*IF(M$262&lt;bs_pc14_seuil1,7,IF(M$262&lt;bs_pc14_seuil2,6,IF(M$262&lt;bs_pc14_seuil3,5,IF(M$262&lt;bs_pc14_seuil4,4,IF(M$262&lt;bs_pc14_seuil5,3,IF(M$262&lt;bs_pc14_seuil6,2,IF(M$262&lt;bs_pc14_seuil7,1,IF(M$262&lt;bs_pc14_seuil8,0.5,0))))))))
+(M$263=15)*IF(M$262&lt;bs_pc15_seuil1,7,IF(M$262&lt;bs_pc15_seuil2,6,IF(M$262&lt;bs_pc15_seuil3,5,IF(M$262&lt;bs_pc15_seuil4,4,IF(M$262&lt;bs_pc15_seuil5,3,IF(M$262&lt;bs_pc15_seuil6,2,IF(M$262&lt;bs_pc15_seuil7,1,IF(M$262&lt;bs_pc15_seuil8,0.5,0))))))))
+(M$263=16)*IF(M$262&lt;bs_pc16_seuil1,7,IF(M$262&lt;bs_pc16_seuil2,6,IF(M$262&lt;bs_pc16_seuil3,5,IF(M$262&lt;bs_pc16_seuil4,4,IF(M$262&lt;bs_pc16_seuil5,3,IF(M$262&lt;bs_pc16_seuil6,2,IF(M$262&lt;bs_pc16_seuil7,1,IF(M$262&lt;bs_pc16_seuil8,0.5,0))))))))
+(M$263=17)*IF(M$262&lt;bs_pc17_seuil1,7,IF(M$262&lt;bs_pc17_seuil2,6,IF(M$262&lt;bs_pc17_seuil3,5,IF(M$262&lt;bs_pc17_seuil4,4,IF(M$262&lt;bs_pc17_seuil5,3,IF(M$262&lt;bs_pc17_seuil6,2,IF(M$262&lt;bs_pc17_seuil7,1,IF(M$262&lt;bs_pc17_seuil8,0.5,0))))))))</f>
        <v>7</v>
      </c>
      <c r="N264" s="262">
        <f>(N$263=0)*IF(N$262&lt;bs_pc0_seuil1,7,IF(N$262&lt;bs_pc0_seuil2,6,IF(N$262&lt;bs_pc0_seuil3,5,IF(N$262&lt;bs_pc0_seuil4,4,IF(N$262&lt;bs_pc0_seuil5,3,IF(N$262&lt;bs_pc0_seuil6,2,IF(N$262&lt;bs_pc0_seuil7,1,IF(N$262&lt;bs_pc0_seuil8,0.5,0))))))))
+(N$263=1)*IF(N$262&lt;bs_pc1_seuil1,7,IF(N$262&lt;bs_pc1_seuil2,6,IF(N$262&lt;bs_pc1_seuil3,5,IF(N$262&lt;bs_pc1_seuil4,4,IF(N$262&lt;bs_pc1_seuil5,3,IF(N$262&lt;bs_pc1_seuil6,2,IF(N$262&lt;bs_pc1_seuil7,1,IF(N$262&lt;bs_pc1_seuil8,0.5,0))))))))
+(N$263=2)*IF(N$262&lt;bs_pc2_seuil1,7,IF(N$262&lt;bs_pc2_seuil2,6,IF(N$262&lt;bs_pc2_seuil3,5,IF(N$262&lt;bs_pc2_seuil4,4,IF(N$262&lt;bs_pc2_seuil5,3,IF(N$262&lt;bs_pc2_seuil6,2,IF(N$262&lt;bs_pc2_seuil7,1,IF(N$262&lt;bs_pc2_seuil8,0.5,0))))))))
+(N$263=3)*IF(N$262&lt;bs_pc3_seuil1,7,IF(N$262&lt;bs_pc3_seuil2,6,IF(N$262&lt;bs_pc3_seuil3,5,IF(N$262&lt;bs_pc3_seuil4,4,IF(N$262&lt;bs_pc3_seuil5,3,IF(N$262&lt;bs_pc3_seuil6,2,IF(N$262&lt;bs_pc3_seuil7,1,IF(N$262&lt;bs_pc3_seuil8,0.5,0))))))))
+(N$263=4)*IF(N$262&lt;bs_pc4_seuil1,7,IF(N$262&lt;bs_pc4_seuil2,6,IF(N$262&lt;bs_pc4_seuil3,5,IF(N$262&lt;bs_pc4_seuil4,4,IF(N$262&lt;bs_pc4_seuil5,3,IF(N$262&lt;bs_pc4_seuil6,2,IF(N$262&lt;bs_pc4_seuil7,1,IF(N$262&lt;bs_pc4_seuil8,0.5,0))))))))
+(N$263=5)*IF(N$262&lt;bs_pc5_seuil1,7,IF(N$262&lt;bs_pc5_seuil2,6,IF(N$262&lt;bs_pc5_seuil3,5,IF(N$262&lt;bs_pc5_seuil4,4,IF(N$262&lt;bs_pc5_seuil5,3,IF(N$262&lt;bs_pc5_seuil6,2,IF(N$262&lt;bs_pc5_seuil7,1,IF(N$262&lt;bs_pc5_seuil8,0.5,0))))))))
+(N$263=6)*IF(N$262&lt;bs_pc6_seuil1,7,IF(N$262&lt;bs_pc6_seuil2,6,IF(N$262&lt;bs_pc6_seuil3,5,IF(N$262&lt;bs_pc6_seuil4,4,IF(N$262&lt;bs_pc6_seuil5,3,IF(N$262&lt;bs_pc6_seuil6,2,IF(N$262&lt;bs_pc6_seuil7,1,IF(N$262&lt;bs_pc6_seuil8,0.5,0))))))))
+(N$263=7)*IF(N$262&lt;bs_pc7_seuil1,7,IF(N$262&lt;bs_pc7_seuil2,6,IF(N$262&lt;bs_pc7_seuil3,5,IF(N$262&lt;bs_pc7_seuil4,4,IF(N$262&lt;bs_pc7_seuil5,3,IF(N$262&lt;bs_pc7_seuil6,2,IF(N$262&lt;bs_pc7_seuil7,1,IF(N$262&lt;bs_pc7_seuil8,0.5,0))))))))
+(N$263=8)*IF(N$262&lt;bs_pc8_seuil1,7,IF(N$262&lt;bs_pc8_seuil2,6,IF(N$262&lt;bs_pc8_seuil3,5,IF(N$262&lt;bs_pc8_seuil4,4,IF(N$262&lt;bs_pc8_seuil5,3,IF(N$262&lt;bs_pc8_seuil6,2,IF(N$262&lt;bs_pc8_seuil7,1,IF(N$262&lt;bs_pc8_seuil8,0.5,0))))))))
+(N$263=9)*IF(N$262&lt;bs_pc9_seuil1,7,IF(N$262&lt;bs_pc9_seuil2,6,IF(N$262&lt;bs_pc9_seuil3,5,IF(N$262&lt;bs_pc9_seuil4,4,IF(N$262&lt;bs_pc9_seuil5,3,IF(N$262&lt;bs_pc9_seuil6,2,IF(N$262&lt;bs_pc9_seuil7,1,IF(N$262&lt;bs_pc9_seuil8,0.5,0))))))))
+(N$263=10)*IF(N$262&lt;bs_pc10_seuil1,7,IF(N$262&lt;bs_pc10_seuil2,6,IF(N$262&lt;bs_pc10_seuil3,5,IF(N$262&lt;bs_pc10_seuil4,4,IF(N$262&lt;bs_pc10_seuil5,3,IF(N$262&lt;bs_pc10_seuil6,2,IF(N$262&lt;bs_pc10_seuil7,1,IF(N$262&lt;bs_pc10_seuil8,0.5,0))))))))
+(N$263=11)*IF(N$262&lt;bs_pc11_seuil1,7,IF(N$262&lt;bs_pc11_seuil2,6,IF(N$262&lt;bs_pc11_seuil3,5,IF(N$262&lt;bs_pc11_seuil4,4,IF(N$262&lt;bs_pc11_seuil5,3,IF(N$262&lt;bs_pc11_seuil6,2,IF(N$262&lt;bs_pc11_seuil7,1,IF(N$262&lt;bs_pc11_seuil8,0.5,0))))))))
+(N$263=12)*IF(N$262&lt;bs_pc12_seuil1,7,IF(N$262&lt;bs_pc12_seuil2,6,IF(N$262&lt;bs_pc12_seuil3,5,IF(N$262&lt;bs_pc12_seuil4,4,IF(N$262&lt;bs_pc12_seuil5,3,IF(N$262&lt;bs_pc12_seuil6,2,IF(N$262&lt;bs_pc12_seuil7,1,IF(N$262&lt;bs_pc12_seuil8,0.5,0))))))))
+(N$263=13)*IF(N$262&lt;bs_pc13_seuil1,7,IF(N$262&lt;bs_pc13_seuil2,6,IF(N$262&lt;bs_pc13_seuil3,5,IF(N$262&lt;bs_pc13_seuil4,4,IF(N$262&lt;bs_pc13_seuil5,3,IF(N$262&lt;bs_pc13_seuil6,2,IF(N$262&lt;bs_pc13_seuil7,1,IF(N$262&lt;bs_pc13_seuil8,0.5,0))))))))
+(N$263=14)*IF(N$262&lt;bs_pc14_seuil1,7,IF(N$262&lt;bs_pc14_seuil2,6,IF(N$262&lt;bs_pc14_seuil3,5,IF(N$262&lt;bs_pc14_seuil4,4,IF(N$262&lt;bs_pc14_seuil5,3,IF(N$262&lt;bs_pc14_seuil6,2,IF(N$262&lt;bs_pc14_seuil7,1,IF(N$262&lt;bs_pc14_seuil8,0.5,0))))))))
+(N$263=15)*IF(N$262&lt;bs_pc15_seuil1,7,IF(N$262&lt;bs_pc15_seuil2,6,IF(N$262&lt;bs_pc15_seuil3,5,IF(N$262&lt;bs_pc15_seuil4,4,IF(N$262&lt;bs_pc15_seuil5,3,IF(N$262&lt;bs_pc15_seuil6,2,IF(N$262&lt;bs_pc15_seuil7,1,IF(N$262&lt;bs_pc15_seuil8,0.5,0))))))))
+(N$263=16)*IF(N$262&lt;bs_pc16_seuil1,7,IF(N$262&lt;bs_pc16_seuil2,6,IF(N$262&lt;bs_pc16_seuil3,5,IF(N$262&lt;bs_pc16_seuil4,4,IF(N$262&lt;bs_pc16_seuil5,3,IF(N$262&lt;bs_pc16_seuil6,2,IF(N$262&lt;bs_pc16_seuil7,1,IF(N$262&lt;bs_pc16_seuil8,0.5,0))))))))
+(N$263=17)*IF(N$262&lt;bs_pc17_seuil1,7,IF(N$262&lt;bs_pc17_seuil2,6,IF(N$262&lt;bs_pc17_seuil3,5,IF(N$262&lt;bs_pc17_seuil4,4,IF(N$262&lt;bs_pc17_seuil5,3,IF(N$262&lt;bs_pc17_seuil6,2,IF(N$262&lt;bs_pc17_seuil7,1,IF(N$262&lt;bs_pc17_seuil8,0.5,0))))))))</f>
        <v>6</v>
      </c>
      <c r="O264" s="262">
        <f>(O$263=0)*IF(O$262&lt;bs_pc0_seuil1,7,IF(O$262&lt;bs_pc0_seuil2,6,IF(O$262&lt;bs_pc0_seuil3,5,IF(O$262&lt;bs_pc0_seuil4,4,IF(O$262&lt;bs_pc0_seuil5,3,IF(O$262&lt;bs_pc0_seuil6,2,IF(O$262&lt;bs_pc0_seuil7,1,IF(O$262&lt;bs_pc0_seuil8,0.5,0))))))))
+(O$263=1)*IF(O$262&lt;bs_pc1_seuil1,7,IF(O$262&lt;bs_pc1_seuil2,6,IF(O$262&lt;bs_pc1_seuil3,5,IF(O$262&lt;bs_pc1_seuil4,4,IF(O$262&lt;bs_pc1_seuil5,3,IF(O$262&lt;bs_pc1_seuil6,2,IF(O$262&lt;bs_pc1_seuil7,1,IF(O$262&lt;bs_pc1_seuil8,0.5,0))))))))
+(O$263=2)*IF(O$262&lt;bs_pc2_seuil1,7,IF(O$262&lt;bs_pc2_seuil2,6,IF(O$262&lt;bs_pc2_seuil3,5,IF(O$262&lt;bs_pc2_seuil4,4,IF(O$262&lt;bs_pc2_seuil5,3,IF(O$262&lt;bs_pc2_seuil6,2,IF(O$262&lt;bs_pc2_seuil7,1,IF(O$262&lt;bs_pc2_seuil8,0.5,0))))))))
+(O$263=3)*IF(O$262&lt;bs_pc3_seuil1,7,IF(O$262&lt;bs_pc3_seuil2,6,IF(O$262&lt;bs_pc3_seuil3,5,IF(O$262&lt;bs_pc3_seuil4,4,IF(O$262&lt;bs_pc3_seuil5,3,IF(O$262&lt;bs_pc3_seuil6,2,IF(O$262&lt;bs_pc3_seuil7,1,IF(O$262&lt;bs_pc3_seuil8,0.5,0))))))))
+(O$263=4)*IF(O$262&lt;bs_pc4_seuil1,7,IF(O$262&lt;bs_pc4_seuil2,6,IF(O$262&lt;bs_pc4_seuil3,5,IF(O$262&lt;bs_pc4_seuil4,4,IF(O$262&lt;bs_pc4_seuil5,3,IF(O$262&lt;bs_pc4_seuil6,2,IF(O$262&lt;bs_pc4_seuil7,1,IF(O$262&lt;bs_pc4_seuil8,0.5,0))))))))
+(O$263=5)*IF(O$262&lt;bs_pc5_seuil1,7,IF(O$262&lt;bs_pc5_seuil2,6,IF(O$262&lt;bs_pc5_seuil3,5,IF(O$262&lt;bs_pc5_seuil4,4,IF(O$262&lt;bs_pc5_seuil5,3,IF(O$262&lt;bs_pc5_seuil6,2,IF(O$262&lt;bs_pc5_seuil7,1,IF(O$262&lt;bs_pc5_seuil8,0.5,0))))))))
+(O$263=6)*IF(O$262&lt;bs_pc6_seuil1,7,IF(O$262&lt;bs_pc6_seuil2,6,IF(O$262&lt;bs_pc6_seuil3,5,IF(O$262&lt;bs_pc6_seuil4,4,IF(O$262&lt;bs_pc6_seuil5,3,IF(O$262&lt;bs_pc6_seuil6,2,IF(O$262&lt;bs_pc6_seuil7,1,IF(O$262&lt;bs_pc6_seuil8,0.5,0))))))))
+(O$263=7)*IF(O$262&lt;bs_pc7_seuil1,7,IF(O$262&lt;bs_pc7_seuil2,6,IF(O$262&lt;bs_pc7_seuil3,5,IF(O$262&lt;bs_pc7_seuil4,4,IF(O$262&lt;bs_pc7_seuil5,3,IF(O$262&lt;bs_pc7_seuil6,2,IF(O$262&lt;bs_pc7_seuil7,1,IF(O$262&lt;bs_pc7_seuil8,0.5,0))))))))
+(O$263=8)*IF(O$262&lt;bs_pc8_seuil1,7,IF(O$262&lt;bs_pc8_seuil2,6,IF(O$262&lt;bs_pc8_seuil3,5,IF(O$262&lt;bs_pc8_seuil4,4,IF(O$262&lt;bs_pc8_seuil5,3,IF(O$262&lt;bs_pc8_seuil6,2,IF(O$262&lt;bs_pc8_seuil7,1,IF(O$262&lt;bs_pc8_seuil8,0.5,0))))))))
+(O$263=9)*IF(O$262&lt;bs_pc9_seuil1,7,IF(O$262&lt;bs_pc9_seuil2,6,IF(O$262&lt;bs_pc9_seuil3,5,IF(O$262&lt;bs_pc9_seuil4,4,IF(O$262&lt;bs_pc9_seuil5,3,IF(O$262&lt;bs_pc9_seuil6,2,IF(O$262&lt;bs_pc9_seuil7,1,IF(O$262&lt;bs_pc9_seuil8,0.5,0))))))))
+(O$263=10)*IF(O$262&lt;bs_pc10_seuil1,7,IF(O$262&lt;bs_pc10_seuil2,6,IF(O$262&lt;bs_pc10_seuil3,5,IF(O$262&lt;bs_pc10_seuil4,4,IF(O$262&lt;bs_pc10_seuil5,3,IF(O$262&lt;bs_pc10_seuil6,2,IF(O$262&lt;bs_pc10_seuil7,1,IF(O$262&lt;bs_pc10_seuil8,0.5,0))))))))
+(O$263=11)*IF(O$262&lt;bs_pc11_seuil1,7,IF(O$262&lt;bs_pc11_seuil2,6,IF(O$262&lt;bs_pc11_seuil3,5,IF(O$262&lt;bs_pc11_seuil4,4,IF(O$262&lt;bs_pc11_seuil5,3,IF(O$262&lt;bs_pc11_seuil6,2,IF(O$262&lt;bs_pc11_seuil7,1,IF(O$262&lt;bs_pc11_seuil8,0.5,0))))))))
+(O$263=12)*IF(O$262&lt;bs_pc12_seuil1,7,IF(O$262&lt;bs_pc12_seuil2,6,IF(O$262&lt;bs_pc12_seuil3,5,IF(O$262&lt;bs_pc12_seuil4,4,IF(O$262&lt;bs_pc12_seuil5,3,IF(O$262&lt;bs_pc12_seuil6,2,IF(O$262&lt;bs_pc12_seuil7,1,IF(O$262&lt;bs_pc12_seuil8,0.5,0))))))))
+(O$263=13)*IF(O$262&lt;bs_pc13_seuil1,7,IF(O$262&lt;bs_pc13_seuil2,6,IF(O$262&lt;bs_pc13_seuil3,5,IF(O$262&lt;bs_pc13_seuil4,4,IF(O$262&lt;bs_pc13_seuil5,3,IF(O$262&lt;bs_pc13_seuil6,2,IF(O$262&lt;bs_pc13_seuil7,1,IF(O$262&lt;bs_pc13_seuil8,0.5,0))))))))
+(O$263=14)*IF(O$262&lt;bs_pc14_seuil1,7,IF(O$262&lt;bs_pc14_seuil2,6,IF(O$262&lt;bs_pc14_seuil3,5,IF(O$262&lt;bs_pc14_seuil4,4,IF(O$262&lt;bs_pc14_seuil5,3,IF(O$262&lt;bs_pc14_seuil6,2,IF(O$262&lt;bs_pc14_seuil7,1,IF(O$262&lt;bs_pc14_seuil8,0.5,0))))))))
+(O$263=15)*IF(O$262&lt;bs_pc15_seuil1,7,IF(O$262&lt;bs_pc15_seuil2,6,IF(O$262&lt;bs_pc15_seuil3,5,IF(O$262&lt;bs_pc15_seuil4,4,IF(O$262&lt;bs_pc15_seuil5,3,IF(O$262&lt;bs_pc15_seuil6,2,IF(O$262&lt;bs_pc15_seuil7,1,IF(O$262&lt;bs_pc15_seuil8,0.5,0))))))))
+(O$263=16)*IF(O$262&lt;bs_pc16_seuil1,7,IF(O$262&lt;bs_pc16_seuil2,6,IF(O$262&lt;bs_pc16_seuil3,5,IF(O$262&lt;bs_pc16_seuil4,4,IF(O$262&lt;bs_pc16_seuil5,3,IF(O$262&lt;bs_pc16_seuil6,2,IF(O$262&lt;bs_pc16_seuil7,1,IF(O$262&lt;bs_pc16_seuil8,0.5,0))))))))
+(O$263=17)*IF(O$262&lt;bs_pc17_seuil1,7,IF(O$262&lt;bs_pc17_seuil2,6,IF(O$262&lt;bs_pc17_seuil3,5,IF(O$262&lt;bs_pc17_seuil4,4,IF(O$262&lt;bs_pc17_seuil5,3,IF(O$262&lt;bs_pc17_seuil6,2,IF(O$262&lt;bs_pc17_seuil7,1,IF(O$262&lt;bs_pc17_seuil8,0.5,0))))))))</f>
        <v>4</v>
      </c>
      <c r="P264" s="262">
        <f>(P$263=0)*IF(P$262&lt;bs_pc0_seuil1,7,IF(P$262&lt;bs_pc0_seuil2,6,IF(P$262&lt;bs_pc0_seuil3,5,IF(P$262&lt;bs_pc0_seuil4,4,IF(P$262&lt;bs_pc0_seuil5,3,IF(P$262&lt;bs_pc0_seuil6,2,IF(P$262&lt;bs_pc0_seuil7,1,IF(P$262&lt;bs_pc0_seuil8,0.5,0))))))))
+(P$263=1)*IF(P$262&lt;bs_pc1_seuil1,7,IF(P$262&lt;bs_pc1_seuil2,6,IF(P$262&lt;bs_pc1_seuil3,5,IF(P$262&lt;bs_pc1_seuil4,4,IF(P$262&lt;bs_pc1_seuil5,3,IF(P$262&lt;bs_pc1_seuil6,2,IF(P$262&lt;bs_pc1_seuil7,1,IF(P$262&lt;bs_pc1_seuil8,0.5,0))))))))
+(P$263=2)*IF(P$262&lt;bs_pc2_seuil1,7,IF(P$262&lt;bs_pc2_seuil2,6,IF(P$262&lt;bs_pc2_seuil3,5,IF(P$262&lt;bs_pc2_seuil4,4,IF(P$262&lt;bs_pc2_seuil5,3,IF(P$262&lt;bs_pc2_seuil6,2,IF(P$262&lt;bs_pc2_seuil7,1,IF(P$262&lt;bs_pc2_seuil8,0.5,0))))))))
+(P$263=3)*IF(P$262&lt;bs_pc3_seuil1,7,IF(P$262&lt;bs_pc3_seuil2,6,IF(P$262&lt;bs_pc3_seuil3,5,IF(P$262&lt;bs_pc3_seuil4,4,IF(P$262&lt;bs_pc3_seuil5,3,IF(P$262&lt;bs_pc3_seuil6,2,IF(P$262&lt;bs_pc3_seuil7,1,IF(P$262&lt;bs_pc3_seuil8,0.5,0))))))))
+(P$263=4)*IF(P$262&lt;bs_pc4_seuil1,7,IF(P$262&lt;bs_pc4_seuil2,6,IF(P$262&lt;bs_pc4_seuil3,5,IF(P$262&lt;bs_pc4_seuil4,4,IF(P$262&lt;bs_pc4_seuil5,3,IF(P$262&lt;bs_pc4_seuil6,2,IF(P$262&lt;bs_pc4_seuil7,1,IF(P$262&lt;bs_pc4_seuil8,0.5,0))))))))
+(P$263=5)*IF(P$262&lt;bs_pc5_seuil1,7,IF(P$262&lt;bs_pc5_seuil2,6,IF(P$262&lt;bs_pc5_seuil3,5,IF(P$262&lt;bs_pc5_seuil4,4,IF(P$262&lt;bs_pc5_seuil5,3,IF(P$262&lt;bs_pc5_seuil6,2,IF(P$262&lt;bs_pc5_seuil7,1,IF(P$262&lt;bs_pc5_seuil8,0.5,0))))))))
+(P$263=6)*IF(P$262&lt;bs_pc6_seuil1,7,IF(P$262&lt;bs_pc6_seuil2,6,IF(P$262&lt;bs_pc6_seuil3,5,IF(P$262&lt;bs_pc6_seuil4,4,IF(P$262&lt;bs_pc6_seuil5,3,IF(P$262&lt;bs_pc6_seuil6,2,IF(P$262&lt;bs_pc6_seuil7,1,IF(P$262&lt;bs_pc6_seuil8,0.5,0))))))))
+(P$263=7)*IF(P$262&lt;bs_pc7_seuil1,7,IF(P$262&lt;bs_pc7_seuil2,6,IF(P$262&lt;bs_pc7_seuil3,5,IF(P$262&lt;bs_pc7_seuil4,4,IF(P$262&lt;bs_pc7_seuil5,3,IF(P$262&lt;bs_pc7_seuil6,2,IF(P$262&lt;bs_pc7_seuil7,1,IF(P$262&lt;bs_pc7_seuil8,0.5,0))))))))
+(P$263=8)*IF(P$262&lt;bs_pc8_seuil1,7,IF(P$262&lt;bs_pc8_seuil2,6,IF(P$262&lt;bs_pc8_seuil3,5,IF(P$262&lt;bs_pc8_seuil4,4,IF(P$262&lt;bs_pc8_seuil5,3,IF(P$262&lt;bs_pc8_seuil6,2,IF(P$262&lt;bs_pc8_seuil7,1,IF(P$262&lt;bs_pc8_seuil8,0.5,0))))))))
+(P$263=9)*IF(P$262&lt;bs_pc9_seuil1,7,IF(P$262&lt;bs_pc9_seuil2,6,IF(P$262&lt;bs_pc9_seuil3,5,IF(P$262&lt;bs_pc9_seuil4,4,IF(P$262&lt;bs_pc9_seuil5,3,IF(P$262&lt;bs_pc9_seuil6,2,IF(P$262&lt;bs_pc9_seuil7,1,IF(P$262&lt;bs_pc9_seuil8,0.5,0))))))))
+(P$263=10)*IF(P$262&lt;bs_pc10_seuil1,7,IF(P$262&lt;bs_pc10_seuil2,6,IF(P$262&lt;bs_pc10_seuil3,5,IF(P$262&lt;bs_pc10_seuil4,4,IF(P$262&lt;bs_pc10_seuil5,3,IF(P$262&lt;bs_pc10_seuil6,2,IF(P$262&lt;bs_pc10_seuil7,1,IF(P$262&lt;bs_pc10_seuil8,0.5,0))))))))
+(P$263=11)*IF(P$262&lt;bs_pc11_seuil1,7,IF(P$262&lt;bs_pc11_seuil2,6,IF(P$262&lt;bs_pc11_seuil3,5,IF(P$262&lt;bs_pc11_seuil4,4,IF(P$262&lt;bs_pc11_seuil5,3,IF(P$262&lt;bs_pc11_seuil6,2,IF(P$262&lt;bs_pc11_seuil7,1,IF(P$262&lt;bs_pc11_seuil8,0.5,0))))))))
+(P$263=12)*IF(P$262&lt;bs_pc12_seuil1,7,IF(P$262&lt;bs_pc12_seuil2,6,IF(P$262&lt;bs_pc12_seuil3,5,IF(P$262&lt;bs_pc12_seuil4,4,IF(P$262&lt;bs_pc12_seuil5,3,IF(P$262&lt;bs_pc12_seuil6,2,IF(P$262&lt;bs_pc12_seuil7,1,IF(P$262&lt;bs_pc12_seuil8,0.5,0))))))))
+(P$263=13)*IF(P$262&lt;bs_pc13_seuil1,7,IF(P$262&lt;bs_pc13_seuil2,6,IF(P$262&lt;bs_pc13_seuil3,5,IF(P$262&lt;bs_pc13_seuil4,4,IF(P$262&lt;bs_pc13_seuil5,3,IF(P$262&lt;bs_pc13_seuil6,2,IF(P$262&lt;bs_pc13_seuil7,1,IF(P$262&lt;bs_pc13_seuil8,0.5,0))))))))
+(P$263=14)*IF(P$262&lt;bs_pc14_seuil1,7,IF(P$262&lt;bs_pc14_seuil2,6,IF(P$262&lt;bs_pc14_seuil3,5,IF(P$262&lt;bs_pc14_seuil4,4,IF(P$262&lt;bs_pc14_seuil5,3,IF(P$262&lt;bs_pc14_seuil6,2,IF(P$262&lt;bs_pc14_seuil7,1,IF(P$262&lt;bs_pc14_seuil8,0.5,0))))))))
+(P$263=15)*IF(P$262&lt;bs_pc15_seuil1,7,IF(P$262&lt;bs_pc15_seuil2,6,IF(P$262&lt;bs_pc15_seuil3,5,IF(P$262&lt;bs_pc15_seuil4,4,IF(P$262&lt;bs_pc15_seuil5,3,IF(P$262&lt;bs_pc15_seuil6,2,IF(P$262&lt;bs_pc15_seuil7,1,IF(P$262&lt;bs_pc15_seuil8,0.5,0))))))))
+(P$263=16)*IF(P$262&lt;bs_pc16_seuil1,7,IF(P$262&lt;bs_pc16_seuil2,6,IF(P$262&lt;bs_pc16_seuil3,5,IF(P$262&lt;bs_pc16_seuil4,4,IF(P$262&lt;bs_pc16_seuil5,3,IF(P$262&lt;bs_pc16_seuil6,2,IF(P$262&lt;bs_pc16_seuil7,1,IF(P$262&lt;bs_pc16_seuil8,0.5,0))))))))
+(P$263=17)*IF(P$262&lt;bs_pc17_seuil1,7,IF(P$262&lt;bs_pc17_seuil2,6,IF(P$262&lt;bs_pc17_seuil3,5,IF(P$262&lt;bs_pc17_seuil4,4,IF(P$262&lt;bs_pc17_seuil5,3,IF(P$262&lt;bs_pc17_seuil6,2,IF(P$262&lt;bs_pc17_seuil7,1,IF(P$262&lt;bs_pc17_seuil8,0.5,0))))))))</f>
        <v>2</v>
      </c>
      <c r="R264" s="262">
        <f>(R$263=0)*IF(R$262&lt;bs_pc0_seuil1,7,IF(R$262&lt;bs_pc0_seuil2,6,IF(R$262&lt;bs_pc0_seuil3,5,IF(R$262&lt;bs_pc0_seuil4,4,IF(R$262&lt;bs_pc0_seuil5,3,IF(R$262&lt;bs_pc0_seuil6,2,IF(R$262&lt;bs_pc0_seuil7,1,IF(R$262&lt;bs_pc0_seuil8,0.5,0))))))))
+(R$263=1)*IF(R$262&lt;bs_pc1_seuil1,7,IF(R$262&lt;bs_pc1_seuil2,6,IF(R$262&lt;bs_pc1_seuil3,5,IF(R$262&lt;bs_pc1_seuil4,4,IF(R$262&lt;bs_pc1_seuil5,3,IF(R$262&lt;bs_pc1_seuil6,2,IF(R$262&lt;bs_pc1_seuil7,1,IF(R$262&lt;bs_pc1_seuil8,0.5,0))))))))
+(R$263=2)*IF(R$262&lt;bs_pc2_seuil1,7,IF(R$262&lt;bs_pc2_seuil2,6,IF(R$262&lt;bs_pc2_seuil3,5,IF(R$262&lt;bs_pc2_seuil4,4,IF(R$262&lt;bs_pc2_seuil5,3,IF(R$262&lt;bs_pc2_seuil6,2,IF(R$262&lt;bs_pc2_seuil7,1,IF(R$262&lt;bs_pc2_seuil8,0.5,0))))))))
+(R$263=3)*IF(R$262&lt;bs_pc3_seuil1,7,IF(R$262&lt;bs_pc3_seuil2,6,IF(R$262&lt;bs_pc3_seuil3,5,IF(R$262&lt;bs_pc3_seuil4,4,IF(R$262&lt;bs_pc3_seuil5,3,IF(R$262&lt;bs_pc3_seuil6,2,IF(R$262&lt;bs_pc3_seuil7,1,IF(R$262&lt;bs_pc3_seuil8,0.5,0))))))))
+(R$263=4)*IF(R$262&lt;bs_pc4_seuil1,7,IF(R$262&lt;bs_pc4_seuil2,6,IF(R$262&lt;bs_pc4_seuil3,5,IF(R$262&lt;bs_pc4_seuil4,4,IF(R$262&lt;bs_pc4_seuil5,3,IF(R$262&lt;bs_pc4_seuil6,2,IF(R$262&lt;bs_pc4_seuil7,1,IF(R$262&lt;bs_pc4_seuil8,0.5,0))))))))
+(R$263=5)*IF(R$262&lt;bs_pc5_seuil1,7,IF(R$262&lt;bs_pc5_seuil2,6,IF(R$262&lt;bs_pc5_seuil3,5,IF(R$262&lt;bs_pc5_seuil4,4,IF(R$262&lt;bs_pc5_seuil5,3,IF(R$262&lt;bs_pc5_seuil6,2,IF(R$262&lt;bs_pc5_seuil7,1,IF(R$262&lt;bs_pc5_seuil8,0.5,0))))))))
+(R$263=6)*IF(R$262&lt;bs_pc6_seuil1,7,IF(R$262&lt;bs_pc6_seuil2,6,IF(R$262&lt;bs_pc6_seuil3,5,IF(R$262&lt;bs_pc6_seuil4,4,IF(R$262&lt;bs_pc6_seuil5,3,IF(R$262&lt;bs_pc6_seuil6,2,IF(R$262&lt;bs_pc6_seuil7,1,IF(R$262&lt;bs_pc6_seuil8,0.5,0))))))))
+(R$263=7)*IF(R$262&lt;bs_pc7_seuil1,7,IF(R$262&lt;bs_pc7_seuil2,6,IF(R$262&lt;bs_pc7_seuil3,5,IF(R$262&lt;bs_pc7_seuil4,4,IF(R$262&lt;bs_pc7_seuil5,3,IF(R$262&lt;bs_pc7_seuil6,2,IF(R$262&lt;bs_pc7_seuil7,1,IF(R$262&lt;bs_pc7_seuil8,0.5,0))))))))
+(R$263=8)*IF(R$262&lt;bs_pc8_seuil1,7,IF(R$262&lt;bs_pc8_seuil2,6,IF(R$262&lt;bs_pc8_seuil3,5,IF(R$262&lt;bs_pc8_seuil4,4,IF(R$262&lt;bs_pc8_seuil5,3,IF(R$262&lt;bs_pc8_seuil6,2,IF(R$262&lt;bs_pc8_seuil7,1,IF(R$262&lt;bs_pc8_seuil8,0.5,0))))))))
+(R$263=9)*IF(R$262&lt;bs_pc9_seuil1,7,IF(R$262&lt;bs_pc9_seuil2,6,IF(R$262&lt;bs_pc9_seuil3,5,IF(R$262&lt;bs_pc9_seuil4,4,IF(R$262&lt;bs_pc9_seuil5,3,IF(R$262&lt;bs_pc9_seuil6,2,IF(R$262&lt;bs_pc9_seuil7,1,IF(R$262&lt;bs_pc9_seuil8,0.5,0))))))))
+(R$263=10)*IF(R$262&lt;bs_pc10_seuil1,7,IF(R$262&lt;bs_pc10_seuil2,6,IF(R$262&lt;bs_pc10_seuil3,5,IF(R$262&lt;bs_pc10_seuil4,4,IF(R$262&lt;bs_pc10_seuil5,3,IF(R$262&lt;bs_pc10_seuil6,2,IF(R$262&lt;bs_pc10_seuil7,1,IF(R$262&lt;bs_pc10_seuil8,0.5,0))))))))
+(R$263=11)*IF(R$262&lt;bs_pc11_seuil1,7,IF(R$262&lt;bs_pc11_seuil2,6,IF(R$262&lt;bs_pc11_seuil3,5,IF(R$262&lt;bs_pc11_seuil4,4,IF(R$262&lt;bs_pc11_seuil5,3,IF(R$262&lt;bs_pc11_seuil6,2,IF(R$262&lt;bs_pc11_seuil7,1,IF(R$262&lt;bs_pc11_seuil8,0.5,0))))))))
+(R$263=12)*IF(R$262&lt;bs_pc12_seuil1,7,IF(R$262&lt;bs_pc12_seuil2,6,IF(R$262&lt;bs_pc12_seuil3,5,IF(R$262&lt;bs_pc12_seuil4,4,IF(R$262&lt;bs_pc12_seuil5,3,IF(R$262&lt;bs_pc12_seuil6,2,IF(R$262&lt;bs_pc12_seuil7,1,IF(R$262&lt;bs_pc12_seuil8,0.5,0))))))))
+(R$263=13)*IF(R$262&lt;bs_pc13_seuil1,7,IF(R$262&lt;bs_pc13_seuil2,6,IF(R$262&lt;bs_pc13_seuil3,5,IF(R$262&lt;bs_pc13_seuil4,4,IF(R$262&lt;bs_pc13_seuil5,3,IF(R$262&lt;bs_pc13_seuil6,2,IF(R$262&lt;bs_pc13_seuil7,1,IF(R$262&lt;bs_pc13_seuil8,0.5,0))))))))
+(R$263=14)*IF(R$262&lt;bs_pc14_seuil1,7,IF(R$262&lt;bs_pc14_seuil2,6,IF(R$262&lt;bs_pc14_seuil3,5,IF(R$262&lt;bs_pc14_seuil4,4,IF(R$262&lt;bs_pc14_seuil5,3,IF(R$262&lt;bs_pc14_seuil6,2,IF(R$262&lt;bs_pc14_seuil7,1,IF(R$262&lt;bs_pc14_seuil8,0.5,0))))))))
+(R$263=15)*IF(R$262&lt;bs_pc15_seuil1,7,IF(R$262&lt;bs_pc15_seuil2,6,IF(R$262&lt;bs_pc15_seuil3,5,IF(R$262&lt;bs_pc15_seuil4,4,IF(R$262&lt;bs_pc15_seuil5,3,IF(R$262&lt;bs_pc15_seuil6,2,IF(R$262&lt;bs_pc15_seuil7,1,IF(R$262&lt;bs_pc15_seuil8,0.5,0))))))))
+(R$263=16)*IF(R$262&lt;bs_pc16_seuil1,7,IF(R$262&lt;bs_pc16_seuil2,6,IF(R$262&lt;bs_pc16_seuil3,5,IF(R$262&lt;bs_pc16_seuil4,4,IF(R$262&lt;bs_pc16_seuil5,3,IF(R$262&lt;bs_pc16_seuil6,2,IF(R$262&lt;bs_pc16_seuil7,1,IF(R$262&lt;bs_pc16_seuil8,0.5,0))))))))
+(R$263=17)*IF(R$262&lt;bs_pc17_seuil1,7,IF(R$262&lt;bs_pc17_seuil2,6,IF(R$262&lt;bs_pc17_seuil3,5,IF(R$262&lt;bs_pc17_seuil4,4,IF(R$262&lt;bs_pc17_seuil5,3,IF(R$262&lt;bs_pc17_seuil6,2,IF(R$262&lt;bs_pc17_seuil7,1,IF(R$262&lt;bs_pc17_seuil8,0.5,0))))))))</f>
        <v>7</v>
      </c>
      <c r="S264" s="262">
        <f>(S$263=0)*IF(S$262&lt;bs_pc0_seuil1,7,IF(S$262&lt;bs_pc0_seuil2,6,IF(S$262&lt;bs_pc0_seuil3,5,IF(S$262&lt;bs_pc0_seuil4,4,IF(S$262&lt;bs_pc0_seuil5,3,IF(S$262&lt;bs_pc0_seuil6,2,IF(S$262&lt;bs_pc0_seuil7,1,IF(S$262&lt;bs_pc0_seuil8,0.5,0))))))))
+(S$263=1)*IF(S$262&lt;bs_pc1_seuil1,7,IF(S$262&lt;bs_pc1_seuil2,6,IF(S$262&lt;bs_pc1_seuil3,5,IF(S$262&lt;bs_pc1_seuil4,4,IF(S$262&lt;bs_pc1_seuil5,3,IF(S$262&lt;bs_pc1_seuil6,2,IF(S$262&lt;bs_pc1_seuil7,1,IF(S$262&lt;bs_pc1_seuil8,0.5,0))))))))
+(S$263=2)*IF(S$262&lt;bs_pc2_seuil1,7,IF(S$262&lt;bs_pc2_seuil2,6,IF(S$262&lt;bs_pc2_seuil3,5,IF(S$262&lt;bs_pc2_seuil4,4,IF(S$262&lt;bs_pc2_seuil5,3,IF(S$262&lt;bs_pc2_seuil6,2,IF(S$262&lt;bs_pc2_seuil7,1,IF(S$262&lt;bs_pc2_seuil8,0.5,0))))))))
+(S$263=3)*IF(S$262&lt;bs_pc3_seuil1,7,IF(S$262&lt;bs_pc3_seuil2,6,IF(S$262&lt;bs_pc3_seuil3,5,IF(S$262&lt;bs_pc3_seuil4,4,IF(S$262&lt;bs_pc3_seuil5,3,IF(S$262&lt;bs_pc3_seuil6,2,IF(S$262&lt;bs_pc3_seuil7,1,IF(S$262&lt;bs_pc3_seuil8,0.5,0))))))))
+(S$263=4)*IF(S$262&lt;bs_pc4_seuil1,7,IF(S$262&lt;bs_pc4_seuil2,6,IF(S$262&lt;bs_pc4_seuil3,5,IF(S$262&lt;bs_pc4_seuil4,4,IF(S$262&lt;bs_pc4_seuil5,3,IF(S$262&lt;bs_pc4_seuil6,2,IF(S$262&lt;bs_pc4_seuil7,1,IF(S$262&lt;bs_pc4_seuil8,0.5,0))))))))
+(S$263=5)*IF(S$262&lt;bs_pc5_seuil1,7,IF(S$262&lt;bs_pc5_seuil2,6,IF(S$262&lt;bs_pc5_seuil3,5,IF(S$262&lt;bs_pc5_seuil4,4,IF(S$262&lt;bs_pc5_seuil5,3,IF(S$262&lt;bs_pc5_seuil6,2,IF(S$262&lt;bs_pc5_seuil7,1,IF(S$262&lt;bs_pc5_seuil8,0.5,0))))))))
+(S$263=6)*IF(S$262&lt;bs_pc6_seuil1,7,IF(S$262&lt;bs_pc6_seuil2,6,IF(S$262&lt;bs_pc6_seuil3,5,IF(S$262&lt;bs_pc6_seuil4,4,IF(S$262&lt;bs_pc6_seuil5,3,IF(S$262&lt;bs_pc6_seuil6,2,IF(S$262&lt;bs_pc6_seuil7,1,IF(S$262&lt;bs_pc6_seuil8,0.5,0))))))))
+(S$263=7)*IF(S$262&lt;bs_pc7_seuil1,7,IF(S$262&lt;bs_pc7_seuil2,6,IF(S$262&lt;bs_pc7_seuil3,5,IF(S$262&lt;bs_pc7_seuil4,4,IF(S$262&lt;bs_pc7_seuil5,3,IF(S$262&lt;bs_pc7_seuil6,2,IF(S$262&lt;bs_pc7_seuil7,1,IF(S$262&lt;bs_pc7_seuil8,0.5,0))))))))
+(S$263=8)*IF(S$262&lt;bs_pc8_seuil1,7,IF(S$262&lt;bs_pc8_seuil2,6,IF(S$262&lt;bs_pc8_seuil3,5,IF(S$262&lt;bs_pc8_seuil4,4,IF(S$262&lt;bs_pc8_seuil5,3,IF(S$262&lt;bs_pc8_seuil6,2,IF(S$262&lt;bs_pc8_seuil7,1,IF(S$262&lt;bs_pc8_seuil8,0.5,0))))))))
+(S$263=9)*IF(S$262&lt;bs_pc9_seuil1,7,IF(S$262&lt;bs_pc9_seuil2,6,IF(S$262&lt;bs_pc9_seuil3,5,IF(S$262&lt;bs_pc9_seuil4,4,IF(S$262&lt;bs_pc9_seuil5,3,IF(S$262&lt;bs_pc9_seuil6,2,IF(S$262&lt;bs_pc9_seuil7,1,IF(S$262&lt;bs_pc9_seuil8,0.5,0))))))))
+(S$263=10)*IF(S$262&lt;bs_pc10_seuil1,7,IF(S$262&lt;bs_pc10_seuil2,6,IF(S$262&lt;bs_pc10_seuil3,5,IF(S$262&lt;bs_pc10_seuil4,4,IF(S$262&lt;bs_pc10_seuil5,3,IF(S$262&lt;bs_pc10_seuil6,2,IF(S$262&lt;bs_pc10_seuil7,1,IF(S$262&lt;bs_pc10_seuil8,0.5,0))))))))
+(S$263=11)*IF(S$262&lt;bs_pc11_seuil1,7,IF(S$262&lt;bs_pc11_seuil2,6,IF(S$262&lt;bs_pc11_seuil3,5,IF(S$262&lt;bs_pc11_seuil4,4,IF(S$262&lt;bs_pc11_seuil5,3,IF(S$262&lt;bs_pc11_seuil6,2,IF(S$262&lt;bs_pc11_seuil7,1,IF(S$262&lt;bs_pc11_seuil8,0.5,0))))))))
+(S$263=12)*IF(S$262&lt;bs_pc12_seuil1,7,IF(S$262&lt;bs_pc12_seuil2,6,IF(S$262&lt;bs_pc12_seuil3,5,IF(S$262&lt;bs_pc12_seuil4,4,IF(S$262&lt;bs_pc12_seuil5,3,IF(S$262&lt;bs_pc12_seuil6,2,IF(S$262&lt;bs_pc12_seuil7,1,IF(S$262&lt;bs_pc12_seuil8,0.5,0))))))))
+(S$263=13)*IF(S$262&lt;bs_pc13_seuil1,7,IF(S$262&lt;bs_pc13_seuil2,6,IF(S$262&lt;bs_pc13_seuil3,5,IF(S$262&lt;bs_pc13_seuil4,4,IF(S$262&lt;bs_pc13_seuil5,3,IF(S$262&lt;bs_pc13_seuil6,2,IF(S$262&lt;bs_pc13_seuil7,1,IF(S$262&lt;bs_pc13_seuil8,0.5,0))))))))
+(S$263=14)*IF(S$262&lt;bs_pc14_seuil1,7,IF(S$262&lt;bs_pc14_seuil2,6,IF(S$262&lt;bs_pc14_seuil3,5,IF(S$262&lt;bs_pc14_seuil4,4,IF(S$262&lt;bs_pc14_seuil5,3,IF(S$262&lt;bs_pc14_seuil6,2,IF(S$262&lt;bs_pc14_seuil7,1,IF(S$262&lt;bs_pc14_seuil8,0.5,0))))))))
+(S$263=15)*IF(S$262&lt;bs_pc15_seuil1,7,IF(S$262&lt;bs_pc15_seuil2,6,IF(S$262&lt;bs_pc15_seuil3,5,IF(S$262&lt;bs_pc15_seuil4,4,IF(S$262&lt;bs_pc15_seuil5,3,IF(S$262&lt;bs_pc15_seuil6,2,IF(S$262&lt;bs_pc15_seuil7,1,IF(S$262&lt;bs_pc15_seuil8,0.5,0))))))))
+(S$263=16)*IF(S$262&lt;bs_pc16_seuil1,7,IF(S$262&lt;bs_pc16_seuil2,6,IF(S$262&lt;bs_pc16_seuil3,5,IF(S$262&lt;bs_pc16_seuil4,4,IF(S$262&lt;bs_pc16_seuil5,3,IF(S$262&lt;bs_pc16_seuil6,2,IF(S$262&lt;bs_pc16_seuil7,1,IF(S$262&lt;bs_pc16_seuil8,0.5,0))))))))
+(S$263=17)*IF(S$262&lt;bs_pc17_seuil1,7,IF(S$262&lt;bs_pc17_seuil2,6,IF(S$262&lt;bs_pc17_seuil3,5,IF(S$262&lt;bs_pc17_seuil4,4,IF(S$262&lt;bs_pc17_seuil5,3,IF(S$262&lt;bs_pc17_seuil6,2,IF(S$262&lt;bs_pc17_seuil7,1,IF(S$262&lt;bs_pc17_seuil8,0.5,0))))))))</f>
        <v>6</v>
      </c>
      <c r="T264" s="262">
        <f>(T$263=0)*IF(T$262&lt;bs_pc0_seuil1,7,IF(T$262&lt;bs_pc0_seuil2,6,IF(T$262&lt;bs_pc0_seuil3,5,IF(T$262&lt;bs_pc0_seuil4,4,IF(T$262&lt;bs_pc0_seuil5,3,IF(T$262&lt;bs_pc0_seuil6,2,IF(T$262&lt;bs_pc0_seuil7,1,IF(T$262&lt;bs_pc0_seuil8,0.5,0))))))))
+(T$263=1)*IF(T$262&lt;bs_pc1_seuil1,7,IF(T$262&lt;bs_pc1_seuil2,6,IF(T$262&lt;bs_pc1_seuil3,5,IF(T$262&lt;bs_pc1_seuil4,4,IF(T$262&lt;bs_pc1_seuil5,3,IF(T$262&lt;bs_pc1_seuil6,2,IF(T$262&lt;bs_pc1_seuil7,1,IF(T$262&lt;bs_pc1_seuil8,0.5,0))))))))
+(T$263=2)*IF(T$262&lt;bs_pc2_seuil1,7,IF(T$262&lt;bs_pc2_seuil2,6,IF(T$262&lt;bs_pc2_seuil3,5,IF(T$262&lt;bs_pc2_seuil4,4,IF(T$262&lt;bs_pc2_seuil5,3,IF(T$262&lt;bs_pc2_seuil6,2,IF(T$262&lt;bs_pc2_seuil7,1,IF(T$262&lt;bs_pc2_seuil8,0.5,0))))))))
+(T$263=3)*IF(T$262&lt;bs_pc3_seuil1,7,IF(T$262&lt;bs_pc3_seuil2,6,IF(T$262&lt;bs_pc3_seuil3,5,IF(T$262&lt;bs_pc3_seuil4,4,IF(T$262&lt;bs_pc3_seuil5,3,IF(T$262&lt;bs_pc3_seuil6,2,IF(T$262&lt;bs_pc3_seuil7,1,IF(T$262&lt;bs_pc3_seuil8,0.5,0))))))))
+(T$263=4)*IF(T$262&lt;bs_pc4_seuil1,7,IF(T$262&lt;bs_pc4_seuil2,6,IF(T$262&lt;bs_pc4_seuil3,5,IF(T$262&lt;bs_pc4_seuil4,4,IF(T$262&lt;bs_pc4_seuil5,3,IF(T$262&lt;bs_pc4_seuil6,2,IF(T$262&lt;bs_pc4_seuil7,1,IF(T$262&lt;bs_pc4_seuil8,0.5,0))))))))
+(T$263=5)*IF(T$262&lt;bs_pc5_seuil1,7,IF(T$262&lt;bs_pc5_seuil2,6,IF(T$262&lt;bs_pc5_seuil3,5,IF(T$262&lt;bs_pc5_seuil4,4,IF(T$262&lt;bs_pc5_seuil5,3,IF(T$262&lt;bs_pc5_seuil6,2,IF(T$262&lt;bs_pc5_seuil7,1,IF(T$262&lt;bs_pc5_seuil8,0.5,0))))))))
+(T$263=6)*IF(T$262&lt;bs_pc6_seuil1,7,IF(T$262&lt;bs_pc6_seuil2,6,IF(T$262&lt;bs_pc6_seuil3,5,IF(T$262&lt;bs_pc6_seuil4,4,IF(T$262&lt;bs_pc6_seuil5,3,IF(T$262&lt;bs_pc6_seuil6,2,IF(T$262&lt;bs_pc6_seuil7,1,IF(T$262&lt;bs_pc6_seuil8,0.5,0))))))))
+(T$263=7)*IF(T$262&lt;bs_pc7_seuil1,7,IF(T$262&lt;bs_pc7_seuil2,6,IF(T$262&lt;bs_pc7_seuil3,5,IF(T$262&lt;bs_pc7_seuil4,4,IF(T$262&lt;bs_pc7_seuil5,3,IF(T$262&lt;bs_pc7_seuil6,2,IF(T$262&lt;bs_pc7_seuil7,1,IF(T$262&lt;bs_pc7_seuil8,0.5,0))))))))
+(T$263=8)*IF(T$262&lt;bs_pc8_seuil1,7,IF(T$262&lt;bs_pc8_seuil2,6,IF(T$262&lt;bs_pc8_seuil3,5,IF(T$262&lt;bs_pc8_seuil4,4,IF(T$262&lt;bs_pc8_seuil5,3,IF(T$262&lt;bs_pc8_seuil6,2,IF(T$262&lt;bs_pc8_seuil7,1,IF(T$262&lt;bs_pc8_seuil8,0.5,0))))))))
+(T$263=9)*IF(T$262&lt;bs_pc9_seuil1,7,IF(T$262&lt;bs_pc9_seuil2,6,IF(T$262&lt;bs_pc9_seuil3,5,IF(T$262&lt;bs_pc9_seuil4,4,IF(T$262&lt;bs_pc9_seuil5,3,IF(T$262&lt;bs_pc9_seuil6,2,IF(T$262&lt;bs_pc9_seuil7,1,IF(T$262&lt;bs_pc9_seuil8,0.5,0))))))))
+(T$263=10)*IF(T$262&lt;bs_pc10_seuil1,7,IF(T$262&lt;bs_pc10_seuil2,6,IF(T$262&lt;bs_pc10_seuil3,5,IF(T$262&lt;bs_pc10_seuil4,4,IF(T$262&lt;bs_pc10_seuil5,3,IF(T$262&lt;bs_pc10_seuil6,2,IF(T$262&lt;bs_pc10_seuil7,1,IF(T$262&lt;bs_pc10_seuil8,0.5,0))))))))
+(T$263=11)*IF(T$262&lt;bs_pc11_seuil1,7,IF(T$262&lt;bs_pc11_seuil2,6,IF(T$262&lt;bs_pc11_seuil3,5,IF(T$262&lt;bs_pc11_seuil4,4,IF(T$262&lt;bs_pc11_seuil5,3,IF(T$262&lt;bs_pc11_seuil6,2,IF(T$262&lt;bs_pc11_seuil7,1,IF(T$262&lt;bs_pc11_seuil8,0.5,0))))))))
+(T$263=12)*IF(T$262&lt;bs_pc12_seuil1,7,IF(T$262&lt;bs_pc12_seuil2,6,IF(T$262&lt;bs_pc12_seuil3,5,IF(T$262&lt;bs_pc12_seuil4,4,IF(T$262&lt;bs_pc12_seuil5,3,IF(T$262&lt;bs_pc12_seuil6,2,IF(T$262&lt;bs_pc12_seuil7,1,IF(T$262&lt;bs_pc12_seuil8,0.5,0))))))))
+(T$263=13)*IF(T$262&lt;bs_pc13_seuil1,7,IF(T$262&lt;bs_pc13_seuil2,6,IF(T$262&lt;bs_pc13_seuil3,5,IF(T$262&lt;bs_pc13_seuil4,4,IF(T$262&lt;bs_pc13_seuil5,3,IF(T$262&lt;bs_pc13_seuil6,2,IF(T$262&lt;bs_pc13_seuil7,1,IF(T$262&lt;bs_pc13_seuil8,0.5,0))))))))
+(T$263=14)*IF(T$262&lt;bs_pc14_seuil1,7,IF(T$262&lt;bs_pc14_seuil2,6,IF(T$262&lt;bs_pc14_seuil3,5,IF(T$262&lt;bs_pc14_seuil4,4,IF(T$262&lt;bs_pc14_seuil5,3,IF(T$262&lt;bs_pc14_seuil6,2,IF(T$262&lt;bs_pc14_seuil7,1,IF(T$262&lt;bs_pc14_seuil8,0.5,0))))))))
+(T$263=15)*IF(T$262&lt;bs_pc15_seuil1,7,IF(T$262&lt;bs_pc15_seuil2,6,IF(T$262&lt;bs_pc15_seuil3,5,IF(T$262&lt;bs_pc15_seuil4,4,IF(T$262&lt;bs_pc15_seuil5,3,IF(T$262&lt;bs_pc15_seuil6,2,IF(T$262&lt;bs_pc15_seuil7,1,IF(T$262&lt;bs_pc15_seuil8,0.5,0))))))))
+(T$263=16)*IF(T$262&lt;bs_pc16_seuil1,7,IF(T$262&lt;bs_pc16_seuil2,6,IF(T$262&lt;bs_pc16_seuil3,5,IF(T$262&lt;bs_pc16_seuil4,4,IF(T$262&lt;bs_pc16_seuil5,3,IF(T$262&lt;bs_pc16_seuil6,2,IF(T$262&lt;bs_pc16_seuil7,1,IF(T$262&lt;bs_pc16_seuil8,0.5,0))))))))
+(T$263=17)*IF(T$262&lt;bs_pc17_seuil1,7,IF(T$262&lt;bs_pc17_seuil2,6,IF(T$262&lt;bs_pc17_seuil3,5,IF(T$262&lt;bs_pc17_seuil4,4,IF(T$262&lt;bs_pc17_seuil5,3,IF(T$262&lt;bs_pc17_seuil6,2,IF(T$262&lt;bs_pc17_seuil7,1,IF(T$262&lt;bs_pc17_seuil8,0.5,0))))))))</f>
        <v>5</v>
      </c>
      <c r="U264" s="262">
        <f>(U$263=0)*IF(U$262&lt;bs_pc0_seuil1,7,IF(U$262&lt;bs_pc0_seuil2,6,IF(U$262&lt;bs_pc0_seuil3,5,IF(U$262&lt;bs_pc0_seuil4,4,IF(U$262&lt;bs_pc0_seuil5,3,IF(U$262&lt;bs_pc0_seuil6,2,IF(U$262&lt;bs_pc0_seuil7,1,IF(U$262&lt;bs_pc0_seuil8,0.5,0))))))))
+(U$263=1)*IF(U$262&lt;bs_pc1_seuil1,7,IF(U$262&lt;bs_pc1_seuil2,6,IF(U$262&lt;bs_pc1_seuil3,5,IF(U$262&lt;bs_pc1_seuil4,4,IF(U$262&lt;bs_pc1_seuil5,3,IF(U$262&lt;bs_pc1_seuil6,2,IF(U$262&lt;bs_pc1_seuil7,1,IF(U$262&lt;bs_pc1_seuil8,0.5,0))))))))
+(U$263=2)*IF(U$262&lt;bs_pc2_seuil1,7,IF(U$262&lt;bs_pc2_seuil2,6,IF(U$262&lt;bs_pc2_seuil3,5,IF(U$262&lt;bs_pc2_seuil4,4,IF(U$262&lt;bs_pc2_seuil5,3,IF(U$262&lt;bs_pc2_seuil6,2,IF(U$262&lt;bs_pc2_seuil7,1,IF(U$262&lt;bs_pc2_seuil8,0.5,0))))))))
+(U$263=3)*IF(U$262&lt;bs_pc3_seuil1,7,IF(U$262&lt;bs_pc3_seuil2,6,IF(U$262&lt;bs_pc3_seuil3,5,IF(U$262&lt;bs_pc3_seuil4,4,IF(U$262&lt;bs_pc3_seuil5,3,IF(U$262&lt;bs_pc3_seuil6,2,IF(U$262&lt;bs_pc3_seuil7,1,IF(U$262&lt;bs_pc3_seuil8,0.5,0))))))))
+(U$263=4)*IF(U$262&lt;bs_pc4_seuil1,7,IF(U$262&lt;bs_pc4_seuil2,6,IF(U$262&lt;bs_pc4_seuil3,5,IF(U$262&lt;bs_pc4_seuil4,4,IF(U$262&lt;bs_pc4_seuil5,3,IF(U$262&lt;bs_pc4_seuil6,2,IF(U$262&lt;bs_pc4_seuil7,1,IF(U$262&lt;bs_pc4_seuil8,0.5,0))))))))
+(U$263=5)*IF(U$262&lt;bs_pc5_seuil1,7,IF(U$262&lt;bs_pc5_seuil2,6,IF(U$262&lt;bs_pc5_seuil3,5,IF(U$262&lt;bs_pc5_seuil4,4,IF(U$262&lt;bs_pc5_seuil5,3,IF(U$262&lt;bs_pc5_seuil6,2,IF(U$262&lt;bs_pc5_seuil7,1,IF(U$262&lt;bs_pc5_seuil8,0.5,0))))))))
+(U$263=6)*IF(U$262&lt;bs_pc6_seuil1,7,IF(U$262&lt;bs_pc6_seuil2,6,IF(U$262&lt;bs_pc6_seuil3,5,IF(U$262&lt;bs_pc6_seuil4,4,IF(U$262&lt;bs_pc6_seuil5,3,IF(U$262&lt;bs_pc6_seuil6,2,IF(U$262&lt;bs_pc6_seuil7,1,IF(U$262&lt;bs_pc6_seuil8,0.5,0))))))))
+(U$263=7)*IF(U$262&lt;bs_pc7_seuil1,7,IF(U$262&lt;bs_pc7_seuil2,6,IF(U$262&lt;bs_pc7_seuil3,5,IF(U$262&lt;bs_pc7_seuil4,4,IF(U$262&lt;bs_pc7_seuil5,3,IF(U$262&lt;bs_pc7_seuil6,2,IF(U$262&lt;bs_pc7_seuil7,1,IF(U$262&lt;bs_pc7_seuil8,0.5,0))))))))
+(U$263=8)*IF(U$262&lt;bs_pc8_seuil1,7,IF(U$262&lt;bs_pc8_seuil2,6,IF(U$262&lt;bs_pc8_seuil3,5,IF(U$262&lt;bs_pc8_seuil4,4,IF(U$262&lt;bs_pc8_seuil5,3,IF(U$262&lt;bs_pc8_seuil6,2,IF(U$262&lt;bs_pc8_seuil7,1,IF(U$262&lt;bs_pc8_seuil8,0.5,0))))))))
+(U$263=9)*IF(U$262&lt;bs_pc9_seuil1,7,IF(U$262&lt;bs_pc9_seuil2,6,IF(U$262&lt;bs_pc9_seuil3,5,IF(U$262&lt;bs_pc9_seuil4,4,IF(U$262&lt;bs_pc9_seuil5,3,IF(U$262&lt;bs_pc9_seuil6,2,IF(U$262&lt;bs_pc9_seuil7,1,IF(U$262&lt;bs_pc9_seuil8,0.5,0))))))))
+(U$263=10)*IF(U$262&lt;bs_pc10_seuil1,7,IF(U$262&lt;bs_pc10_seuil2,6,IF(U$262&lt;bs_pc10_seuil3,5,IF(U$262&lt;bs_pc10_seuil4,4,IF(U$262&lt;bs_pc10_seuil5,3,IF(U$262&lt;bs_pc10_seuil6,2,IF(U$262&lt;bs_pc10_seuil7,1,IF(U$262&lt;bs_pc10_seuil8,0.5,0))))))))
+(U$263=11)*IF(U$262&lt;bs_pc11_seuil1,7,IF(U$262&lt;bs_pc11_seuil2,6,IF(U$262&lt;bs_pc11_seuil3,5,IF(U$262&lt;bs_pc11_seuil4,4,IF(U$262&lt;bs_pc11_seuil5,3,IF(U$262&lt;bs_pc11_seuil6,2,IF(U$262&lt;bs_pc11_seuil7,1,IF(U$262&lt;bs_pc11_seuil8,0.5,0))))))))
+(U$263=12)*IF(U$262&lt;bs_pc12_seuil1,7,IF(U$262&lt;bs_pc12_seuil2,6,IF(U$262&lt;bs_pc12_seuil3,5,IF(U$262&lt;bs_pc12_seuil4,4,IF(U$262&lt;bs_pc12_seuil5,3,IF(U$262&lt;bs_pc12_seuil6,2,IF(U$262&lt;bs_pc12_seuil7,1,IF(U$262&lt;bs_pc12_seuil8,0.5,0))))))))
+(U$263=13)*IF(U$262&lt;bs_pc13_seuil1,7,IF(U$262&lt;bs_pc13_seuil2,6,IF(U$262&lt;bs_pc13_seuil3,5,IF(U$262&lt;bs_pc13_seuil4,4,IF(U$262&lt;bs_pc13_seuil5,3,IF(U$262&lt;bs_pc13_seuil6,2,IF(U$262&lt;bs_pc13_seuil7,1,IF(U$262&lt;bs_pc13_seuil8,0.5,0))))))))
+(U$263=14)*IF(U$262&lt;bs_pc14_seuil1,7,IF(U$262&lt;bs_pc14_seuil2,6,IF(U$262&lt;bs_pc14_seuil3,5,IF(U$262&lt;bs_pc14_seuil4,4,IF(U$262&lt;bs_pc14_seuil5,3,IF(U$262&lt;bs_pc14_seuil6,2,IF(U$262&lt;bs_pc14_seuil7,1,IF(U$262&lt;bs_pc14_seuil8,0.5,0))))))))
+(U$263=15)*IF(U$262&lt;bs_pc15_seuil1,7,IF(U$262&lt;bs_pc15_seuil2,6,IF(U$262&lt;bs_pc15_seuil3,5,IF(U$262&lt;bs_pc15_seuil4,4,IF(U$262&lt;bs_pc15_seuil5,3,IF(U$262&lt;bs_pc15_seuil6,2,IF(U$262&lt;bs_pc15_seuil7,1,IF(U$262&lt;bs_pc15_seuil8,0.5,0))))))))
+(U$263=16)*IF(U$262&lt;bs_pc16_seuil1,7,IF(U$262&lt;bs_pc16_seuil2,6,IF(U$262&lt;bs_pc16_seuil3,5,IF(U$262&lt;bs_pc16_seuil4,4,IF(U$262&lt;bs_pc16_seuil5,3,IF(U$262&lt;bs_pc16_seuil6,2,IF(U$262&lt;bs_pc16_seuil7,1,IF(U$262&lt;bs_pc16_seuil8,0.5,0))))))))
+(U$263=17)*IF(U$262&lt;bs_pc17_seuil1,7,IF(U$262&lt;bs_pc17_seuil2,6,IF(U$262&lt;bs_pc17_seuil3,5,IF(U$262&lt;bs_pc17_seuil4,4,IF(U$262&lt;bs_pc17_seuil5,3,IF(U$262&lt;bs_pc17_seuil6,2,IF(U$262&lt;bs_pc17_seuil7,1,IF(U$262&lt;bs_pc17_seuil8,0.5,0))))))))</f>
        <v>2</v>
      </c>
    </row>
    <row r="265" spans="1:21" ht="13" hidden="1" thickBot="1" x14ac:dyDescent="0.3">
      <c r="A265" s="279" t="s">
        <v>320</v>
      </c>
      <c r="B265" s="277"/>
      <c r="C265" s="266">
        <f>(C264=0.5)*bs_montant_ech0bis+(C264=1)*bs_montant_ech1+(C264=2)*bs_montant_ech2+(C264=3)*bs_montant_ech3+(C264=4)*bs_montant_ech4+(C264=5)*bs_montant_ech5+(C264=6)*bs_montant_ech6+(C264=7)*bs_montant_ech7</f>
        <v>6335</v>
      </c>
      <c r="D265" s="266">
        <f>(D264=0.5)*bs_montant_ech0bis+(D264=1)*bs_montant_ech1+(D264=2)*bs_montant_ech2+(D264=3)*bs_montant_ech3+(D264=4)*bs_montant_ech4+(D264=5)*bs_montant_ech5+(D264=6)*bs_montant_ech6+(D264=7)*bs_montant_ech7</f>
        <v>5506</v>
      </c>
      <c r="E265" s="266">
        <f>(E264=0.5)*bs_montant_ech0bis+(E264=1)*bs_montant_ech1+(E264=2)*bs_montant_ech2+(E264=3)*bs_montant_ech3+(E264=4)*bs_montant_ech4+(E264=5)*bs_montant_ech5+(E264=6)*bs_montant_ech6+(E264=7)*bs_montant_ech7</f>
        <v>4587</v>
      </c>
      <c r="F265" s="266">
        <f>(F264=0.5)*bs_montant_ech0bis+(F264=1)*bs_montant_ech1+(F264=2)*bs_montant_ech2+(F264=3)*bs_montant_ech3+(F264=4)*bs_montant_ech4+(F264=5)*bs_montant_ech5+(F264=6)*bs_montant_ech6+(F264=7)*bs_montant_ech7</f>
        <v>2163</v>
      </c>
      <c r="H265" s="266">
        <f>(H264=0.5)*bs_montant_ech0bis+(H264=1)*bs_montant_ech1+(H264=2)*bs_montant_ech2+(H264=3)*bs_montant_ech3+(H264=4)*bs_montant_ech4+(H264=5)*bs_montant_ech5+(H264=6)*bs_montant_ech6+(H264=7)*bs_montant_ech7</f>
        <v>6335</v>
      </c>
      <c r="I265" s="266">
        <f>(I264=0.5)*bs_montant_ech0bis+(I264=1)*bs_montant_ech1+(I264=2)*bs_montant_ech2+(I264=3)*bs_montant_ech3+(I264=4)*bs_montant_ech4+(I264=5)*bs_montant_ech5+(I264=6)*bs_montant_ech6+(I264=7)*bs_montant_ech7</f>
        <v>5506</v>
      </c>
      <c r="J265" s="266">
        <f>(J264=0.5)*bs_montant_ech0bis+(J264=1)*bs_montant_ech1+(J264=2)*bs_montant_ech2+(J264=3)*bs_montant_ech3+(J264=4)*bs_montant_ech4+(J264=5)*bs_montant_ech5+(J264=6)*bs_montant_ech6+(J264=7)*bs_montant_ech7</f>
        <v>4587</v>
      </c>
      <c r="K265" s="266">
        <f>(K264=0.5)*bs_montant_ech0bis+(K264=1)*bs_montant_ech1+(K264=2)*bs_montant_ech2+(K264=3)*bs_montant_ech3+(K264=4)*bs_montant_ech4+(K264=5)*bs_montant_ech5+(K264=6)*bs_montant_ech6+(K264=7)*bs_montant_ech7</f>
        <v>2163</v>
      </c>
      <c r="M265" s="266">
        <f>(M264=0.5)*bs_montant_ech0bis+(M264=1)*bs_montant_ech1+(M264=2)*bs_montant_ech2+(M264=3)*bs_montant_ech3+(M264=4)*bs_montant_ech4+(M264=5)*bs_montant_ech5+(M264=6)*bs_montant_ech6+(M264=7)*bs_montant_ech7</f>
        <v>6335</v>
      </c>
      <c r="N265" s="266">
        <f>(N264=0.5)*bs_montant_ech0bis+(N264=1)*bs_montant_ech1+(N264=2)*bs_montant_ech2+(N264=3)*bs_montant_ech3+(N264=4)*bs_montant_ech4+(N264=5)*bs_montant_ech5+(N264=6)*bs_montant_ech6+(N264=7)*bs_montant_ech7</f>
        <v>5506</v>
      </c>
      <c r="O265" s="266">
        <f>(O264=0.5)*bs_montant_ech0bis+(O264=1)*bs_montant_ech1+(O264=2)*bs_montant_ech2+(O264=3)*bs_montant_ech3+(O264=4)*bs_montant_ech4+(O264=5)*bs_montant_ech5+(O264=6)*bs_montant_ech6+(O264=7)*bs_montant_ech7</f>
        <v>4587</v>
      </c>
      <c r="P265" s="266">
        <f>(P264=0.5)*bs_montant_ech0bis+(P264=1)*bs_montant_ech1+(P264=2)*bs_montant_ech2+(P264=3)*bs_montant_ech3+(P264=4)*bs_montant_ech4+(P264=5)*bs_montant_ech5+(P264=6)*bs_montant_ech6+(P264=7)*bs_montant_ech7</f>
        <v>3071</v>
      </c>
      <c r="R265" s="266">
        <f>(R264=0.5)*bs_montant_ech0bis+(R264=1)*bs_montant_ech1+(R264=2)*bs_montant_ech2+(R264=3)*bs_montant_ech3+(R264=4)*bs_montant_ech4+(R264=5)*bs_montant_ech5+(R264=6)*bs_montant_ech6+(R264=7)*bs_montant_ech7</f>
        <v>6335</v>
      </c>
      <c r="S265" s="266">
        <f>(S264=0.5)*bs_montant_ech0bis+(S264=1)*bs_montant_ech1+(S264=2)*bs_montant_ech2+(S264=3)*bs_montant_ech3+(S264=4)*bs_montant_ech4+(S264=5)*bs_montant_ech5+(S264=6)*bs_montant_ech6+(S264=7)*bs_montant_ech7</f>
        <v>5506</v>
      </c>
      <c r="T265" s="266">
        <f>(T264=0.5)*bs_montant_ech0bis+(T264=1)*bs_montant_ech1+(T264=2)*bs_montant_ech2+(T264=3)*bs_montant_ech3+(T264=4)*bs_montant_ech4+(T264=5)*bs_montant_ech5+(T264=6)*bs_montant_ech6+(T264=7)*bs_montant_ech7</f>
        <v>5212</v>
      </c>
      <c r="U265" s="266">
        <f>(U264=0.5)*bs_montant_ech0bis+(U264=1)*bs_montant_ech1+(U264=2)*bs_montant_ech2+(U264=3)*bs_montant_ech3+(U264=4)*bs_montant_ech4+(U264=5)*bs_montant_ech5+(U264=6)*bs_montant_ech6+(U264=7)*bs_montant_ech7</f>
        <v>3071</v>
      </c>
    </row>
    <row r="266" spans="1:21" hidden="1" x14ac:dyDescent="0.25"/>
    <row r="267" spans="1:21" hidden="1" x14ac:dyDescent="0.25"/>
    <row r="269" spans="1:21" s="4" customFormat="1" ht="15" customHeight="1" thickBot="1" x14ac:dyDescent="0.35">
      <c r="A269" s="295" t="s">
        <v>557</v>
      </c>
      <c r="B269" s="89"/>
      <c r="C269" s="289"/>
      <c r="D269" s="289"/>
      <c r="E269" s="289"/>
      <c r="F269" s="289"/>
      <c r="H269" s="289"/>
      <c r="I269" s="289"/>
      <c r="J269" s="289"/>
      <c r="K269" s="289"/>
      <c r="M269" s="289"/>
      <c r="N269" s="289"/>
      <c r="O269" s="289"/>
      <c r="P269" s="289"/>
      <c r="R269" s="289"/>
      <c r="S269" s="289"/>
      <c r="T269" s="289"/>
      <c r="U269" s="289"/>
    </row>
    <row r="270" spans="1:21" s="4" customFormat="1" x14ac:dyDescent="0.25">
      <c r="A270" s="282" t="s">
        <v>214</v>
      </c>
      <c r="B270" s="121"/>
      <c r="C270" s="123">
        <f>IF(C$3="couple",(C$211=0)*pa_forf_c0+(C$211=1)*pa_forf_c1+(C$211&gt;=2)*(pa_forf_c2+(C$211-2)*pa_sup_enf),0)+IF(C$3="isolé",(C68=0)*((C$211=0)*pa_forf_I0+(C$211=1)*pa_forf_I1+(C$211&gt;=2)*(pa_forf_I2+(C$211-2)*pa_sup_enf))+(C68=1)*((C$211=0)*pa_forfm_I0+(C$211=1)*pa_forfm_I1+(C$211&gt;=2)*(pa_forfm_I2+(C$211-2)*pa_forfm_supenf)),0)</f>
        <v>622.63</v>
      </c>
      <c r="D270" s="123">
        <f>IF(D$3="couple",(D$211=0)*pa_forf_c0+(D$211=1)*pa_forf_c1+(D$211&gt;=2)*(pa_forf_c2+(D$211-2)*pa_sup_enf),0)+IF(D$3="isolé",(D68=0)*((D$211=0)*pa_forf_I0+(D$211=1)*pa_forf_I1+(D$211&gt;=2)*(pa_forf_I2+(D$211-2)*pa_sup_enf))+(D68=1)*((D$211=0)*pa_forfm_I0+(D$211=1)*pa_forfm_I1+(D$211&gt;=2)*(pa_forfm_I2+(D$211-2)*pa_forfm_supenf)),0)</f>
        <v>622.63</v>
      </c>
      <c r="E270" s="123">
        <f>IF(E$3="couple",(E$211=0)*pa_forf_c0+(E$211=1)*pa_forf_c1+(E$211&gt;=2)*(pa_forf_c2+(E$211-2)*pa_sup_enf),0)+IF(E$3="isolé",(E68=0)*((E$211=0)*pa_forf_I0+(E$211=1)*pa_forf_I1+(E$211&gt;=2)*(pa_forf_I2+(E$211-2)*pa_sup_enf))+(E68=1)*((E$211=0)*pa_forfm_I0+(E$211=1)*pa_forfm_I1+(E$211&gt;=2)*(pa_forfm_I2+(E$211-2)*pa_forfm_supenf)),0)</f>
        <v>622.63</v>
      </c>
      <c r="F270" s="123">
        <f>IF(F$3="couple",(F$211=0)*pa_forf_c0+(F$211=1)*pa_forf_c1+(F$211&gt;=2)*(pa_forf_c2+(F$211-2)*pa_sup_enf),0)+IF(F$3="isolé",(F68=0)*((F$211=0)*pa_forf_I0+(F$211=1)*pa_forf_I1+(F$211&gt;=2)*(pa_forf_I2+(F$211-2)*pa_sup_enf))+(F68=1)*((F$211=0)*pa_forfm_I0+(F$211=1)*pa_forfm_I1+(F$211&gt;=2)*(pa_forfm_I2+(F$211-2)*pa_forfm_supenf)),0)</f>
        <v>622.63</v>
      </c>
      <c r="H270" s="123">
        <f>IF(H$3="couple",(H$211=0)*pa_forf_c0+(H$211=1)*pa_forf_c1+(H$211&gt;=2)*(pa_forf_c2+(H$211-2)*pa_sup_enf),0)+IF(H$3="isolé",(H68=0)*((H$211=0)*pa_forf_I0+(H$211=1)*pa_forf_I1+(H$211&gt;=2)*(pa_forf_I2+(H$211-2)*pa_sup_enf))+(H68=1)*((H$211=0)*pa_forfm_I0+(H$211=1)*pa_forfm_I1+(H$211&gt;=2)*(pa_forfm_I2+(H$211-2)*pa_forfm_supenf)),0)</f>
        <v>0</v>
      </c>
      <c r="I270" s="123">
        <f>IF(I$3="couple",(I$211=0)*pa_forf_c0+(I$211=1)*pa_forf_c1+(I$211&gt;=2)*(pa_forf_c2+(I$211-2)*pa_sup_enf),0)+IF(I$3="isolé",(I68=0)*((I$211=0)*pa_forf_I0+(I$211=1)*pa_forf_I1+(I$211&gt;=2)*(pa_forf_I2+(I$211-2)*pa_sup_enf))+(I68=1)*((I$211=0)*pa_forfm_I0+(I$211=1)*pa_forfm_I1+(I$211&gt;=2)*(pa_forfm_I2+(I$211-2)*pa_forfm_supenf)),0)</f>
        <v>0</v>
      </c>
      <c r="J270" s="123">
        <f>IF(J$3="couple",(J$211=0)*pa_forf_c0+(J$211=1)*pa_forf_c1+(J$211&gt;=2)*(pa_forf_c2+(J$211-2)*pa_sup_enf),0)+IF(J$3="isolé",(J68=0)*((J$211=0)*pa_forf_I0+(J$211=1)*pa_forf_I1+(J$211&gt;=2)*(pa_forf_I2+(J$211-2)*pa_sup_enf))+(J68=1)*((J$211=0)*pa_forfm_I0+(J$211=1)*pa_forfm_I1+(J$211&gt;=2)*(pa_forfm_I2+(J$211-2)*pa_forfm_supenf)),0)</f>
        <v>0</v>
      </c>
      <c r="K270" s="123">
        <f>IF(K$3="couple",(K$211=0)*pa_forf_c0+(K$211=1)*pa_forf_c1+(K$211&gt;=2)*(pa_forf_c2+(K$211-2)*pa_sup_enf),0)+IF(K$3="isolé",(K68=0)*((K$211=0)*pa_forf_I0+(K$211=1)*pa_forf_I1+(K$211&gt;=2)*(pa_forf_I2+(K$211-2)*pa_sup_enf))+(K68=1)*((K$211=0)*pa_forfm_I0+(K$211=1)*pa_forfm_I1+(K$211&gt;=2)*(pa_forfm_I2+(K$211-2)*pa_forfm_supenf)),0)</f>
        <v>0</v>
      </c>
      <c r="M270" s="123">
        <f>IF(M$3="couple",(M$211=0)*pa_forf_c0+(M$211=1)*pa_forf_c1+(M$211&gt;=2)*(pa_forf_c2+(M$211-2)*pa_sup_enf),0)+IF(M$3="isolé",(M68=0)*((M$211=0)*pa_forf_I0+(M$211=1)*pa_forf_I1+(M$211&gt;=2)*(pa_forf_I2+(M$211-2)*pa_sup_enf))+(M68=1)*((M$211=0)*pa_forfm_I0+(M$211=1)*pa_forfm_I1+(M$211&gt;=2)*(pa_forfm_I2+(M$211-2)*pa_forfm_supenf)),0)</f>
        <v>0</v>
      </c>
      <c r="N270" s="123">
        <f>IF(N$3="couple",(N$211=0)*pa_forf_c0+(N$211=1)*pa_forf_c1+(N$211&gt;=2)*(pa_forf_c2+(N$211-2)*pa_sup_enf),0)+IF(N$3="isolé",(N68=0)*((N$211=0)*pa_forf_I0+(N$211=1)*pa_forf_I1+(N$211&gt;=2)*(pa_forf_I2+(N$211-2)*pa_sup_enf))+(N68=1)*((N$211=0)*pa_forfm_I0+(N$211=1)*pa_forfm_I1+(N$211&gt;=2)*(pa_forfm_I2+(N$211-2)*pa_forfm_supenf)),0)</f>
        <v>0</v>
      </c>
      <c r="O270" s="123">
        <f>IF(O$3="couple",(O$211=0)*pa_forf_c0+(O$211=1)*pa_forf_c1+(O$211&gt;=2)*(pa_forf_c2+(O$211-2)*pa_sup_enf),0)+IF(O$3="isolé",(O68=0)*((O$211=0)*pa_forf_I0+(O$211=1)*pa_forf_I1+(O$211&gt;=2)*(pa_forf_I2+(O$211-2)*pa_sup_enf))+(O68=1)*((O$211=0)*pa_forfm_I0+(O$211=1)*pa_forfm_I1+(O$211&gt;=2)*(pa_forfm_I2+(O$211-2)*pa_forfm_supenf)),0)</f>
        <v>0</v>
      </c>
      <c r="P270" s="123">
        <f>IF(P$3="couple",(P$211=0)*pa_forf_c0+(P$211=1)*pa_forf_c1+(P$211&gt;=2)*(pa_forf_c2+(P$211-2)*pa_sup_enf),0)+IF(P$3="isolé",(P68=0)*((P$211=0)*pa_forf_I0+(P$211=1)*pa_forf_I1+(P$211&gt;=2)*(pa_forf_I2+(P$211-2)*pa_sup_enf))+(P68=1)*((P$211=0)*pa_forfm_I0+(P$211=1)*pa_forfm_I1+(P$211&gt;=2)*(pa_forfm_I2+(P$211-2)*pa_forfm_supenf)),0)</f>
        <v>0</v>
      </c>
      <c r="R270" s="123">
        <f>IF(R$3="couple",(R$211=0)*pa_forf_c0+(R$211=1)*pa_forf_c1+(R$211&gt;=2)*(pa_forf_c2+(R$211-2)*pa_sup_enf),0)+IF(R$3="isolé",(R68=0)*((R$211=0)*pa_forf_I0+(R$211=1)*pa_forf_I1+(R$211&gt;=2)*(pa_forf_I2+(R$211-2)*pa_sup_enf))+(R68=1)*((R$211=0)*pa_forfm_I0+(R$211=1)*pa_forfm_I1+(R$211&gt;=2)*(pa_forfm_I2+(R$211-2)*pa_forfm_supenf)),0)</f>
        <v>0</v>
      </c>
      <c r="S270" s="123">
        <f>IF(S$3="couple",(S$211=0)*pa_forf_c0+(S$211=1)*pa_forf_c1+(S$211&gt;=2)*(pa_forf_c2+(S$211-2)*pa_sup_enf),0)+IF(S$3="isolé",(S68=0)*((S$211=0)*pa_forf_I0+(S$211=1)*pa_forf_I1+(S$211&gt;=2)*(pa_forf_I2+(S$211-2)*pa_sup_enf))+(S68=1)*((S$211=0)*pa_forfm_I0+(S$211=1)*pa_forfm_I1+(S$211&gt;=2)*(pa_forfm_I2+(S$211-2)*pa_forfm_supenf)),0)</f>
        <v>0</v>
      </c>
      <c r="T270" s="123">
        <f>IF(T$3="couple",(T$211=0)*pa_forf_c0+(T$211=1)*pa_forf_c1+(T$211&gt;=2)*(pa_forf_c2+(T$211-2)*pa_sup_enf),0)+IF(T$3="isolé",(T68=0)*((T$211=0)*pa_forf_I0+(T$211=1)*pa_forf_I1+(T$211&gt;=2)*(pa_forf_I2+(T$211-2)*pa_sup_enf))+(T68=1)*((T$211=0)*pa_forfm_I0+(T$211=1)*pa_forfm_I1+(T$211&gt;=2)*(pa_forfm_I2+(T$211-2)*pa_forfm_supenf)),0)</f>
        <v>0</v>
      </c>
      <c r="U270" s="123">
        <f>IF(U$3="couple",(U$211=0)*pa_forf_c0+(U$211=1)*pa_forf_c1+(U$211&gt;=2)*(pa_forf_c2+(U$211-2)*pa_sup_enf),0)+IF(U$3="isolé",(U68=0)*((U$211=0)*pa_forf_I0+(U$211=1)*pa_forf_I1+(U$211&gt;=2)*(pa_forf_I2+(U$211-2)*pa_sup_enf))+(U68=1)*((U$211=0)*pa_forfm_I0+(U$211=1)*pa_forfm_I1+(U$211&gt;=2)*(pa_forfm_I2+(U$211-2)*pa_forfm_supenf)),0)</f>
        <v>0</v>
      </c>
    </row>
    <row r="271" spans="1:21" s="4" customFormat="1" x14ac:dyDescent="0.25">
      <c r="A271" s="275" t="s">
        <v>162</v>
      </c>
      <c r="B271" s="5"/>
      <c r="C271" s="85">
        <f>MIN(C$185,IF(C$3="isolé",(C$211=0)*pa_fl1+(C$211=1)*pa_fl2+(C$211&gt;1)*pa_fl3,(C$211=0)*pa_fl2+(C$211&gt;0)*pa_fl3))</f>
        <v>74.715599999999995</v>
      </c>
      <c r="D271" s="85">
        <f>MIN(D$185,IF(D$3="isolé",(D$211=0)*pa_fl1+(D$211=1)*pa_fl2+(D$211&gt;1)*pa_fl3,(D$211=0)*pa_fl2+(D$211&gt;0)*pa_fl3))</f>
        <v>74.715599999999995</v>
      </c>
      <c r="E271" s="85">
        <f>MIN(E$185,IF(E$3="isolé",(E$211=0)*pa_fl1+(E$211=1)*pa_fl2+(E$211&gt;1)*pa_fl3,(E$211=0)*pa_fl2+(E$211&gt;0)*pa_fl3))</f>
        <v>0</v>
      </c>
      <c r="F271" s="85">
        <f>MIN(F$185,IF(F$3="isolé",(F$211=0)*pa_fl1+(F$211=1)*pa_fl2+(F$211&gt;1)*pa_fl3,(F$211=0)*pa_fl2+(F$211&gt;0)*pa_fl3))</f>
        <v>0</v>
      </c>
      <c r="H271" s="85">
        <f>MIN(H$185,IF(H$3="isolé",(H$211=0)*pa_fl1+(H$211=1)*pa_fl2+(H$211&gt;1)*pa_fl3,(H$211=0)*pa_fl2+(H$211&gt;0)*pa_fl3))</f>
        <v>149.43119999999999</v>
      </c>
      <c r="I271" s="85">
        <f>MIN(I$185,IF(I$3="isolé",(I$211=0)*pa_fl1+(I$211=1)*pa_fl2+(I$211&gt;1)*pa_fl3,(I$211=0)*pa_fl2+(I$211&gt;0)*pa_fl3))</f>
        <v>149.43119999999999</v>
      </c>
      <c r="J271" s="85">
        <f>MIN(J$185,IF(J$3="isolé",(J$211=0)*pa_fl1+(J$211=1)*pa_fl2+(J$211&gt;1)*pa_fl3,(J$211=0)*pa_fl2+(J$211&gt;0)*pa_fl3))</f>
        <v>149.43119999999999</v>
      </c>
      <c r="K271" s="85">
        <f>MIN(K$185,IF(K$3="isolé",(K$211=0)*pa_fl1+(K$211=1)*pa_fl2+(K$211&gt;1)*pa_fl3,(K$211=0)*pa_fl2+(K$211&gt;0)*pa_fl3))</f>
        <v>0</v>
      </c>
      <c r="M271" s="85">
        <f>MIN(M$185,IF(M$3="isolé",(M$211=0)*pa_fl1+(M$211=1)*pa_fl2+(M$211&gt;1)*pa_fl3,(M$211=0)*pa_fl2+(M$211&gt;0)*pa_fl3))</f>
        <v>184.92111</v>
      </c>
      <c r="N271" s="85">
        <f>MIN(N$185,IF(N$3="isolé",(N$211=0)*pa_fl1+(N$211=1)*pa_fl2+(N$211&gt;1)*pa_fl3,(N$211=0)*pa_fl2+(N$211&gt;0)*pa_fl3))</f>
        <v>184.92111</v>
      </c>
      <c r="O271" s="85">
        <f>MIN(O$185,IF(O$3="isolé",(O$211=0)*pa_fl1+(O$211=1)*pa_fl2+(O$211&gt;1)*pa_fl3,(O$211=0)*pa_fl2+(O$211&gt;0)*pa_fl3))</f>
        <v>184.92111</v>
      </c>
      <c r="P271" s="85">
        <f>MIN(P$185,IF(P$3="isolé",(P$211=0)*pa_fl1+(P$211=1)*pa_fl2+(P$211&gt;1)*pa_fl3,(P$211=0)*pa_fl2+(P$211&gt;0)*pa_fl3))</f>
        <v>106.52656054361321</v>
      </c>
      <c r="R271" s="85">
        <f>MIN(R$185,IF(R$3="isolé",(R$211=0)*pa_fl1+(R$211=1)*pa_fl2+(R$211&gt;1)*pa_fl3,(R$211=0)*pa_fl2+(R$211&gt;0)*pa_fl3))</f>
        <v>184.92111</v>
      </c>
      <c r="S271" s="85">
        <f>MIN(S$185,IF(S$3="isolé",(S$211=0)*pa_fl1+(S$211=1)*pa_fl2+(S$211&gt;1)*pa_fl3,(S$211=0)*pa_fl2+(S$211&gt;0)*pa_fl3))</f>
        <v>184.92111</v>
      </c>
      <c r="T271" s="85">
        <f>MIN(T$185,IF(T$3="isolé",(T$211=0)*pa_fl1+(T$211=1)*pa_fl2+(T$211&gt;1)*pa_fl3,(T$211=0)*pa_fl2+(T$211&gt;0)*pa_fl3))</f>
        <v>184.92111</v>
      </c>
      <c r="U271" s="85">
        <f>MIN(U$185,IF(U$3="isolé",(U$211=0)*pa_fl1+(U$211=1)*pa_fl2+(U$211&gt;1)*pa_fl3,(U$211=0)*pa_fl2+(U$211&gt;0)*pa_fl3))</f>
        <v>184.92111</v>
      </c>
    </row>
    <row r="272" spans="1:21" s="4" customFormat="1" x14ac:dyDescent="0.25">
      <c r="A272" s="275" t="s">
        <v>526</v>
      </c>
      <c r="B272" s="5"/>
      <c r="C272" s="85">
        <v>0</v>
      </c>
      <c r="D272" s="85">
        <v>0</v>
      </c>
      <c r="E272" s="85">
        <v>0</v>
      </c>
      <c r="F272" s="85">
        <v>0</v>
      </c>
      <c r="H272" s="85">
        <v>0</v>
      </c>
      <c r="I272" s="85">
        <v>0</v>
      </c>
      <c r="J272" s="85">
        <v>0</v>
      </c>
      <c r="K272" s="85">
        <v>0</v>
      </c>
      <c r="M272" s="85">
        <v>0</v>
      </c>
      <c r="N272" s="85">
        <v>0</v>
      </c>
      <c r="O272" s="85">
        <v>0</v>
      </c>
      <c r="P272" s="85">
        <v>0</v>
      </c>
      <c r="R272" s="85">
        <v>0</v>
      </c>
      <c r="S272" s="85">
        <v>0</v>
      </c>
      <c r="T272" s="85">
        <v>0</v>
      </c>
      <c r="U272" s="85">
        <v>0</v>
      </c>
    </row>
    <row r="273" spans="1:21" s="4" customFormat="1" x14ac:dyDescent="0.25">
      <c r="A273" s="275" t="s">
        <v>527</v>
      </c>
      <c r="B273" s="5"/>
      <c r="C273" s="85">
        <v>0</v>
      </c>
      <c r="D273" s="85">
        <v>0</v>
      </c>
      <c r="E273" s="85">
        <v>0</v>
      </c>
      <c r="F273" s="85">
        <v>0</v>
      </c>
      <c r="H273" s="85">
        <v>0</v>
      </c>
      <c r="I273" s="85">
        <v>0</v>
      </c>
      <c r="J273" s="85">
        <v>0</v>
      </c>
      <c r="K273" s="85">
        <v>0</v>
      </c>
      <c r="M273" s="85">
        <v>0</v>
      </c>
      <c r="N273" s="85">
        <v>0</v>
      </c>
      <c r="O273" s="85">
        <v>0</v>
      </c>
      <c r="P273" s="85">
        <v>0</v>
      </c>
      <c r="R273" s="85">
        <v>0</v>
      </c>
      <c r="S273" s="85">
        <v>0</v>
      </c>
      <c r="T273" s="85">
        <v>0</v>
      </c>
      <c r="U273" s="85">
        <v>0</v>
      </c>
    </row>
    <row r="274" spans="1:21" s="4" customFormat="1" x14ac:dyDescent="0.25">
      <c r="A274" s="116" t="s">
        <v>92</v>
      </c>
      <c r="B274" s="5"/>
      <c r="C274" s="85">
        <f>C$38+C$32*IF(C$38&gt;=AAH_salmin_revact,C$205,0)+(C$3="couple")*(C$39+C$33*IF(C$39&gt;=AAH_salmin_revact,C$207,0))</f>
        <v>0</v>
      </c>
      <c r="D274" s="85">
        <f>D$38+D$32*IF(D$38&gt;=AAH_salmin_revact,D$205,0)+(D$3="couple")*(D$39+D$33*IF(D$39&gt;=AAH_salmin_revact,D$207,0))</f>
        <v>699.35</v>
      </c>
      <c r="E274" s="85">
        <f>E$38+E$32*IF(E$38&gt;=AAH_salmin_revact,E$205,0)+(E$3="couple")*(E$39+E$33*IF(E$39&gt;=AAH_salmin_revact,E$207,0))</f>
        <v>1398.7</v>
      </c>
      <c r="F274" s="85">
        <f>F$38+F$32*IF(F$38&gt;=AAH_salmin_revact,F$205,0)+(F$3="couple")*(F$39+F$33*IF(F$39&gt;=AAH_salmin_revact,F$207,0))</f>
        <v>2098.0500000000002</v>
      </c>
      <c r="H274" s="85">
        <f>H$38+H$32*IF(H$38&gt;=AAH_salmin_revact,H$205,0)+(H$3="couple")*(H$39+H$33*IF(H$39&gt;=AAH_salmin_revact,H$207,0))</f>
        <v>0</v>
      </c>
      <c r="I274" s="85">
        <f>I$38+I$32*IF(I$38&gt;=AAH_salmin_revact,I$205,0)+(I$3="couple")*(I$39+I$33*IF(I$39&gt;=AAH_salmin_revact,I$207,0))</f>
        <v>699.35</v>
      </c>
      <c r="J274" s="85">
        <f>J$38+J$32*IF(J$38&gt;=AAH_salmin_revact,J$205,0)+(J$3="couple")*(J$39+J$33*IF(J$39&gt;=AAH_salmin_revact,J$207,0))</f>
        <v>1398.7</v>
      </c>
      <c r="K274" s="85">
        <f>K$38+K$32*IF(K$38&gt;=AAH_salmin_revact,K$205,0)+(K$3="couple")*(K$39+K$33*IF(K$39&gt;=AAH_salmin_revact,K$207,0))</f>
        <v>2098.0500000000002</v>
      </c>
      <c r="M274" s="85">
        <f>M$38+M$32*IF(M$38&gt;=AAH_salmin_revact,M$205,0)+(M$3="couple")*(M$39+M$33*IF(M$39&gt;=AAH_salmin_revact,M$207,0))</f>
        <v>0</v>
      </c>
      <c r="N274" s="85">
        <f>N$38+N$32*IF(N$38&gt;=AAH_salmin_revact,N$205,0)+(N$3="couple")*(N$39+N$33*IF(N$39&gt;=AAH_salmin_revact,N$207,0))</f>
        <v>699.35</v>
      </c>
      <c r="O274" s="85">
        <f>O$38+O$32*IF(O$38&gt;=AAH_salmin_revact,O$205,0)+(O$3="couple")*(O$39+O$33*IF(O$39&gt;=AAH_salmin_revact,O$207,0))</f>
        <v>1398.7</v>
      </c>
      <c r="P274" s="85">
        <f>P$38+P$32*IF(P$38&gt;=AAH_salmin_revact,P$205,0)+(P$3="couple")*(P$39+P$33*IF(P$39&gt;=AAH_salmin_revact,P$207,0))</f>
        <v>2098.0500000000002</v>
      </c>
      <c r="R274" s="85">
        <f>R$38+R$32*IF(R$38&gt;=AAH_salmin_revact,R$205,0)+(R$3="couple")*(R$39+R$33*IF(R$39&gt;=AAH_salmin_revact,R$207,0))</f>
        <v>0</v>
      </c>
      <c r="S274" s="85">
        <f>S$38+S$32*IF(S$38&gt;=AAH_salmin_revact,S$205,0)+(S$3="couple")*(S$39+S$33*IF(S$39&gt;=AAH_salmin_revact,S$207,0))</f>
        <v>699.35</v>
      </c>
      <c r="T274" s="85">
        <f>T$38+T$32*IF(T$38&gt;=AAH_salmin_revact,T$205,0)+(T$3="couple")*(T$39+T$33*IF(T$39&gt;=AAH_salmin_revact,T$207,0))</f>
        <v>1398.7</v>
      </c>
      <c r="U274" s="85">
        <f>U$38+U$32*IF(U$38&gt;=AAH_salmin_revact,U$205,0)+(U$3="couple")*(U$39+U$33*IF(U$39&gt;=AAH_salmin_revact,U$207,0))</f>
        <v>2098.0500000000002</v>
      </c>
    </row>
    <row r="275" spans="1:21" s="4" customFormat="1" x14ac:dyDescent="0.25">
      <c r="A275" s="275" t="s">
        <v>216</v>
      </c>
      <c r="B275" s="5"/>
      <c r="C275" s="85">
        <f>C270+C272+C273+pa_taux_rev_act*C274</f>
        <v>622.63</v>
      </c>
      <c r="D275" s="85">
        <f>D270+D272+D273+pa_taux_rev_act*D274</f>
        <v>1049.2335</v>
      </c>
      <c r="E275" s="85">
        <f>E270+E272+E273+pa_taux_rev_act*E274</f>
        <v>1475.837</v>
      </c>
      <c r="F275" s="85">
        <f>F270+F272+F273+pa_taux_rev_act*F274</f>
        <v>1902.4405000000002</v>
      </c>
      <c r="H275" s="85">
        <f>H270+H272+H273+pa_taux_rev_act*H274</f>
        <v>0</v>
      </c>
      <c r="I275" s="85">
        <f>I270+I272+I273+pa_taux_rev_act*I274</f>
        <v>426.6035</v>
      </c>
      <c r="J275" s="85">
        <f>J270+J272+J273+pa_taux_rev_act*J274</f>
        <v>853.20699999999999</v>
      </c>
      <c r="K275" s="85">
        <f>K270+K272+K273+pa_taux_rev_act*K274</f>
        <v>1279.8105</v>
      </c>
      <c r="M275" s="85">
        <f>M270+M272+M273+pa_taux_rev_act*M274</f>
        <v>0</v>
      </c>
      <c r="N275" s="85">
        <f>N270+N272+N273+pa_taux_rev_act*N274</f>
        <v>426.6035</v>
      </c>
      <c r="O275" s="85">
        <f>O270+O272+O273+pa_taux_rev_act*O274</f>
        <v>853.20699999999999</v>
      </c>
      <c r="P275" s="85">
        <f>P270+P272+P273+pa_taux_rev_act*P274</f>
        <v>1279.8105</v>
      </c>
      <c r="R275" s="85">
        <f>R270+R272+R273+pa_taux_rev_act*R274</f>
        <v>0</v>
      </c>
      <c r="S275" s="85">
        <f>S270+S272+S273+pa_taux_rev_act*S274</f>
        <v>426.6035</v>
      </c>
      <c r="T275" s="85">
        <f>T270+T272+T273+pa_taux_rev_act*T274</f>
        <v>853.20699999999999</v>
      </c>
      <c r="U275" s="85">
        <f>U270+U272+U273+pa_taux_rev_act*U274</f>
        <v>1279.8105</v>
      </c>
    </row>
    <row r="276" spans="1:21" s="4" customFormat="1" x14ac:dyDescent="0.25">
      <c r="A276" s="275" t="s">
        <v>209</v>
      </c>
      <c r="B276" s="5"/>
      <c r="C276" s="85">
        <f>(C$127+C$137+C$64)/(1-crds)+(C$62&gt;0)*MAX(0,(ASF_à_déduire_du_RSA/(1-crds))*C$97-C$52)</f>
        <v>0</v>
      </c>
      <c r="D276" s="85">
        <f>(D$127+D$137+D$64)/(1-crds)+(D$62&gt;0)*MAX(0,(ASF_à_déduire_du_RSA/(1-crds))*D$97-D$52)</f>
        <v>0</v>
      </c>
      <c r="E276" s="85">
        <f>(E$127+E$137+E$64)/(1-crds)+(E$62&gt;0)*MAX(0,(ASF_à_déduire_du_RSA/(1-crds))*E$97-E$52)</f>
        <v>0</v>
      </c>
      <c r="F276" s="85">
        <f>(F$127+F$137+F$64)/(1-crds)+(F$62&gt;0)*MAX(0,(ASF_à_déduire_du_RSA/(1-crds))*F$97-F$52)</f>
        <v>0</v>
      </c>
      <c r="H276" s="85">
        <f>(H$127+H$137+H$64)/(1-crds)+(H$62&gt;0)*MAX(0,(ASF_à_déduire_du_RSA/(1-crds))*H$97-H$52)</f>
        <v>104.94899999999998</v>
      </c>
      <c r="I276" s="85">
        <f>(I$127+I$137+I$64)/(1-crds)+(I$62&gt;0)*MAX(0,(ASF_à_déduire_du_RSA/(1-crds))*I$97-I$52)</f>
        <v>104.94899999999998</v>
      </c>
      <c r="J276" s="85">
        <f>(J$127+J$137+J$64)/(1-crds)+(J$62&gt;0)*MAX(0,(ASF_à_déduire_du_RSA/(1-crds))*J$97-J$52)</f>
        <v>104.94899999999998</v>
      </c>
      <c r="K276" s="85">
        <f>(K$127+K$137+K$64)/(1-crds)+(K$62&gt;0)*MAX(0,(ASF_à_déduire_du_RSA/(1-crds))*K$97-K$52)</f>
        <v>104.94899999999998</v>
      </c>
      <c r="M276" s="85">
        <f>(M$127+M$137+M$64)/(1-crds)+(M$62&gt;0)*MAX(0,(ASF_à_déduire_du_RSA/(1-crds))*M$97-M$52)</f>
        <v>359.15879999999993</v>
      </c>
      <c r="N276" s="85">
        <f>(N$127+N$137+N$64)/(1-crds)+(N$62&gt;0)*MAX(0,(ASF_à_déduire_du_RSA/(1-crds))*N$97-N$52)</f>
        <v>359.15879999999993</v>
      </c>
      <c r="O276" s="85">
        <f>(O$127+O$137+O$64)/(1-crds)+(O$62&gt;0)*MAX(0,(ASF_à_déduire_du_RSA/(1-crds))*O$97-O$52)</f>
        <v>359.15879999999993</v>
      </c>
      <c r="P276" s="85">
        <f>(P$127+P$137+P$64)/(1-crds)+(P$62&gt;0)*MAX(0,(ASF_à_déduire_du_RSA/(1-crds))*P$97-P$52)</f>
        <v>359.15879999999993</v>
      </c>
      <c r="R276" s="85">
        <f>(R$127+R$137+R$64)/(1-crds)+(R$62&gt;0)*MAX(0,(ASF_à_déduire_du_RSA/(1-crds))*R$97-R$52)</f>
        <v>849.62045999999987</v>
      </c>
      <c r="S276" s="85">
        <f>(S$127+S$137+S$64)/(1-crds)+(S$62&gt;0)*MAX(0,(ASF_à_déduire_du_RSA/(1-crds))*S$97-S$52)</f>
        <v>849.62045999999987</v>
      </c>
      <c r="T276" s="85">
        <f>(T$127+T$137+T$64)/(1-crds)+(T$62&gt;0)*MAX(0,(ASF_à_déduire_du_RSA/(1-crds))*T$97-T$52)</f>
        <v>849.62045999999987</v>
      </c>
      <c r="U276" s="85">
        <f>(U$127+U$137+U$64)/(1-crds)+(U$62&gt;0)*MAX(0,(ASF_à_déduire_du_RSA/(1-crds))*U$97-U$52)</f>
        <v>849.62045999999987</v>
      </c>
    </row>
    <row r="277" spans="1:21" x14ac:dyDescent="0.25">
      <c r="A277" s="275" t="s">
        <v>331</v>
      </c>
      <c r="B277" s="5"/>
      <c r="C277" s="85">
        <f>C$218+C$227+C$38+C$39+C$52+C$57+C$74</f>
        <v>559.4248</v>
      </c>
      <c r="D277" s="85">
        <f t="shared" ref="D277:F277" si="178">D$218+D$227+D$38+D$39+D$52+D$57+D$74</f>
        <v>699.35</v>
      </c>
      <c r="E277" s="85">
        <f t="shared" si="178"/>
        <v>1398.7</v>
      </c>
      <c r="F277" s="85">
        <f t="shared" si="178"/>
        <v>2098.0500000000002</v>
      </c>
      <c r="H277" s="85">
        <f>H$218+H$227+H$38+H$39+H$52+H$57+H$74</f>
        <v>800.99459999999999</v>
      </c>
      <c r="I277" s="85">
        <f t="shared" ref="I277:K277" si="179">I$218+I$227+I$38+I$39+I$52+I$57+I$74</f>
        <v>804.29899999999998</v>
      </c>
      <c r="J277" s="85">
        <f t="shared" si="179"/>
        <v>1503.6490000000001</v>
      </c>
      <c r="K277" s="85">
        <f t="shared" si="179"/>
        <v>2202.9990000000003</v>
      </c>
      <c r="M277" s="85">
        <f>M$218+M$227+M$38+M$39+M$52+M$57+M$74</f>
        <v>955.47212999999999</v>
      </c>
      <c r="N277" s="85">
        <f t="shared" ref="N277:P277" si="180">N$218+N$227+N$38+N$39+N$52+N$57+N$74</f>
        <v>1058.5088000000001</v>
      </c>
      <c r="O277" s="85">
        <f t="shared" si="180"/>
        <v>1757.8588</v>
      </c>
      <c r="P277" s="85">
        <f t="shared" si="180"/>
        <v>2457.2088000000003</v>
      </c>
      <c r="R277" s="85">
        <f>R$218+R$227+R$38+R$39+R$52+R$57+R$74</f>
        <v>1209.7561300000002</v>
      </c>
      <c r="S277" s="85">
        <f t="shared" ref="S277:U277" si="181">S$218+S$227+S$38+S$39+S$52+S$57+S$74</f>
        <v>1548.97046</v>
      </c>
      <c r="T277" s="85">
        <f t="shared" si="181"/>
        <v>2248.3204599999999</v>
      </c>
      <c r="U277" s="85">
        <f t="shared" si="181"/>
        <v>2947.6704600000003</v>
      </c>
    </row>
    <row r="278" spans="1:21" ht="13" thickBot="1" x14ac:dyDescent="0.3">
      <c r="A278" s="288" t="s">
        <v>143</v>
      </c>
      <c r="B278" s="125"/>
      <c r="C278" s="126">
        <f>(C$225&gt;0)*MAX(0,C$226-C$222-C$228)</f>
        <v>0</v>
      </c>
      <c r="D278" s="126">
        <f t="shared" ref="D278:F278" si="182">(D$225&gt;0)*MAX(0,D$226-D$222-D$228)</f>
        <v>275.16790000000003</v>
      </c>
      <c r="E278" s="126">
        <f t="shared" si="182"/>
        <v>258.327</v>
      </c>
      <c r="F278" s="126">
        <f t="shared" si="182"/>
        <v>0</v>
      </c>
      <c r="H278" s="126">
        <f>(H$225&gt;0)*MAX(0,H$226-H$222-H$228)</f>
        <v>0</v>
      </c>
      <c r="I278" s="126">
        <f t="shared" ref="I278:K278" si="183">(I$225&gt;0)*MAX(0,I$226-I$222-I$228)</f>
        <v>406.81829999999991</v>
      </c>
      <c r="J278" s="126">
        <f t="shared" si="183"/>
        <v>315.26179999999999</v>
      </c>
      <c r="K278" s="126">
        <f t="shared" si="183"/>
        <v>191.94649999999956</v>
      </c>
      <c r="M278" s="126">
        <f>(M$225&gt;0)*MAX(0,M$226-M$222-M$228)</f>
        <v>0</v>
      </c>
      <c r="N278" s="126">
        <f t="shared" ref="N278:P278" si="184">(N$225&gt;0)*MAX(0,N$226-N$222-N$228)</f>
        <v>303.9075899999998</v>
      </c>
      <c r="O278" s="126">
        <f t="shared" si="184"/>
        <v>212.35108999999989</v>
      </c>
      <c r="P278" s="126">
        <f t="shared" si="184"/>
        <v>17.999139456386274</v>
      </c>
      <c r="R278" s="126">
        <f>(R$225&gt;0)*MAX(0,R$226-R$222-R$228)</f>
        <v>0</v>
      </c>
      <c r="S278" s="126">
        <f t="shared" ref="S278:U278" si="185">(S$225&gt;0)*MAX(0,S$226-S$222-S$228)</f>
        <v>62.497929999999997</v>
      </c>
      <c r="T278" s="126">
        <f t="shared" si="185"/>
        <v>0</v>
      </c>
      <c r="U278" s="126">
        <f t="shared" si="185"/>
        <v>0</v>
      </c>
    </row>
    <row r="279" spans="1:21" x14ac:dyDescent="0.25">
      <c r="C279" s="202">
        <f>(C278&gt;=pa_seuil_versement)*C278*(1-taux_CRDS)</f>
        <v>0</v>
      </c>
      <c r="D279" s="202">
        <f>(D278&gt;=pa_seuil_versement)*D278*(1-taux_CRDS)</f>
        <v>273.79206050000005</v>
      </c>
      <c r="E279" s="202">
        <f>(E278&gt;=pa_seuil_versement)*E278*(1-taux_CRDS)</f>
        <v>257.03536500000001</v>
      </c>
      <c r="F279" s="202">
        <f>(F278&gt;=pa_seuil_versement)*F278*(1-taux_CRDS)</f>
        <v>0</v>
      </c>
      <c r="H279" s="202">
        <f>(H278&gt;=pa_seuil_versement)*H278*(1-taux_CRDS)</f>
        <v>0</v>
      </c>
      <c r="I279" s="202">
        <f>(I278&gt;=pa_seuil_versement)*I278*(1-taux_CRDS)</f>
        <v>404.78420849999992</v>
      </c>
      <c r="J279" s="202">
        <f>(J278&gt;=pa_seuil_versement)*J278*(1-taux_CRDS)</f>
        <v>313.68549100000001</v>
      </c>
      <c r="K279" s="202">
        <f>(K278&gt;=pa_seuil_versement)*K278*(1-taux_CRDS)</f>
        <v>190.98676749999956</v>
      </c>
      <c r="M279" s="202">
        <f>(M278&gt;=pa_seuil_versement)*M278*(1-taux_CRDS)</f>
        <v>0</v>
      </c>
      <c r="N279" s="202">
        <f>(N278&gt;=pa_seuil_versement)*N278*(1-taux_CRDS)</f>
        <v>302.38805204999977</v>
      </c>
      <c r="O279" s="202">
        <f>(O278&gt;=pa_seuil_versement)*O278*(1-taux_CRDS)</f>
        <v>211.28933454999989</v>
      </c>
      <c r="P279" s="202">
        <f>(P278&gt;=pa_seuil_versement)*P278*(1-taux_CRDS)</f>
        <v>17.909143759104342</v>
      </c>
      <c r="R279" s="202">
        <f>(R278&gt;=pa_seuil_versement)*R278*(1-taux_CRDS)</f>
        <v>0</v>
      </c>
      <c r="S279" s="202">
        <f>(S278&gt;=pa_seuil_versement)*S278*(1-taux_CRDS)</f>
        <v>62.185440349999993</v>
      </c>
      <c r="T279" s="202">
        <f>(T278&gt;=pa_seuil_versement)*T278*(1-taux_CRDS)</f>
        <v>0</v>
      </c>
      <c r="U279" s="202">
        <f>(U278&gt;=pa_seuil_versement)*U278*(1-taux_CRDS)</f>
        <v>0</v>
      </c>
    </row>
  </sheetData>
  <sheetProtection selectLockedCells="1" selectUnlockedCells="1"/>
  <mergeCells count="5">
    <mergeCell ref="B40:B41"/>
    <mergeCell ref="C2:F2"/>
    <mergeCell ref="H2:K2"/>
    <mergeCell ref="M2:P2"/>
    <mergeCell ref="R2:U2"/>
  </mergeCells>
  <pageMargins left="0.78740157499999996" right="0.78740157499999996" top="0.984251969" bottom="0.984251969" header="0.4921259845" footer="0.4921259845"/>
  <pageSetup paperSize="9" scale="16"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3090B-49A3-4CE1-A2CA-747D4915F082}">
  <sheetPr>
    <tabColor theme="9" tint="-0.249977111117893"/>
    <pageSetUpPr fitToPage="1"/>
  </sheetPr>
  <dimension ref="A2:U279"/>
  <sheetViews>
    <sheetView topLeftCell="A4" zoomScale="85" zoomScaleNormal="85" workbookViewId="0">
      <selection activeCell="R279" sqref="R279:U279"/>
    </sheetView>
  </sheetViews>
  <sheetFormatPr baseColWidth="10" defaultColWidth="11.453125" defaultRowHeight="12.5" x14ac:dyDescent="0.25"/>
  <cols>
    <col min="1" max="1" width="73.26953125" customWidth="1"/>
    <col min="2" max="2" width="41.26953125" hidden="1" customWidth="1"/>
    <col min="3" max="6" width="10.1796875" style="202" customWidth="1"/>
    <col min="7" max="7" width="3.26953125" customWidth="1"/>
    <col min="8" max="11" width="10.1796875" style="202" customWidth="1"/>
    <col min="12" max="12" width="3.26953125" customWidth="1"/>
    <col min="13" max="16" width="10.1796875" style="202" customWidth="1"/>
    <col min="17" max="17" width="3.26953125" customWidth="1"/>
    <col min="18" max="21" width="10.1796875" style="202" customWidth="1"/>
  </cols>
  <sheetData>
    <row r="2" spans="1:21" ht="27" customHeight="1" thickBot="1" x14ac:dyDescent="0.35">
      <c r="A2" s="355" t="s">
        <v>387</v>
      </c>
      <c r="B2" s="356"/>
      <c r="C2" s="516" t="s">
        <v>534</v>
      </c>
      <c r="D2" s="516"/>
      <c r="E2" s="516"/>
      <c r="F2" s="516"/>
      <c r="H2" s="516" t="s">
        <v>535</v>
      </c>
      <c r="I2" s="516"/>
      <c r="J2" s="516"/>
      <c r="K2" s="516"/>
      <c r="M2" s="516" t="s">
        <v>536</v>
      </c>
      <c r="N2" s="516"/>
      <c r="O2" s="516"/>
      <c r="P2" s="516"/>
      <c r="R2" s="516" t="s">
        <v>538</v>
      </c>
      <c r="S2" s="516"/>
      <c r="T2" s="516"/>
      <c r="U2" s="516"/>
    </row>
    <row r="3" spans="1:21" ht="13" thickBot="1" x14ac:dyDescent="0.3">
      <c r="A3" s="1" t="s">
        <v>27</v>
      </c>
      <c r="B3" s="1" t="s">
        <v>59</v>
      </c>
      <c r="C3" s="332" t="s">
        <v>12</v>
      </c>
      <c r="D3" s="332" t="s">
        <v>12</v>
      </c>
      <c r="E3" s="332" t="s">
        <v>12</v>
      </c>
      <c r="F3" s="332" t="s">
        <v>12</v>
      </c>
      <c r="H3" s="332" t="s">
        <v>12</v>
      </c>
      <c r="I3" s="332" t="s">
        <v>12</v>
      </c>
      <c r="J3" s="332" t="s">
        <v>12</v>
      </c>
      <c r="K3" s="332" t="s">
        <v>12</v>
      </c>
      <c r="M3" s="332" t="s">
        <v>12</v>
      </c>
      <c r="N3" s="332" t="s">
        <v>12</v>
      </c>
      <c r="O3" s="332" t="s">
        <v>12</v>
      </c>
      <c r="P3" s="332" t="s">
        <v>12</v>
      </c>
      <c r="R3" s="332" t="s">
        <v>12</v>
      </c>
      <c r="S3" s="332" t="s">
        <v>12</v>
      </c>
      <c r="T3" s="332" t="s">
        <v>12</v>
      </c>
      <c r="U3" s="332" t="s">
        <v>12</v>
      </c>
    </row>
    <row r="4" spans="1:21" x14ac:dyDescent="0.25">
      <c r="A4" s="1" t="s">
        <v>98</v>
      </c>
      <c r="B4" s="256" t="s">
        <v>104</v>
      </c>
      <c r="C4" s="238">
        <v>-1</v>
      </c>
      <c r="D4" s="238">
        <v>-1</v>
      </c>
      <c r="E4" s="238">
        <v>-1</v>
      </c>
      <c r="F4" s="238">
        <v>-1</v>
      </c>
      <c r="H4" s="238">
        <v>5</v>
      </c>
      <c r="I4" s="238">
        <v>5</v>
      </c>
      <c r="J4" s="238">
        <v>5</v>
      </c>
      <c r="K4" s="238">
        <v>5</v>
      </c>
      <c r="M4" s="238">
        <v>5</v>
      </c>
      <c r="N4" s="238">
        <v>5</v>
      </c>
      <c r="O4" s="238">
        <v>5</v>
      </c>
      <c r="P4" s="238">
        <v>5</v>
      </c>
      <c r="R4" s="238">
        <v>5</v>
      </c>
      <c r="S4" s="238">
        <v>5</v>
      </c>
      <c r="T4" s="238">
        <v>5</v>
      </c>
      <c r="U4" s="238">
        <v>5</v>
      </c>
    </row>
    <row r="5" spans="1:21" x14ac:dyDescent="0.25">
      <c r="A5" s="2" t="s">
        <v>99</v>
      </c>
      <c r="B5" s="257" t="s">
        <v>414</v>
      </c>
      <c r="C5" s="239">
        <v>-1</v>
      </c>
      <c r="D5" s="239">
        <v>-1</v>
      </c>
      <c r="E5" s="239">
        <v>-1</v>
      </c>
      <c r="F5" s="239">
        <v>-1</v>
      </c>
      <c r="H5" s="239">
        <v>-1</v>
      </c>
      <c r="I5" s="239">
        <v>-1</v>
      </c>
      <c r="J5" s="239">
        <v>-1</v>
      </c>
      <c r="K5" s="239">
        <v>-1</v>
      </c>
      <c r="M5" s="239">
        <v>8</v>
      </c>
      <c r="N5" s="239">
        <v>8</v>
      </c>
      <c r="O5" s="239">
        <v>8</v>
      </c>
      <c r="P5" s="239">
        <v>8</v>
      </c>
      <c r="R5" s="239">
        <v>8</v>
      </c>
      <c r="S5" s="239">
        <v>8</v>
      </c>
      <c r="T5" s="239">
        <v>8</v>
      </c>
      <c r="U5" s="239">
        <v>8</v>
      </c>
    </row>
    <row r="6" spans="1:21" x14ac:dyDescent="0.25">
      <c r="A6" s="2" t="s">
        <v>100</v>
      </c>
      <c r="B6" s="2"/>
      <c r="C6" s="239">
        <v>-1</v>
      </c>
      <c r="D6" s="239">
        <v>-1</v>
      </c>
      <c r="E6" s="239">
        <v>-1</v>
      </c>
      <c r="F6" s="239">
        <v>-1</v>
      </c>
      <c r="H6" s="239">
        <v>-1</v>
      </c>
      <c r="I6" s="239">
        <v>-1</v>
      </c>
      <c r="J6" s="239">
        <v>-1</v>
      </c>
      <c r="K6" s="239">
        <v>-1</v>
      </c>
      <c r="M6" s="239">
        <v>-1</v>
      </c>
      <c r="N6" s="239">
        <v>-1</v>
      </c>
      <c r="O6" s="239">
        <v>-1</v>
      </c>
      <c r="P6" s="239">
        <v>-1</v>
      </c>
      <c r="R6" s="239">
        <v>10</v>
      </c>
      <c r="S6" s="239">
        <v>10</v>
      </c>
      <c r="T6" s="239">
        <v>10</v>
      </c>
      <c r="U6" s="239">
        <v>10</v>
      </c>
    </row>
    <row r="7" spans="1:21" x14ac:dyDescent="0.25">
      <c r="A7" s="2" t="s">
        <v>101</v>
      </c>
      <c r="B7" s="2"/>
      <c r="C7" s="239">
        <v>-1</v>
      </c>
      <c r="D7" s="239">
        <v>-1</v>
      </c>
      <c r="E7" s="239">
        <v>-1</v>
      </c>
      <c r="F7" s="239">
        <v>-1</v>
      </c>
      <c r="H7" s="239">
        <v>-1</v>
      </c>
      <c r="I7" s="239">
        <v>-1</v>
      </c>
      <c r="J7" s="239">
        <v>-1</v>
      </c>
      <c r="K7" s="239">
        <v>-1</v>
      </c>
      <c r="M7" s="239">
        <v>-1</v>
      </c>
      <c r="N7" s="239">
        <v>-1</v>
      </c>
      <c r="O7" s="239">
        <v>-1</v>
      </c>
      <c r="P7" s="239">
        <v>-1</v>
      </c>
      <c r="R7" s="239">
        <v>-1</v>
      </c>
      <c r="S7" s="239">
        <v>-1</v>
      </c>
      <c r="T7" s="239">
        <v>-1</v>
      </c>
      <c r="U7" s="239">
        <v>-1</v>
      </c>
    </row>
    <row r="8" spans="1:21" x14ac:dyDescent="0.25">
      <c r="A8" s="2" t="s">
        <v>102</v>
      </c>
      <c r="B8" s="2"/>
      <c r="C8" s="239">
        <v>-1</v>
      </c>
      <c r="D8" s="239">
        <v>-1</v>
      </c>
      <c r="E8" s="239">
        <v>-1</v>
      </c>
      <c r="F8" s="239">
        <v>-1</v>
      </c>
      <c r="H8" s="239">
        <v>-1</v>
      </c>
      <c r="I8" s="239">
        <v>-1</v>
      </c>
      <c r="J8" s="239">
        <v>-1</v>
      </c>
      <c r="K8" s="239">
        <v>-1</v>
      </c>
      <c r="M8" s="239">
        <v>-1</v>
      </c>
      <c r="N8" s="239">
        <v>-1</v>
      </c>
      <c r="O8" s="239">
        <v>-1</v>
      </c>
      <c r="P8" s="239">
        <v>-1</v>
      </c>
      <c r="R8" s="239">
        <v>-1</v>
      </c>
      <c r="S8" s="239">
        <v>-1</v>
      </c>
      <c r="T8" s="239">
        <v>-1</v>
      </c>
      <c r="U8" s="239">
        <v>-1</v>
      </c>
    </row>
    <row r="9" spans="1:21" ht="13" thickBot="1" x14ac:dyDescent="0.3">
      <c r="A9" s="3" t="s">
        <v>103</v>
      </c>
      <c r="B9" s="3"/>
      <c r="C9" s="239">
        <v>-1</v>
      </c>
      <c r="D9" s="239">
        <v>-1</v>
      </c>
      <c r="E9" s="239">
        <v>-1</v>
      </c>
      <c r="F9" s="239">
        <v>-1</v>
      </c>
      <c r="H9" s="239">
        <v>-1</v>
      </c>
      <c r="I9" s="239">
        <v>-1</v>
      </c>
      <c r="J9" s="239">
        <v>-1</v>
      </c>
      <c r="K9" s="239">
        <v>-1</v>
      </c>
      <c r="M9" s="239">
        <v>-1</v>
      </c>
      <c r="N9" s="239">
        <v>-1</v>
      </c>
      <c r="O9" s="239">
        <v>-1</v>
      </c>
      <c r="P9" s="239">
        <v>-1</v>
      </c>
      <c r="R9" s="239">
        <v>-1</v>
      </c>
      <c r="S9" s="239">
        <v>-1</v>
      </c>
      <c r="T9" s="239">
        <v>-1</v>
      </c>
      <c r="U9" s="239">
        <v>-1</v>
      </c>
    </row>
    <row r="10" spans="1:21" ht="13" thickBot="1" x14ac:dyDescent="0.3">
      <c r="A10" s="339" t="s">
        <v>388</v>
      </c>
      <c r="B10" s="339"/>
      <c r="C10" s="346">
        <f t="shared" ref="C10:U10" si="0">(C$4&gt;=18)+(C$5&gt;=18)+(C$6&gt;=18)+(C$7&gt;=18)+(C$8&gt;=18)+(C$9&gt;=18)</f>
        <v>0</v>
      </c>
      <c r="D10" s="346">
        <f t="shared" si="0"/>
        <v>0</v>
      </c>
      <c r="E10" s="346">
        <f t="shared" si="0"/>
        <v>0</v>
      </c>
      <c r="F10" s="346">
        <f t="shared" si="0"/>
        <v>0</v>
      </c>
      <c r="H10" s="346">
        <f t="shared" si="0"/>
        <v>0</v>
      </c>
      <c r="I10" s="346">
        <f t="shared" si="0"/>
        <v>0</v>
      </c>
      <c r="J10" s="346">
        <f t="shared" si="0"/>
        <v>0</v>
      </c>
      <c r="K10" s="346">
        <f t="shared" si="0"/>
        <v>0</v>
      </c>
      <c r="M10" s="346">
        <f t="shared" si="0"/>
        <v>0</v>
      </c>
      <c r="N10" s="346">
        <f t="shared" si="0"/>
        <v>0</v>
      </c>
      <c r="O10" s="346">
        <f t="shared" si="0"/>
        <v>0</v>
      </c>
      <c r="P10" s="346">
        <f t="shared" si="0"/>
        <v>0</v>
      </c>
      <c r="R10" s="346">
        <f t="shared" si="0"/>
        <v>0</v>
      </c>
      <c r="S10" s="346">
        <f t="shared" si="0"/>
        <v>0</v>
      </c>
      <c r="T10" s="346">
        <f t="shared" si="0"/>
        <v>0</v>
      </c>
      <c r="U10" s="346">
        <f t="shared" si="0"/>
        <v>0</v>
      </c>
    </row>
    <row r="11" spans="1:21" ht="37.5" x14ac:dyDescent="0.25">
      <c r="A11" s="437" t="s">
        <v>504</v>
      </c>
      <c r="B11" s="302"/>
      <c r="C11" s="327"/>
      <c r="D11" s="327"/>
      <c r="E11" s="327"/>
      <c r="F11" s="327"/>
      <c r="H11" s="327"/>
      <c r="I11" s="327"/>
      <c r="J11" s="327"/>
      <c r="K11" s="327"/>
      <c r="M11" s="327"/>
      <c r="N11" s="327"/>
      <c r="O11" s="327"/>
      <c r="P11" s="327"/>
      <c r="R11" s="327"/>
      <c r="S11" s="327"/>
      <c r="T11" s="327"/>
      <c r="U11" s="327"/>
    </row>
    <row r="12" spans="1:21" ht="13" thickBot="1" x14ac:dyDescent="0.3">
      <c r="A12" s="279" t="s">
        <v>423</v>
      </c>
      <c r="B12" s="250"/>
      <c r="C12" s="327"/>
      <c r="D12" s="327"/>
      <c r="E12" s="327"/>
      <c r="F12" s="327"/>
      <c r="H12" s="327"/>
      <c r="I12" s="327"/>
      <c r="J12" s="327"/>
      <c r="K12" s="327"/>
      <c r="M12" s="327"/>
      <c r="N12" s="327"/>
      <c r="O12" s="327"/>
      <c r="P12" s="327"/>
      <c r="R12" s="327"/>
      <c r="S12" s="327"/>
      <c r="T12" s="327"/>
      <c r="U12" s="327"/>
    </row>
    <row r="13" spans="1:21" x14ac:dyDescent="0.25">
      <c r="A13" s="256" t="s">
        <v>421</v>
      </c>
      <c r="B13" s="335" t="s">
        <v>424</v>
      </c>
      <c r="C13" s="246" t="s">
        <v>525</v>
      </c>
      <c r="D13" s="246" t="s">
        <v>525</v>
      </c>
      <c r="E13" s="246" t="s">
        <v>525</v>
      </c>
      <c r="F13" s="246" t="s">
        <v>525</v>
      </c>
      <c r="H13" s="246" t="s">
        <v>525</v>
      </c>
      <c r="I13" s="246" t="s">
        <v>525</v>
      </c>
      <c r="J13" s="246" t="s">
        <v>525</v>
      </c>
      <c r="K13" s="246" t="s">
        <v>525</v>
      </c>
      <c r="M13" s="246" t="s">
        <v>525</v>
      </c>
      <c r="N13" s="246" t="s">
        <v>525</v>
      </c>
      <c r="O13" s="246" t="s">
        <v>525</v>
      </c>
      <c r="P13" s="246" t="s">
        <v>525</v>
      </c>
      <c r="R13" s="246" t="s">
        <v>525</v>
      </c>
      <c r="S13" s="246" t="s">
        <v>525</v>
      </c>
      <c r="T13" s="246" t="s">
        <v>525</v>
      </c>
      <c r="U13" s="246" t="s">
        <v>525</v>
      </c>
    </row>
    <row r="14" spans="1:21" x14ac:dyDescent="0.25">
      <c r="A14" s="257" t="s">
        <v>426</v>
      </c>
      <c r="B14" s="257" t="s">
        <v>68</v>
      </c>
      <c r="C14" s="336">
        <f>2*smic</f>
        <v>2797.4</v>
      </c>
      <c r="D14" s="336">
        <f>2*smic</f>
        <v>2797.4</v>
      </c>
      <c r="E14" s="336">
        <f>2*smic</f>
        <v>2797.4</v>
      </c>
      <c r="F14" s="336">
        <f>2*smic</f>
        <v>2797.4</v>
      </c>
      <c r="H14" s="336">
        <f>2*smic</f>
        <v>2797.4</v>
      </c>
      <c r="I14" s="336">
        <f>2*smic</f>
        <v>2797.4</v>
      </c>
      <c r="J14" s="336">
        <f>2*smic</f>
        <v>2797.4</v>
      </c>
      <c r="K14" s="336">
        <f>2*smic</f>
        <v>2797.4</v>
      </c>
      <c r="M14" s="336">
        <f>2*smic</f>
        <v>2797.4</v>
      </c>
      <c r="N14" s="336">
        <f>2*smic</f>
        <v>2797.4</v>
      </c>
      <c r="O14" s="336">
        <f>2*smic</f>
        <v>2797.4</v>
      </c>
      <c r="P14" s="336">
        <f>2*smic</f>
        <v>2797.4</v>
      </c>
      <c r="R14" s="336">
        <f>2*smic</f>
        <v>2797.4</v>
      </c>
      <c r="S14" s="336">
        <f>2*smic</f>
        <v>2797.4</v>
      </c>
      <c r="T14" s="336">
        <f>2*smic</f>
        <v>2797.4</v>
      </c>
      <c r="U14" s="336">
        <f>2*smic</f>
        <v>2797.4</v>
      </c>
    </row>
    <row r="15" spans="1:21" x14ac:dyDescent="0.25">
      <c r="A15" s="257" t="s">
        <v>510</v>
      </c>
      <c r="B15" s="257"/>
      <c r="C15" s="336"/>
      <c r="D15" s="336"/>
      <c r="E15" s="336"/>
      <c r="F15" s="336"/>
      <c r="H15" s="336"/>
      <c r="I15" s="336"/>
      <c r="J15" s="336"/>
      <c r="K15" s="336"/>
      <c r="M15" s="336"/>
      <c r="N15" s="336"/>
      <c r="O15" s="336"/>
      <c r="P15" s="336"/>
      <c r="R15" s="336"/>
      <c r="S15" s="336"/>
      <c r="T15" s="336"/>
      <c r="U15" s="336"/>
    </row>
    <row r="16" spans="1:21" ht="13" thickBot="1" x14ac:dyDescent="0.3">
      <c r="A16" s="258" t="s">
        <v>425</v>
      </c>
      <c r="B16" s="337" t="s">
        <v>428</v>
      </c>
      <c r="C16" s="247">
        <v>2010</v>
      </c>
      <c r="D16" s="247">
        <v>2010</v>
      </c>
      <c r="E16" s="247">
        <v>2010</v>
      </c>
      <c r="F16" s="247">
        <v>2010</v>
      </c>
      <c r="H16" s="247">
        <v>2010</v>
      </c>
      <c r="I16" s="247">
        <v>2010</v>
      </c>
      <c r="J16" s="247">
        <v>2010</v>
      </c>
      <c r="K16" s="247">
        <v>2010</v>
      </c>
      <c r="M16" s="247">
        <v>2010</v>
      </c>
      <c r="N16" s="247">
        <v>2010</v>
      </c>
      <c r="O16" s="247">
        <v>2010</v>
      </c>
      <c r="P16" s="247">
        <v>2010</v>
      </c>
      <c r="R16" s="247">
        <v>2010</v>
      </c>
      <c r="S16" s="247">
        <v>2010</v>
      </c>
      <c r="T16" s="247">
        <v>2010</v>
      </c>
      <c r="U16" s="247">
        <v>2010</v>
      </c>
    </row>
    <row r="18" spans="1:21" ht="13" thickBot="1" x14ac:dyDescent="0.3">
      <c r="A18" s="1" t="s">
        <v>71</v>
      </c>
      <c r="B18" s="256" t="s">
        <v>72</v>
      </c>
      <c r="C18" s="238">
        <f>IF(AND(C3="isolé",OR(C13="pg",C13="solo",AND(C13="ga_m",C52&gt;0))),1,0)</f>
        <v>0</v>
      </c>
      <c r="D18" s="238">
        <f>IF(AND(D3="isolé",OR(D13="pg",D13="solo",AND(D13="ga_m",D52&gt;0))),1,0)</f>
        <v>0</v>
      </c>
      <c r="E18" s="238">
        <f>IF(AND(E3="isolé",OR(E13="pg",E13="solo",AND(E13="ga_m",E52&gt;0))),1,0)</f>
        <v>0</v>
      </c>
      <c r="F18" s="238">
        <f>IF(AND(F3="isolé",OR(F13="pg",F13="solo",AND(F13="ga_m",F52&gt;0))),1,0)</f>
        <v>0</v>
      </c>
      <c r="H18" s="238">
        <f>IF(AND(H3="isolé",OR(H13="pg",H13="solo",AND(H13="ga_m",H52&gt;0))),1,0)</f>
        <v>0</v>
      </c>
      <c r="I18" s="238">
        <f>IF(AND(I3="isolé",OR(I13="pg",I13="solo",AND(I13="ga_m",I52&gt;0))),1,0)</f>
        <v>0</v>
      </c>
      <c r="J18" s="238">
        <f>IF(AND(J3="isolé",OR(J13="pg",J13="solo",AND(J13="ga_m",J52&gt;0))),1,0)</f>
        <v>0</v>
      </c>
      <c r="K18" s="238">
        <f>IF(AND(K3="isolé",OR(K13="pg",K13="solo",AND(K13="ga_m",K52&gt;0))),1,0)</f>
        <v>0</v>
      </c>
      <c r="M18" s="238">
        <f>IF(AND(M3="isolé",OR(M13="pg",M13="solo",AND(M13="ga_m",M52&gt;0))),1,0)</f>
        <v>0</v>
      </c>
      <c r="N18" s="238">
        <f>IF(AND(N3="isolé",OR(N13="pg",N13="solo",AND(N13="ga_m",N52&gt;0))),1,0)</f>
        <v>0</v>
      </c>
      <c r="O18" s="238">
        <f>IF(AND(O3="isolé",OR(O13="pg",O13="solo",AND(O13="ga_m",O52&gt;0))),1,0)</f>
        <v>0</v>
      </c>
      <c r="P18" s="238">
        <f>IF(AND(P3="isolé",OR(P13="pg",P13="solo",AND(P13="ga_m",P52&gt;0))),1,0)</f>
        <v>0</v>
      </c>
      <c r="R18" s="238">
        <f>IF(AND(R3="isolé",OR(R13="pg",R13="solo",AND(R13="ga_m",R52&gt;0))),1,0)</f>
        <v>0</v>
      </c>
      <c r="S18" s="238">
        <f>IF(AND(S3="isolé",OR(S13="pg",S13="solo",AND(S13="ga_m",S52&gt;0))),1,0)</f>
        <v>0</v>
      </c>
      <c r="T18" s="238">
        <f>IF(AND(T3="isolé",OR(T13="pg",T13="solo",AND(T13="ga_m",T52&gt;0))),1,0)</f>
        <v>0</v>
      </c>
      <c r="U18" s="238">
        <f>IF(AND(U3="isolé",OR(U13="pg",U13="solo",AND(U13="ga_m",U52&gt;0))),1,0)</f>
        <v>0</v>
      </c>
    </row>
    <row r="19" spans="1:21" ht="13" thickBot="1" x14ac:dyDescent="0.3">
      <c r="A19" s="6" t="s">
        <v>88</v>
      </c>
      <c r="B19" s="6" t="s">
        <v>72</v>
      </c>
      <c r="C19" s="240">
        <v>0</v>
      </c>
      <c r="D19" s="240">
        <v>0</v>
      </c>
      <c r="E19" s="240">
        <v>0</v>
      </c>
      <c r="F19" s="240">
        <v>0</v>
      </c>
      <c r="H19" s="240">
        <v>0</v>
      </c>
      <c r="I19" s="240">
        <v>0</v>
      </c>
      <c r="J19" s="240">
        <v>0</v>
      </c>
      <c r="K19" s="240">
        <v>0</v>
      </c>
      <c r="M19" s="240">
        <v>0</v>
      </c>
      <c r="N19" s="240">
        <v>0</v>
      </c>
      <c r="O19" s="240">
        <v>0</v>
      </c>
      <c r="P19" s="240">
        <v>0</v>
      </c>
      <c r="R19" s="240">
        <v>0</v>
      </c>
      <c r="S19" s="240">
        <v>0</v>
      </c>
      <c r="T19" s="240">
        <v>0</v>
      </c>
      <c r="U19" s="240">
        <v>0</v>
      </c>
    </row>
    <row r="20" spans="1:21" ht="13" thickBot="1" x14ac:dyDescent="0.3">
      <c r="A20" s="4"/>
      <c r="B20" s="4"/>
      <c r="C20" s="139"/>
      <c r="D20" s="139"/>
      <c r="E20" s="139"/>
      <c r="F20" s="139"/>
      <c r="H20" s="139"/>
      <c r="I20" s="139"/>
      <c r="J20" s="139"/>
      <c r="K20" s="139"/>
      <c r="M20" s="139"/>
      <c r="N20" s="139"/>
      <c r="O20" s="139"/>
      <c r="P20" s="139"/>
      <c r="R20" s="139"/>
      <c r="S20" s="139"/>
      <c r="T20" s="139"/>
      <c r="U20" s="139"/>
    </row>
    <row r="21" spans="1:21" x14ac:dyDescent="0.25">
      <c r="A21" s="256" t="s">
        <v>233</v>
      </c>
      <c r="B21" s="300" t="s">
        <v>234</v>
      </c>
      <c r="C21" s="241">
        <v>0</v>
      </c>
      <c r="D21" s="241">
        <v>0</v>
      </c>
      <c r="E21" s="241">
        <v>0</v>
      </c>
      <c r="F21" s="241">
        <v>0</v>
      </c>
      <c r="H21" s="241">
        <v>0</v>
      </c>
      <c r="I21" s="241">
        <v>0</v>
      </c>
      <c r="J21" s="241">
        <v>0</v>
      </c>
      <c r="K21" s="241">
        <v>0</v>
      </c>
      <c r="M21" s="241">
        <v>0</v>
      </c>
      <c r="N21" s="241">
        <v>0</v>
      </c>
      <c r="O21" s="241">
        <v>0</v>
      </c>
      <c r="P21" s="241">
        <v>0</v>
      </c>
      <c r="R21" s="241">
        <v>0</v>
      </c>
      <c r="S21" s="241">
        <v>0</v>
      </c>
      <c r="T21" s="241">
        <v>0</v>
      </c>
      <c r="U21" s="241">
        <v>0</v>
      </c>
    </row>
    <row r="22" spans="1:21" x14ac:dyDescent="0.25">
      <c r="A22" s="257" t="s">
        <v>235</v>
      </c>
      <c r="B22" s="297"/>
      <c r="C22" s="242">
        <v>0</v>
      </c>
      <c r="D22" s="242">
        <v>0</v>
      </c>
      <c r="E22" s="242">
        <v>0</v>
      </c>
      <c r="F22" s="242">
        <v>0</v>
      </c>
      <c r="H22" s="242">
        <v>0</v>
      </c>
      <c r="I22" s="242">
        <v>0</v>
      </c>
      <c r="J22" s="242">
        <v>0</v>
      </c>
      <c r="K22" s="242">
        <v>0</v>
      </c>
      <c r="M22" s="242">
        <v>0</v>
      </c>
      <c r="N22" s="242">
        <v>0</v>
      </c>
      <c r="O22" s="242">
        <v>0</v>
      </c>
      <c r="P22" s="242">
        <v>0</v>
      </c>
      <c r="R22" s="242">
        <v>0</v>
      </c>
      <c r="S22" s="242">
        <v>0</v>
      </c>
      <c r="T22" s="242">
        <v>0</v>
      </c>
      <c r="U22" s="242">
        <v>0</v>
      </c>
    </row>
    <row r="23" spans="1:21" x14ac:dyDescent="0.25">
      <c r="A23" s="257" t="s">
        <v>236</v>
      </c>
      <c r="B23" s="297"/>
      <c r="C23" s="242">
        <v>0</v>
      </c>
      <c r="D23" s="242">
        <v>0</v>
      </c>
      <c r="E23" s="242">
        <v>0</v>
      </c>
      <c r="F23" s="242">
        <v>0</v>
      </c>
      <c r="H23" s="242">
        <v>0</v>
      </c>
      <c r="I23" s="242">
        <v>0</v>
      </c>
      <c r="J23" s="242">
        <v>0</v>
      </c>
      <c r="K23" s="242">
        <v>0</v>
      </c>
      <c r="M23" s="242">
        <v>0</v>
      </c>
      <c r="N23" s="242">
        <v>0</v>
      </c>
      <c r="O23" s="242">
        <v>0</v>
      </c>
      <c r="P23" s="242">
        <v>0</v>
      </c>
      <c r="R23" s="242">
        <v>0</v>
      </c>
      <c r="S23" s="242">
        <v>0</v>
      </c>
      <c r="T23" s="242">
        <v>0</v>
      </c>
      <c r="U23" s="242">
        <v>0</v>
      </c>
    </row>
    <row r="24" spans="1:21" ht="13" thickBot="1" x14ac:dyDescent="0.3">
      <c r="A24" s="258" t="s">
        <v>237</v>
      </c>
      <c r="B24" s="301"/>
      <c r="C24" s="243">
        <v>0</v>
      </c>
      <c r="D24" s="243">
        <v>0</v>
      </c>
      <c r="E24" s="243">
        <v>0</v>
      </c>
      <c r="F24" s="243">
        <v>0</v>
      </c>
      <c r="H24" s="243">
        <v>0</v>
      </c>
      <c r="I24" s="243">
        <v>0</v>
      </c>
      <c r="J24" s="243">
        <v>0</v>
      </c>
      <c r="K24" s="243">
        <v>0</v>
      </c>
      <c r="M24" s="243">
        <v>0</v>
      </c>
      <c r="N24" s="243">
        <v>0</v>
      </c>
      <c r="O24" s="243">
        <v>0</v>
      </c>
      <c r="P24" s="243">
        <v>0</v>
      </c>
      <c r="R24" s="243">
        <v>0</v>
      </c>
      <c r="S24" s="243">
        <v>0</v>
      </c>
      <c r="T24" s="243">
        <v>0</v>
      </c>
      <c r="U24" s="243">
        <v>0</v>
      </c>
    </row>
    <row r="25" spans="1:21" x14ac:dyDescent="0.25">
      <c r="A25" s="257" t="s">
        <v>309</v>
      </c>
      <c r="B25" s="257"/>
      <c r="C25" s="244">
        <v>1</v>
      </c>
      <c r="D25" s="244">
        <v>1</v>
      </c>
      <c r="E25" s="244">
        <v>1</v>
      </c>
      <c r="F25" s="244">
        <v>1</v>
      </c>
      <c r="H25" s="244">
        <v>1</v>
      </c>
      <c r="I25" s="244">
        <v>1</v>
      </c>
      <c r="J25" s="244">
        <v>1</v>
      </c>
      <c r="K25" s="244">
        <v>1</v>
      </c>
      <c r="M25" s="244">
        <v>1</v>
      </c>
      <c r="N25" s="244">
        <v>1</v>
      </c>
      <c r="O25" s="244">
        <v>1</v>
      </c>
      <c r="P25" s="244">
        <v>1</v>
      </c>
      <c r="R25" s="244">
        <v>1</v>
      </c>
      <c r="S25" s="244">
        <v>1</v>
      </c>
      <c r="T25" s="244">
        <v>1</v>
      </c>
      <c r="U25" s="244">
        <v>1</v>
      </c>
    </row>
    <row r="26" spans="1:21" ht="13" thickBot="1" x14ac:dyDescent="0.3">
      <c r="A26" s="258" t="s">
        <v>310</v>
      </c>
      <c r="B26" s="258"/>
      <c r="C26" s="245">
        <v>1</v>
      </c>
      <c r="D26" s="245">
        <v>1</v>
      </c>
      <c r="E26" s="245">
        <v>1</v>
      </c>
      <c r="F26" s="245">
        <v>1</v>
      </c>
      <c r="H26" s="245">
        <v>1</v>
      </c>
      <c r="I26" s="245">
        <v>1</v>
      </c>
      <c r="J26" s="245">
        <v>1</v>
      </c>
      <c r="K26" s="245">
        <v>1</v>
      </c>
      <c r="M26" s="245">
        <v>1</v>
      </c>
      <c r="N26" s="245">
        <v>1</v>
      </c>
      <c r="O26" s="245">
        <v>1</v>
      </c>
      <c r="P26" s="245">
        <v>1</v>
      </c>
      <c r="R26" s="245">
        <v>1</v>
      </c>
      <c r="S26" s="245">
        <v>1</v>
      </c>
      <c r="T26" s="245">
        <v>1</v>
      </c>
      <c r="U26" s="245">
        <v>1</v>
      </c>
    </row>
    <row r="27" spans="1:21" ht="13" thickBot="1" x14ac:dyDescent="0.3">
      <c r="A27" s="4"/>
      <c r="B27" s="4"/>
      <c r="C27" s="139"/>
      <c r="D27" s="139"/>
      <c r="E27" s="139"/>
      <c r="F27" s="139"/>
      <c r="H27" s="139"/>
      <c r="I27" s="139"/>
      <c r="J27" s="139"/>
      <c r="K27" s="139"/>
      <c r="M27" s="139"/>
      <c r="N27" s="139"/>
      <c r="O27" s="139"/>
      <c r="P27" s="139"/>
      <c r="R27" s="139"/>
      <c r="S27" s="139"/>
      <c r="T27" s="139"/>
      <c r="U27" s="139"/>
    </row>
    <row r="28" spans="1:21" x14ac:dyDescent="0.25">
      <c r="A28" s="256" t="s">
        <v>314</v>
      </c>
      <c r="B28" s="256"/>
      <c r="C28" s="246" t="s">
        <v>313</v>
      </c>
      <c r="D28" s="246" t="s">
        <v>313</v>
      </c>
      <c r="E28" s="246" t="s">
        <v>313</v>
      </c>
      <c r="F28" s="246" t="s">
        <v>313</v>
      </c>
      <c r="H28" s="246" t="s">
        <v>313</v>
      </c>
      <c r="I28" s="246" t="s">
        <v>313</v>
      </c>
      <c r="J28" s="246" t="s">
        <v>313</v>
      </c>
      <c r="K28" s="246" t="s">
        <v>313</v>
      </c>
      <c r="M28" s="246" t="s">
        <v>313</v>
      </c>
      <c r="N28" s="246" t="s">
        <v>313</v>
      </c>
      <c r="O28" s="246" t="s">
        <v>313</v>
      </c>
      <c r="P28" s="246" t="s">
        <v>313</v>
      </c>
      <c r="R28" s="246" t="s">
        <v>313</v>
      </c>
      <c r="S28" s="246" t="s">
        <v>313</v>
      </c>
      <c r="T28" s="246" t="s">
        <v>313</v>
      </c>
      <c r="U28" s="246" t="s">
        <v>313</v>
      </c>
    </row>
    <row r="29" spans="1:21" x14ac:dyDescent="0.25">
      <c r="A29" s="2" t="s">
        <v>64</v>
      </c>
      <c r="B29" s="2" t="s">
        <v>63</v>
      </c>
      <c r="C29" s="239">
        <v>2</v>
      </c>
      <c r="D29" s="239">
        <v>2</v>
      </c>
      <c r="E29" s="239">
        <v>2</v>
      </c>
      <c r="F29" s="239">
        <v>2</v>
      </c>
      <c r="H29" s="239">
        <v>2</v>
      </c>
      <c r="I29" s="239">
        <v>2</v>
      </c>
      <c r="J29" s="239">
        <v>2</v>
      </c>
      <c r="K29" s="239">
        <v>2</v>
      </c>
      <c r="M29" s="239">
        <v>2</v>
      </c>
      <c r="N29" s="239">
        <v>2</v>
      </c>
      <c r="O29" s="239">
        <v>2</v>
      </c>
      <c r="P29" s="239">
        <v>2</v>
      </c>
      <c r="R29" s="239">
        <v>2</v>
      </c>
      <c r="S29" s="239">
        <v>2</v>
      </c>
      <c r="T29" s="239">
        <v>2</v>
      </c>
      <c r="U29" s="239">
        <v>2</v>
      </c>
    </row>
    <row r="30" spans="1:21" ht="13" thickBot="1" x14ac:dyDescent="0.3">
      <c r="A30" s="258" t="s">
        <v>174</v>
      </c>
      <c r="B30" s="258" t="s">
        <v>171</v>
      </c>
      <c r="C30" s="247" t="s">
        <v>439</v>
      </c>
      <c r="D30" s="247" t="s">
        <v>439</v>
      </c>
      <c r="E30" s="247" t="s">
        <v>439</v>
      </c>
      <c r="F30" s="247" t="s">
        <v>439</v>
      </c>
      <c r="H30" s="247" t="s">
        <v>439</v>
      </c>
      <c r="I30" s="247" t="s">
        <v>439</v>
      </c>
      <c r="J30" s="247" t="s">
        <v>439</v>
      </c>
      <c r="K30" s="247" t="s">
        <v>439</v>
      </c>
      <c r="M30" s="247" t="s">
        <v>439</v>
      </c>
      <c r="N30" s="247" t="s">
        <v>439</v>
      </c>
      <c r="O30" s="247" t="s">
        <v>439</v>
      </c>
      <c r="P30" s="247" t="s">
        <v>439</v>
      </c>
      <c r="R30" s="247" t="s">
        <v>439</v>
      </c>
      <c r="S30" s="247" t="s">
        <v>439</v>
      </c>
      <c r="T30" s="247" t="s">
        <v>439</v>
      </c>
      <c r="U30" s="247" t="s">
        <v>439</v>
      </c>
    </row>
    <row r="31" spans="1:21" ht="13" thickBot="1" x14ac:dyDescent="0.3">
      <c r="A31" s="10"/>
      <c r="B31" s="10"/>
      <c r="C31" s="296"/>
      <c r="D31" s="296"/>
      <c r="E31" s="296"/>
      <c r="F31" s="296"/>
      <c r="H31" s="296"/>
      <c r="I31" s="296"/>
      <c r="J31" s="296"/>
      <c r="K31" s="296"/>
      <c r="M31" s="296"/>
      <c r="N31" s="296"/>
      <c r="O31" s="296"/>
      <c r="P31" s="296"/>
      <c r="R31" s="296"/>
      <c r="S31" s="296"/>
      <c r="T31" s="296"/>
      <c r="U31" s="296"/>
    </row>
    <row r="32" spans="1:21" x14ac:dyDescent="0.25">
      <c r="A32" s="256" t="s">
        <v>523</v>
      </c>
      <c r="B32" s="256" t="s">
        <v>345</v>
      </c>
      <c r="C32" s="246">
        <v>0</v>
      </c>
      <c r="D32" s="246">
        <v>0</v>
      </c>
      <c r="E32" s="246">
        <v>0</v>
      </c>
      <c r="F32" s="246">
        <v>0</v>
      </c>
      <c r="H32" s="246">
        <v>0</v>
      </c>
      <c r="I32" s="246">
        <v>0</v>
      </c>
      <c r="J32" s="246">
        <v>0</v>
      </c>
      <c r="K32" s="246">
        <v>0</v>
      </c>
      <c r="M32" s="246">
        <v>0</v>
      </c>
      <c r="N32" s="246">
        <v>0</v>
      </c>
      <c r="O32" s="246">
        <v>0</v>
      </c>
      <c r="P32" s="246">
        <v>0</v>
      </c>
      <c r="R32" s="246">
        <v>0</v>
      </c>
      <c r="S32" s="246">
        <v>0</v>
      </c>
      <c r="T32" s="246">
        <v>0</v>
      </c>
      <c r="U32" s="246">
        <v>0</v>
      </c>
    </row>
    <row r="33" spans="1:21" ht="13" thickBot="1" x14ac:dyDescent="0.3">
      <c r="A33" s="258" t="s">
        <v>344</v>
      </c>
      <c r="B33" s="258" t="s">
        <v>355</v>
      </c>
      <c r="C33" s="247">
        <v>0</v>
      </c>
      <c r="D33" s="247">
        <v>0</v>
      </c>
      <c r="E33" s="247">
        <v>0</v>
      </c>
      <c r="F33" s="247">
        <v>0</v>
      </c>
      <c r="H33" s="247">
        <v>0</v>
      </c>
      <c r="I33" s="247">
        <v>0</v>
      </c>
      <c r="J33" s="247">
        <v>0</v>
      </c>
      <c r="K33" s="247">
        <v>0</v>
      </c>
      <c r="M33" s="247">
        <v>0</v>
      </c>
      <c r="N33" s="247">
        <v>0</v>
      </c>
      <c r="O33" s="247">
        <v>0</v>
      </c>
      <c r="P33" s="247">
        <v>0</v>
      </c>
      <c r="R33" s="247">
        <v>0</v>
      </c>
      <c r="S33" s="247">
        <v>0</v>
      </c>
      <c r="T33" s="247">
        <v>0</v>
      </c>
      <c r="U33" s="247">
        <v>0</v>
      </c>
    </row>
    <row r="34" spans="1:21" ht="13" thickBot="1" x14ac:dyDescent="0.3">
      <c r="A34" s="10"/>
      <c r="B34" s="10"/>
      <c r="C34" s="296"/>
      <c r="D34" s="296"/>
      <c r="E34" s="296"/>
      <c r="F34" s="296"/>
      <c r="H34" s="296"/>
      <c r="I34" s="296"/>
      <c r="J34" s="296"/>
      <c r="K34" s="296"/>
      <c r="M34" s="296"/>
      <c r="N34" s="296"/>
      <c r="O34" s="296"/>
      <c r="P34" s="296"/>
      <c r="R34" s="296"/>
      <c r="S34" s="296"/>
      <c r="T34" s="296"/>
      <c r="U34" s="296"/>
    </row>
    <row r="35" spans="1:21" x14ac:dyDescent="0.25">
      <c r="A35" s="256" t="s">
        <v>343</v>
      </c>
      <c r="B35" s="256" t="s">
        <v>394</v>
      </c>
      <c r="C35" s="246" t="s">
        <v>334</v>
      </c>
      <c r="D35" s="246" t="s">
        <v>334</v>
      </c>
      <c r="E35" s="246" t="s">
        <v>334</v>
      </c>
      <c r="F35" s="246" t="s">
        <v>334</v>
      </c>
      <c r="H35" s="246" t="s">
        <v>334</v>
      </c>
      <c r="I35" s="246" t="s">
        <v>334</v>
      </c>
      <c r="J35" s="246" t="s">
        <v>334</v>
      </c>
      <c r="K35" s="246" t="s">
        <v>334</v>
      </c>
      <c r="M35" s="246" t="s">
        <v>334</v>
      </c>
      <c r="N35" s="246" t="s">
        <v>334</v>
      </c>
      <c r="O35" s="246" t="s">
        <v>334</v>
      </c>
      <c r="P35" s="246" t="s">
        <v>334</v>
      </c>
      <c r="R35" s="246" t="s">
        <v>334</v>
      </c>
      <c r="S35" s="246" t="s">
        <v>334</v>
      </c>
      <c r="T35" s="246" t="s">
        <v>334</v>
      </c>
      <c r="U35" s="246" t="s">
        <v>334</v>
      </c>
    </row>
    <row r="36" spans="1:21" ht="13" thickBot="1" x14ac:dyDescent="0.3">
      <c r="A36" s="258" t="s">
        <v>333</v>
      </c>
      <c r="B36" s="258"/>
      <c r="C36" s="247" t="s">
        <v>334</v>
      </c>
      <c r="D36" s="247" t="s">
        <v>334</v>
      </c>
      <c r="E36" s="247" t="s">
        <v>334</v>
      </c>
      <c r="F36" s="247" t="s">
        <v>334</v>
      </c>
      <c r="H36" s="247" t="s">
        <v>334</v>
      </c>
      <c r="I36" s="247" t="s">
        <v>334</v>
      </c>
      <c r="J36" s="247" t="s">
        <v>334</v>
      </c>
      <c r="K36" s="247" t="s">
        <v>334</v>
      </c>
      <c r="M36" s="247" t="s">
        <v>334</v>
      </c>
      <c r="N36" s="247" t="s">
        <v>334</v>
      </c>
      <c r="O36" s="247" t="s">
        <v>334</v>
      </c>
      <c r="P36" s="247" t="s">
        <v>334</v>
      </c>
      <c r="R36" s="247" t="s">
        <v>334</v>
      </c>
      <c r="S36" s="247" t="s">
        <v>334</v>
      </c>
      <c r="T36" s="247" t="s">
        <v>334</v>
      </c>
      <c r="U36" s="247" t="s">
        <v>334</v>
      </c>
    </row>
    <row r="37" spans="1:21" ht="13" thickBot="1" x14ac:dyDescent="0.3">
      <c r="A37" s="10"/>
      <c r="B37" s="10"/>
      <c r="C37" s="296"/>
      <c r="D37" s="296"/>
      <c r="E37" s="296"/>
      <c r="F37" s="296"/>
      <c r="H37" s="296"/>
      <c r="I37" s="296"/>
      <c r="J37" s="296"/>
      <c r="K37" s="296"/>
      <c r="M37" s="296"/>
      <c r="N37" s="296"/>
      <c r="O37" s="296"/>
      <c r="P37" s="296"/>
      <c r="R37" s="296"/>
      <c r="S37" s="296"/>
      <c r="T37" s="296"/>
      <c r="U37" s="296"/>
    </row>
    <row r="38" spans="1:21" x14ac:dyDescent="0.25">
      <c r="A38" s="256" t="s">
        <v>196</v>
      </c>
      <c r="B38" s="256" t="s">
        <v>68</v>
      </c>
      <c r="C38" s="248">
        <v>0</v>
      </c>
      <c r="D38" s="248">
        <f>0.5*smic</f>
        <v>699.35</v>
      </c>
      <c r="E38" s="248">
        <f>smic</f>
        <v>1398.7</v>
      </c>
      <c r="F38" s="248">
        <f>1.5*smic</f>
        <v>2098.0500000000002</v>
      </c>
      <c r="H38" s="248">
        <v>0</v>
      </c>
      <c r="I38" s="248">
        <f>0.5*smic</f>
        <v>699.35</v>
      </c>
      <c r="J38" s="248">
        <f>smic</f>
        <v>1398.7</v>
      </c>
      <c r="K38" s="248">
        <f>1.5*smic</f>
        <v>2098.0500000000002</v>
      </c>
      <c r="M38" s="248">
        <v>0</v>
      </c>
      <c r="N38" s="248">
        <f>0.5*smic</f>
        <v>699.35</v>
      </c>
      <c r="O38" s="248">
        <f>smic</f>
        <v>1398.7</v>
      </c>
      <c r="P38" s="248">
        <f>1.5*smic</f>
        <v>2098.0500000000002</v>
      </c>
      <c r="R38" s="248">
        <v>0</v>
      </c>
      <c r="S38" s="248">
        <f>0.5*smic</f>
        <v>699.35</v>
      </c>
      <c r="T38" s="248">
        <f>smic</f>
        <v>1398.7</v>
      </c>
      <c r="U38" s="248">
        <f>1.5*smic</f>
        <v>2098.0500000000002</v>
      </c>
    </row>
    <row r="39" spans="1:21" ht="13" thickBot="1" x14ac:dyDescent="0.3">
      <c r="A39" s="257" t="s">
        <v>197</v>
      </c>
      <c r="B39" s="257" t="s">
        <v>68</v>
      </c>
      <c r="C39" s="336">
        <v>0</v>
      </c>
      <c r="D39" s="336">
        <v>0</v>
      </c>
      <c r="E39" s="336">
        <v>0</v>
      </c>
      <c r="F39" s="336">
        <v>0</v>
      </c>
      <c r="H39" s="336">
        <v>0</v>
      </c>
      <c r="I39" s="336">
        <v>0</v>
      </c>
      <c r="J39" s="336">
        <v>0</v>
      </c>
      <c r="K39" s="336">
        <v>0</v>
      </c>
      <c r="M39" s="336">
        <v>0</v>
      </c>
      <c r="N39" s="336">
        <v>0</v>
      </c>
      <c r="O39" s="336">
        <v>0</v>
      </c>
      <c r="P39" s="336">
        <v>0</v>
      </c>
      <c r="R39" s="336">
        <v>0</v>
      </c>
      <c r="S39" s="336">
        <v>0</v>
      </c>
      <c r="T39" s="336">
        <v>0</v>
      </c>
      <c r="U39" s="336">
        <v>0</v>
      </c>
    </row>
    <row r="40" spans="1:21" x14ac:dyDescent="0.25">
      <c r="A40" s="341" t="s">
        <v>206</v>
      </c>
      <c r="B40" s="514" t="s">
        <v>389</v>
      </c>
      <c r="C40" s="342">
        <f t="shared" ref="C40:F41" si="1">MIN(100%,C38/smic)</f>
        <v>0</v>
      </c>
      <c r="D40" s="342">
        <f t="shared" si="1"/>
        <v>0.5</v>
      </c>
      <c r="E40" s="342">
        <f t="shared" si="1"/>
        <v>1</v>
      </c>
      <c r="F40" s="342">
        <f t="shared" si="1"/>
        <v>1</v>
      </c>
      <c r="H40" s="342">
        <f t="shared" ref="H40:K41" si="2">MIN(100%,H38/smic)</f>
        <v>0</v>
      </c>
      <c r="I40" s="342">
        <f t="shared" si="2"/>
        <v>0.5</v>
      </c>
      <c r="J40" s="342">
        <f t="shared" si="2"/>
        <v>1</v>
      </c>
      <c r="K40" s="342">
        <f t="shared" si="2"/>
        <v>1</v>
      </c>
      <c r="M40" s="342">
        <f t="shared" ref="M40:P41" si="3">MIN(100%,M38/smic)</f>
        <v>0</v>
      </c>
      <c r="N40" s="342">
        <f t="shared" si="3"/>
        <v>0.5</v>
      </c>
      <c r="O40" s="342">
        <f t="shared" si="3"/>
        <v>1</v>
      </c>
      <c r="P40" s="342">
        <f t="shared" si="3"/>
        <v>1</v>
      </c>
      <c r="R40" s="342">
        <f t="shared" ref="R40:U40" si="4">MIN(100%,R38/smic)</f>
        <v>0</v>
      </c>
      <c r="S40" s="342">
        <f t="shared" si="4"/>
        <v>0.5</v>
      </c>
      <c r="T40" s="342">
        <f t="shared" si="4"/>
        <v>1</v>
      </c>
      <c r="U40" s="342">
        <f t="shared" si="4"/>
        <v>1</v>
      </c>
    </row>
    <row r="41" spans="1:21" ht="13" thickBot="1" x14ac:dyDescent="0.3">
      <c r="A41" s="343" t="s">
        <v>207</v>
      </c>
      <c r="B41" s="515"/>
      <c r="C41" s="344">
        <f t="shared" si="1"/>
        <v>0</v>
      </c>
      <c r="D41" s="344">
        <f t="shared" si="1"/>
        <v>0</v>
      </c>
      <c r="E41" s="344">
        <f t="shared" si="1"/>
        <v>0</v>
      </c>
      <c r="F41" s="344">
        <f t="shared" si="1"/>
        <v>0</v>
      </c>
      <c r="H41" s="344">
        <f t="shared" si="2"/>
        <v>0</v>
      </c>
      <c r="I41" s="344">
        <f t="shared" si="2"/>
        <v>0</v>
      </c>
      <c r="J41" s="344">
        <f t="shared" si="2"/>
        <v>0</v>
      </c>
      <c r="K41" s="344">
        <f t="shared" si="2"/>
        <v>0</v>
      </c>
      <c r="M41" s="344">
        <f t="shared" si="3"/>
        <v>0</v>
      </c>
      <c r="N41" s="344">
        <f t="shared" si="3"/>
        <v>0</v>
      </c>
      <c r="O41" s="344">
        <f t="shared" si="3"/>
        <v>0</v>
      </c>
      <c r="P41" s="344">
        <f t="shared" si="3"/>
        <v>0</v>
      </c>
      <c r="R41" s="344">
        <f t="shared" ref="R41:U41" si="5">MIN(100%,R39/smic)</f>
        <v>0</v>
      </c>
      <c r="S41" s="344">
        <f t="shared" si="5"/>
        <v>0</v>
      </c>
      <c r="T41" s="344">
        <f t="shared" si="5"/>
        <v>0</v>
      </c>
      <c r="U41" s="344">
        <f t="shared" si="5"/>
        <v>0</v>
      </c>
    </row>
    <row r="42" spans="1:21" ht="13" thickBot="1" x14ac:dyDescent="0.3">
      <c r="A42" s="345" t="s">
        <v>288</v>
      </c>
      <c r="B42" s="339"/>
      <c r="C42" s="344">
        <f t="shared" ref="C42:F42" si="6">(C38+C39)/smic</f>
        <v>0</v>
      </c>
      <c r="D42" s="344">
        <f t="shared" si="6"/>
        <v>0.5</v>
      </c>
      <c r="E42" s="344">
        <f t="shared" si="6"/>
        <v>1</v>
      </c>
      <c r="F42" s="344">
        <f t="shared" si="6"/>
        <v>1.5</v>
      </c>
      <c r="H42" s="344">
        <f t="shared" ref="H42:K42" si="7">(H38+H39)/smic</f>
        <v>0</v>
      </c>
      <c r="I42" s="344">
        <f t="shared" si="7"/>
        <v>0.5</v>
      </c>
      <c r="J42" s="344">
        <f t="shared" si="7"/>
        <v>1</v>
      </c>
      <c r="K42" s="344">
        <f t="shared" si="7"/>
        <v>1.5</v>
      </c>
      <c r="M42" s="344">
        <f t="shared" ref="M42:P42" si="8">(M38+M39)/smic</f>
        <v>0</v>
      </c>
      <c r="N42" s="344">
        <f t="shared" si="8"/>
        <v>0.5</v>
      </c>
      <c r="O42" s="344">
        <f t="shared" si="8"/>
        <v>1</v>
      </c>
      <c r="P42" s="344">
        <f t="shared" si="8"/>
        <v>1.5</v>
      </c>
      <c r="R42" s="344">
        <f t="shared" ref="R42:U42" si="9">(R38+R39)/smic</f>
        <v>0</v>
      </c>
      <c r="S42" s="344">
        <f t="shared" si="9"/>
        <v>0.5</v>
      </c>
      <c r="T42" s="344">
        <f t="shared" si="9"/>
        <v>1</v>
      </c>
      <c r="U42" s="344">
        <f t="shared" si="9"/>
        <v>1.5</v>
      </c>
    </row>
    <row r="43" spans="1:21" s="463" customFormat="1" ht="13" x14ac:dyDescent="0.3">
      <c r="A43" s="462" t="s">
        <v>551</v>
      </c>
      <c r="C43" s="464" t="s">
        <v>552</v>
      </c>
      <c r="D43" s="464" t="s">
        <v>552</v>
      </c>
      <c r="E43" s="464" t="s">
        <v>552</v>
      </c>
      <c r="F43" s="464" t="s">
        <v>552</v>
      </c>
      <c r="H43" s="464" t="s">
        <v>552</v>
      </c>
      <c r="I43" s="464" t="s">
        <v>552</v>
      </c>
      <c r="J43" s="464" t="s">
        <v>552</v>
      </c>
      <c r="K43" s="464" t="s">
        <v>552</v>
      </c>
      <c r="M43" s="464" t="s">
        <v>552</v>
      </c>
      <c r="N43" s="464" t="s">
        <v>552</v>
      </c>
      <c r="O43" s="464" t="s">
        <v>552</v>
      </c>
      <c r="P43" s="464" t="s">
        <v>552</v>
      </c>
      <c r="R43" s="464" t="s">
        <v>552</v>
      </c>
      <c r="S43" s="464" t="s">
        <v>552</v>
      </c>
      <c r="T43" s="464" t="s">
        <v>552</v>
      </c>
      <c r="U43" s="464" t="s">
        <v>552</v>
      </c>
    </row>
    <row r="44" spans="1:21" ht="13" thickBot="1" x14ac:dyDescent="0.3">
      <c r="A44" s="283" t="s">
        <v>432</v>
      </c>
      <c r="B44" s="283"/>
      <c r="C44" s="187"/>
      <c r="D44" s="187"/>
      <c r="E44" s="187"/>
      <c r="F44" s="187"/>
      <c r="H44" s="187"/>
      <c r="I44" s="187"/>
      <c r="J44" s="187"/>
      <c r="K44" s="187"/>
      <c r="M44" s="187"/>
      <c r="N44" s="187"/>
      <c r="O44" s="187"/>
      <c r="P44" s="187"/>
      <c r="R44" s="187"/>
      <c r="S44" s="187"/>
      <c r="T44" s="187"/>
      <c r="U44" s="187"/>
    </row>
    <row r="45" spans="1:21" ht="13" x14ac:dyDescent="0.25">
      <c r="A45" s="348" t="s">
        <v>515</v>
      </c>
      <c r="B45" s="256" t="s">
        <v>433</v>
      </c>
      <c r="C45" s="248" t="s">
        <v>434</v>
      </c>
      <c r="D45" s="248" t="s">
        <v>434</v>
      </c>
      <c r="E45" s="248" t="s">
        <v>434</v>
      </c>
      <c r="F45" s="248" t="s">
        <v>434</v>
      </c>
      <c r="H45" s="248" t="s">
        <v>434</v>
      </c>
      <c r="I45" s="248" t="s">
        <v>434</v>
      </c>
      <c r="J45" s="248" t="s">
        <v>434</v>
      </c>
      <c r="K45" s="248" t="s">
        <v>434</v>
      </c>
      <c r="M45" s="248" t="s">
        <v>434</v>
      </c>
      <c r="N45" s="248" t="s">
        <v>434</v>
      </c>
      <c r="O45" s="248" t="s">
        <v>434</v>
      </c>
      <c r="P45" s="248" t="s">
        <v>434</v>
      </c>
      <c r="R45" s="248" t="s">
        <v>434</v>
      </c>
      <c r="S45" s="248" t="s">
        <v>434</v>
      </c>
      <c r="T45" s="248" t="s">
        <v>434</v>
      </c>
      <c r="U45" s="248" t="s">
        <v>434</v>
      </c>
    </row>
    <row r="46" spans="1:21" x14ac:dyDescent="0.25">
      <c r="A46" s="349" t="s">
        <v>435</v>
      </c>
      <c r="B46" s="2"/>
      <c r="C46" s="350">
        <v>0</v>
      </c>
      <c r="D46" s="350">
        <v>0</v>
      </c>
      <c r="E46" s="350">
        <v>0</v>
      </c>
      <c r="F46" s="350">
        <v>0</v>
      </c>
      <c r="H46" s="350">
        <v>0</v>
      </c>
      <c r="I46" s="350">
        <v>0</v>
      </c>
      <c r="J46" s="350">
        <v>0</v>
      </c>
      <c r="K46" s="350">
        <v>0</v>
      </c>
      <c r="M46" s="350">
        <v>0</v>
      </c>
      <c r="N46" s="350">
        <v>0</v>
      </c>
      <c r="O46" s="350">
        <v>0</v>
      </c>
      <c r="P46" s="350">
        <v>0</v>
      </c>
      <c r="R46" s="350">
        <v>0</v>
      </c>
      <c r="S46" s="350">
        <v>0</v>
      </c>
      <c r="T46" s="350">
        <v>0</v>
      </c>
      <c r="U46" s="350">
        <v>0</v>
      </c>
    </row>
    <row r="47" spans="1:21" x14ac:dyDescent="0.25">
      <c r="A47" s="349" t="s">
        <v>436</v>
      </c>
      <c r="B47" s="2"/>
      <c r="C47" s="350">
        <v>0</v>
      </c>
      <c r="D47" s="350">
        <v>0</v>
      </c>
      <c r="E47" s="350">
        <v>0</v>
      </c>
      <c r="F47" s="350">
        <v>0</v>
      </c>
      <c r="H47" s="350">
        <v>0</v>
      </c>
      <c r="I47" s="350">
        <v>0</v>
      </c>
      <c r="J47" s="350">
        <v>0</v>
      </c>
      <c r="K47" s="350">
        <v>0</v>
      </c>
      <c r="M47" s="350">
        <v>0</v>
      </c>
      <c r="N47" s="350">
        <v>0</v>
      </c>
      <c r="O47" s="350">
        <v>0</v>
      </c>
      <c r="P47" s="350">
        <v>0</v>
      </c>
      <c r="R47" s="350">
        <v>0</v>
      </c>
      <c r="S47" s="350">
        <v>0</v>
      </c>
      <c r="T47" s="350">
        <v>0</v>
      </c>
      <c r="U47" s="350">
        <v>0</v>
      </c>
    </row>
    <row r="48" spans="1:21" ht="13" x14ac:dyDescent="0.25">
      <c r="A48" s="349" t="s">
        <v>516</v>
      </c>
      <c r="B48" s="2"/>
      <c r="C48" s="336" t="s">
        <v>434</v>
      </c>
      <c r="D48" s="336" t="s">
        <v>434</v>
      </c>
      <c r="E48" s="336" t="s">
        <v>434</v>
      </c>
      <c r="F48" s="336" t="s">
        <v>434</v>
      </c>
      <c r="H48" s="336" t="s">
        <v>434</v>
      </c>
      <c r="I48" s="336" t="s">
        <v>434</v>
      </c>
      <c r="J48" s="336" t="s">
        <v>434</v>
      </c>
      <c r="K48" s="336" t="s">
        <v>434</v>
      </c>
      <c r="M48" s="336" t="s">
        <v>434</v>
      </c>
      <c r="N48" s="336" t="s">
        <v>434</v>
      </c>
      <c r="O48" s="336" t="s">
        <v>434</v>
      </c>
      <c r="P48" s="336" t="s">
        <v>434</v>
      </c>
      <c r="R48" s="336" t="s">
        <v>434</v>
      </c>
      <c r="S48" s="336" t="s">
        <v>434</v>
      </c>
      <c r="T48" s="336" t="s">
        <v>434</v>
      </c>
      <c r="U48" s="336" t="s">
        <v>434</v>
      </c>
    </row>
    <row r="49" spans="1:21" x14ac:dyDescent="0.25">
      <c r="A49" s="349" t="s">
        <v>438</v>
      </c>
      <c r="B49" s="2"/>
      <c r="C49" s="350">
        <v>0</v>
      </c>
      <c r="D49" s="350">
        <v>0</v>
      </c>
      <c r="E49" s="350">
        <v>0</v>
      </c>
      <c r="F49" s="350">
        <v>0</v>
      </c>
      <c r="H49" s="350">
        <v>0</v>
      </c>
      <c r="I49" s="350">
        <v>0</v>
      </c>
      <c r="J49" s="350">
        <v>0</v>
      </c>
      <c r="K49" s="350">
        <v>0</v>
      </c>
      <c r="M49" s="350">
        <v>0</v>
      </c>
      <c r="N49" s="350">
        <v>0</v>
      </c>
      <c r="O49" s="350">
        <v>0</v>
      </c>
      <c r="P49" s="350">
        <v>0</v>
      </c>
      <c r="R49" s="350">
        <v>0</v>
      </c>
      <c r="S49" s="350">
        <v>0</v>
      </c>
      <c r="T49" s="350">
        <v>0</v>
      </c>
      <c r="U49" s="350">
        <v>0</v>
      </c>
    </row>
    <row r="50" spans="1:21" ht="13" thickBot="1" x14ac:dyDescent="0.3">
      <c r="A50" s="351" t="s">
        <v>437</v>
      </c>
      <c r="B50" s="3"/>
      <c r="C50" s="352">
        <v>0</v>
      </c>
      <c r="D50" s="352">
        <v>0</v>
      </c>
      <c r="E50" s="352">
        <v>0</v>
      </c>
      <c r="F50" s="352">
        <v>0</v>
      </c>
      <c r="H50" s="352">
        <v>0</v>
      </c>
      <c r="I50" s="352">
        <v>0</v>
      </c>
      <c r="J50" s="352">
        <v>0</v>
      </c>
      <c r="K50" s="352">
        <v>0</v>
      </c>
      <c r="M50" s="352">
        <v>0</v>
      </c>
      <c r="N50" s="352">
        <v>0</v>
      </c>
      <c r="O50" s="352">
        <v>0</v>
      </c>
      <c r="P50" s="352">
        <v>0</v>
      </c>
      <c r="R50" s="352">
        <v>0</v>
      </c>
      <c r="S50" s="352">
        <v>0</v>
      </c>
      <c r="T50" s="352">
        <v>0</v>
      </c>
      <c r="U50" s="352">
        <v>0</v>
      </c>
    </row>
    <row r="51" spans="1:21" ht="13" thickBot="1" x14ac:dyDescent="0.3">
      <c r="A51" s="283"/>
      <c r="B51" s="283"/>
      <c r="C51" s="187"/>
      <c r="D51" s="187"/>
      <c r="E51" s="187"/>
      <c r="F51" s="187"/>
      <c r="H51" s="187"/>
      <c r="I51" s="187"/>
      <c r="J51" s="187"/>
      <c r="K51" s="187"/>
      <c r="M51" s="187"/>
      <c r="N51" s="187"/>
      <c r="O51" s="187"/>
      <c r="P51" s="187"/>
      <c r="R51" s="187"/>
      <c r="S51" s="187"/>
      <c r="T51" s="187"/>
      <c r="U51" s="187"/>
    </row>
    <row r="52" spans="1:21" ht="13" thickBot="1" x14ac:dyDescent="0.3">
      <c r="A52" s="338" t="s">
        <v>427</v>
      </c>
      <c r="B52" s="339"/>
      <c r="C52" s="340">
        <f>(C$3="isolé")*IF(C$13="pg",(
(C$16=2010)*(C$99*((C$99=1)*ceee_taux_1enf+(C$99=2)*ceee_taux_2enf+(C$99=3)*ceee_taux_3enf+(C$99=4)*ceee_taux_4enf+(C$99=5)*ceee_taux_5enf+(C$99=6)*ceee_taux_6enf)*MAX(C$14-ceee_abat,0))
+(C$16=2018)*MAX(0,(MIN(C$99*((C$99=1)*ceeeb_taux_1enf+(C$99=2)*ceeeb_taux_2enf+(C$99=3)*ceeeb_taux_3enf+(C$99=4)*ceeeb_taux_4enf+(C$99=5)*ceeeb_taux_5enf+(C$99=6)*ceeeb_taux_6enf)*C$14,C$14-ceeeb_reste_à_vivre)))
+(C$16="inter")*IF(C$14&lt;=ceee_inter_seuil1,
(C$99*((C$99=1)*ceee_taux_1enf+(C$99=2)*ceee_taux_2enf+(C$99=3)*ceee_taux_3enf+(C$99=4)*ceee_taux_4enf+(C$99=5)*ceee_taux_5enf+(C$99=6)*ceee_taux_6enf)*MAX(C$14-ceee_abat,0)),
IF(C$14&gt;=ceee_inter_seuil2,
(MIN(C$99*((C$99=1)*ceeeb_taux_1enf+(C$99=2)*ceeeb_taux_2enf+(C$99=3)*ceeeb_taux_3enf+(C$99=4)*ceeeb_taux_4enf+(C$99=5)*ceeeb_taux_5enf+(C$99=6)*ceeeb_taux_6enf)*C$14,C$14-ceeeb_reste_à_vivre)),
(C$99*((C$99=1)*ceeeb_taux_1enf+(C$99=2)*ceeeb_taux_2enf+(C$99=3)*ceeeb_taux_3enf+(C$99=4)*ceeeb_taux_4enf+(C$99=5)*ceeeb_taux_5enf+(C$99=6)*ceeeb_taux_6enf))*(ceee_inter_coef*C$14+(1-ceee_inter_coef)*ceee_inter_seuil2)
))
),0)*(C$14&gt;=700)
+(C$3="isolé")*IF(C$13="ga_m",(
(C$16=2010)*(C$99*((C$99=1)*ceee_taux_1enf_ga+(C$99=2)*ceee_taux_2enf_ga+(C$99=3)*ceee_taux_3enf_ga+(C$99=4)*ceee_taux_4enf_ga+(C$99=5)*ceee_taux_5enf_ga+(C$99=6)*ceee_taux_6enf_ga)*MAX(C$14-ceee_abat,0))
+(C$16=2018)*MAX(0,(MIN(C$99*((C$99=1)*ceeeb_taux_1enf_ga+(C$99=2)*ceeeb_taux_2enf_ga+(C$99=3)*ceeeb_taux_3enf_ga+(C$99=4)*ceeeb_taux_4enf_ga+(C$99=5)*ceeeb_taux_5enf_ga+(C$99=6)*ceeeb_taux_6enf_ga)*C$14,C$14-ceeeb_reste_à_vivre)))
+(C$16="inter")*IF(C$14&lt;=ceee_inter_seuil1,
(C$99*((C$99=1)*ceee_taux_1enf_ga+(C$99=2)*ceee_taux_2enf_ga+(C$99=3)*ceee_taux_3enf_ga+(C$99=4)*ceee_taux_4enf_ga+(C$99=5)*ceee_taux_5enf_ga+(C$99=6)*ceee_taux_6enf_ga)*MAX(C$14-ceee_abat,0)),
IF(C$14&gt;=ceee_inter_seuil2,
(MIN(C$99*((C$99=1)*ceeeb_taux_1enf_ga+(C$99=2)*ceeeb_taux_2enf_ga+(C$99=3)*ceeeb_taux_3enf_ga+(C$99=4)*ceeeb_taux_4enf_ga+(C$99=5)*ceeeb_taux_5enf_ga+(C$99=6)*ceeeb_taux_6enf_ga)*C$14,C$14-ceeeb_reste_à_vivre)),
(C$99*((C$99=1)*ceeeb_taux_1enf_ga+(C$99=2)*ceeeb_taux_2enf_ga+(C$99=3)*ceeeb_taux_3enf_ga+(C$99=4)*ceeeb_taux_4enf_ga+(C$99=5)*ceeeb_taux_5enf_ga+(C$99=6)*ceeeb_taux_6enf_ga))*(ceee_inter_coef*C$14+(1-ceee_inter_coef)*ceee_inter_seuil2)
))
),0)*(C$14&gt;=700)</f>
        <v>0</v>
      </c>
      <c r="D52" s="340">
        <f>(D$3="isolé")*IF(D$13="pg",(
(D$16=2010)*(D$99*((D$99=1)*ceee_taux_1enf+(D$99=2)*ceee_taux_2enf+(D$99=3)*ceee_taux_3enf+(D$99=4)*ceee_taux_4enf+(D$99=5)*ceee_taux_5enf+(D$99=6)*ceee_taux_6enf)*MAX(D$14-ceee_abat,0))
+(D$16=2018)*MAX(0,(MIN(D$99*((D$99=1)*ceeeb_taux_1enf+(D$99=2)*ceeeb_taux_2enf+(D$99=3)*ceeeb_taux_3enf+(D$99=4)*ceeeb_taux_4enf+(D$99=5)*ceeeb_taux_5enf+(D$99=6)*ceeeb_taux_6enf)*D$14,D$14-ceeeb_reste_à_vivre)))
+(D$16="inter")*IF(D$14&lt;=ceee_inter_seuil1,
(D$99*((D$99=1)*ceee_taux_1enf+(D$99=2)*ceee_taux_2enf+(D$99=3)*ceee_taux_3enf+(D$99=4)*ceee_taux_4enf+(D$99=5)*ceee_taux_5enf+(D$99=6)*ceee_taux_6enf)*MAX(D$14-ceee_abat,0)),
IF(D$14&gt;=ceee_inter_seuil2,
(MIN(D$99*((D$99=1)*ceeeb_taux_1enf+(D$99=2)*ceeeb_taux_2enf+(D$99=3)*ceeeb_taux_3enf+(D$99=4)*ceeeb_taux_4enf+(D$99=5)*ceeeb_taux_5enf+(D$99=6)*ceeeb_taux_6enf)*D$14,D$14-ceeeb_reste_à_vivre)),
(D$99*((D$99=1)*ceeeb_taux_1enf+(D$99=2)*ceeeb_taux_2enf+(D$99=3)*ceeeb_taux_3enf+(D$99=4)*ceeeb_taux_4enf+(D$99=5)*ceeeb_taux_5enf+(D$99=6)*ceeeb_taux_6enf))*(ceee_inter_coef*D$14+(1-ceee_inter_coef)*ceee_inter_seuil2)
))
),0)*(D$14&gt;=700)
+(D$3="isolé")*IF(D$13="ga_m",(
(D$16=2010)*(D$99*((D$99=1)*ceee_taux_1enf_ga+(D$99=2)*ceee_taux_2enf_ga+(D$99=3)*ceee_taux_3enf_ga+(D$99=4)*ceee_taux_4enf_ga+(D$99=5)*ceee_taux_5enf_ga+(D$99=6)*ceee_taux_6enf_ga)*MAX(D$14-ceee_abat,0))
+(D$16=2018)*MAX(0,(MIN(D$99*((D$99=1)*ceeeb_taux_1enf_ga+(D$99=2)*ceeeb_taux_2enf_ga+(D$99=3)*ceeeb_taux_3enf_ga+(D$99=4)*ceeeb_taux_4enf_ga+(D$99=5)*ceeeb_taux_5enf_ga+(D$99=6)*ceeeb_taux_6enf_ga)*D$14,D$14-ceeeb_reste_à_vivre)))
+(D$16="inter")*IF(D$14&lt;=ceee_inter_seuil1,
(D$99*((D$99=1)*ceee_taux_1enf_ga+(D$99=2)*ceee_taux_2enf_ga+(D$99=3)*ceee_taux_3enf_ga+(D$99=4)*ceee_taux_4enf_ga+(D$99=5)*ceee_taux_5enf_ga+(D$99=6)*ceee_taux_6enf_ga)*MAX(D$14-ceee_abat,0)),
IF(D$14&gt;=ceee_inter_seuil2,
(MIN(D$99*((D$99=1)*ceeeb_taux_1enf_ga+(D$99=2)*ceeeb_taux_2enf_ga+(D$99=3)*ceeeb_taux_3enf_ga+(D$99=4)*ceeeb_taux_4enf_ga+(D$99=5)*ceeeb_taux_5enf_ga+(D$99=6)*ceeeb_taux_6enf_ga)*D$14,D$14-ceeeb_reste_à_vivre)),
(D$99*((D$99=1)*ceeeb_taux_1enf_ga+(D$99=2)*ceeeb_taux_2enf_ga+(D$99=3)*ceeeb_taux_3enf_ga+(D$99=4)*ceeeb_taux_4enf_ga+(D$99=5)*ceeeb_taux_5enf_ga+(D$99=6)*ceeeb_taux_6enf_ga))*(ceee_inter_coef*D$14+(1-ceee_inter_coef)*ceee_inter_seuil2)
))
),0)*(D$14&gt;=700)</f>
        <v>0</v>
      </c>
      <c r="E52" s="340">
        <f>(E$3="isolé")*IF(E$13="pg",(
(E$16=2010)*(E$99*((E$99=1)*ceee_taux_1enf+(E$99=2)*ceee_taux_2enf+(E$99=3)*ceee_taux_3enf+(E$99=4)*ceee_taux_4enf+(E$99=5)*ceee_taux_5enf+(E$99=6)*ceee_taux_6enf)*MAX(E$14-ceee_abat,0))
+(E$16=2018)*MAX(0,(MIN(E$99*((E$99=1)*ceeeb_taux_1enf+(E$99=2)*ceeeb_taux_2enf+(E$99=3)*ceeeb_taux_3enf+(E$99=4)*ceeeb_taux_4enf+(E$99=5)*ceeeb_taux_5enf+(E$99=6)*ceeeb_taux_6enf)*E$14,E$14-ceeeb_reste_à_vivre)))
+(E$16="inter")*IF(E$14&lt;=ceee_inter_seuil1,
(E$99*((E$99=1)*ceee_taux_1enf+(E$99=2)*ceee_taux_2enf+(E$99=3)*ceee_taux_3enf+(E$99=4)*ceee_taux_4enf+(E$99=5)*ceee_taux_5enf+(E$99=6)*ceee_taux_6enf)*MAX(E$14-ceee_abat,0)),
IF(E$14&gt;=ceee_inter_seuil2,
(MIN(E$99*((E$99=1)*ceeeb_taux_1enf+(E$99=2)*ceeeb_taux_2enf+(E$99=3)*ceeeb_taux_3enf+(E$99=4)*ceeeb_taux_4enf+(E$99=5)*ceeeb_taux_5enf+(E$99=6)*ceeeb_taux_6enf)*E$14,E$14-ceeeb_reste_à_vivre)),
(E$99*((E$99=1)*ceeeb_taux_1enf+(E$99=2)*ceeeb_taux_2enf+(E$99=3)*ceeeb_taux_3enf+(E$99=4)*ceeeb_taux_4enf+(E$99=5)*ceeeb_taux_5enf+(E$99=6)*ceeeb_taux_6enf))*(ceee_inter_coef*E$14+(1-ceee_inter_coef)*ceee_inter_seuil2)
))
),0)*(E$14&gt;=700)
+(E$3="isolé")*IF(E$13="ga_m",(
(E$16=2010)*(E$99*((E$99=1)*ceee_taux_1enf_ga+(E$99=2)*ceee_taux_2enf_ga+(E$99=3)*ceee_taux_3enf_ga+(E$99=4)*ceee_taux_4enf_ga+(E$99=5)*ceee_taux_5enf_ga+(E$99=6)*ceee_taux_6enf_ga)*MAX(E$14-ceee_abat,0))
+(E$16=2018)*MAX(0,(MIN(E$99*((E$99=1)*ceeeb_taux_1enf_ga+(E$99=2)*ceeeb_taux_2enf_ga+(E$99=3)*ceeeb_taux_3enf_ga+(E$99=4)*ceeeb_taux_4enf_ga+(E$99=5)*ceeeb_taux_5enf_ga+(E$99=6)*ceeeb_taux_6enf_ga)*E$14,E$14-ceeeb_reste_à_vivre)))
+(E$16="inter")*IF(E$14&lt;=ceee_inter_seuil1,
(E$99*((E$99=1)*ceee_taux_1enf_ga+(E$99=2)*ceee_taux_2enf_ga+(E$99=3)*ceee_taux_3enf_ga+(E$99=4)*ceee_taux_4enf_ga+(E$99=5)*ceee_taux_5enf_ga+(E$99=6)*ceee_taux_6enf_ga)*MAX(E$14-ceee_abat,0)),
IF(E$14&gt;=ceee_inter_seuil2,
(MIN(E$99*((E$99=1)*ceeeb_taux_1enf_ga+(E$99=2)*ceeeb_taux_2enf_ga+(E$99=3)*ceeeb_taux_3enf_ga+(E$99=4)*ceeeb_taux_4enf_ga+(E$99=5)*ceeeb_taux_5enf_ga+(E$99=6)*ceeeb_taux_6enf_ga)*E$14,E$14-ceeeb_reste_à_vivre)),
(E$99*((E$99=1)*ceeeb_taux_1enf_ga+(E$99=2)*ceeeb_taux_2enf_ga+(E$99=3)*ceeeb_taux_3enf_ga+(E$99=4)*ceeeb_taux_4enf_ga+(E$99=5)*ceeeb_taux_5enf_ga+(E$99=6)*ceeeb_taux_6enf_ga))*(ceee_inter_coef*E$14+(1-ceee_inter_coef)*ceee_inter_seuil2)
))
),0)*(E$14&gt;=700)</f>
        <v>0</v>
      </c>
      <c r="F52" s="340">
        <f>(F$3="isolé")*IF(F$13="pg",(
(F$16=2010)*(F$99*((F$99=1)*ceee_taux_1enf+(F$99=2)*ceee_taux_2enf+(F$99=3)*ceee_taux_3enf+(F$99=4)*ceee_taux_4enf+(F$99=5)*ceee_taux_5enf+(F$99=6)*ceee_taux_6enf)*MAX(F$14-ceee_abat,0))
+(F$16=2018)*MAX(0,(MIN(F$99*((F$99=1)*ceeeb_taux_1enf+(F$99=2)*ceeeb_taux_2enf+(F$99=3)*ceeeb_taux_3enf+(F$99=4)*ceeeb_taux_4enf+(F$99=5)*ceeeb_taux_5enf+(F$99=6)*ceeeb_taux_6enf)*F$14,F$14-ceeeb_reste_à_vivre)))
+(F$16="inter")*IF(F$14&lt;=ceee_inter_seuil1,
(F$99*((F$99=1)*ceee_taux_1enf+(F$99=2)*ceee_taux_2enf+(F$99=3)*ceee_taux_3enf+(F$99=4)*ceee_taux_4enf+(F$99=5)*ceee_taux_5enf+(F$99=6)*ceee_taux_6enf)*MAX(F$14-ceee_abat,0)),
IF(F$14&gt;=ceee_inter_seuil2,
(MIN(F$99*((F$99=1)*ceeeb_taux_1enf+(F$99=2)*ceeeb_taux_2enf+(F$99=3)*ceeeb_taux_3enf+(F$99=4)*ceeeb_taux_4enf+(F$99=5)*ceeeb_taux_5enf+(F$99=6)*ceeeb_taux_6enf)*F$14,F$14-ceeeb_reste_à_vivre)),
(F$99*((F$99=1)*ceeeb_taux_1enf+(F$99=2)*ceeeb_taux_2enf+(F$99=3)*ceeeb_taux_3enf+(F$99=4)*ceeeb_taux_4enf+(F$99=5)*ceeeb_taux_5enf+(F$99=6)*ceeeb_taux_6enf))*(ceee_inter_coef*F$14+(1-ceee_inter_coef)*ceee_inter_seuil2)
))
),0)*(F$14&gt;=700)
+(F$3="isolé")*IF(F$13="ga_m",(
(F$16=2010)*(F$99*((F$99=1)*ceee_taux_1enf_ga+(F$99=2)*ceee_taux_2enf_ga+(F$99=3)*ceee_taux_3enf_ga+(F$99=4)*ceee_taux_4enf_ga+(F$99=5)*ceee_taux_5enf_ga+(F$99=6)*ceee_taux_6enf_ga)*MAX(F$14-ceee_abat,0))
+(F$16=2018)*MAX(0,(MIN(F$99*((F$99=1)*ceeeb_taux_1enf_ga+(F$99=2)*ceeeb_taux_2enf_ga+(F$99=3)*ceeeb_taux_3enf_ga+(F$99=4)*ceeeb_taux_4enf_ga+(F$99=5)*ceeeb_taux_5enf_ga+(F$99=6)*ceeeb_taux_6enf_ga)*F$14,F$14-ceeeb_reste_à_vivre)))
+(F$16="inter")*IF(F$14&lt;=ceee_inter_seuil1,
(F$99*((F$99=1)*ceee_taux_1enf_ga+(F$99=2)*ceee_taux_2enf_ga+(F$99=3)*ceee_taux_3enf_ga+(F$99=4)*ceee_taux_4enf_ga+(F$99=5)*ceee_taux_5enf_ga+(F$99=6)*ceee_taux_6enf_ga)*MAX(F$14-ceee_abat,0)),
IF(F$14&gt;=ceee_inter_seuil2,
(MIN(F$99*((F$99=1)*ceeeb_taux_1enf_ga+(F$99=2)*ceeeb_taux_2enf_ga+(F$99=3)*ceeeb_taux_3enf_ga+(F$99=4)*ceeeb_taux_4enf_ga+(F$99=5)*ceeeb_taux_5enf_ga+(F$99=6)*ceeeb_taux_6enf_ga)*F$14,F$14-ceeeb_reste_à_vivre)),
(F$99*((F$99=1)*ceeeb_taux_1enf_ga+(F$99=2)*ceeeb_taux_2enf_ga+(F$99=3)*ceeeb_taux_3enf_ga+(F$99=4)*ceeeb_taux_4enf_ga+(F$99=5)*ceeeb_taux_5enf_ga+(F$99=6)*ceeeb_taux_6enf_ga))*(ceee_inter_coef*F$14+(1-ceee_inter_coef)*ceee_inter_seuil2)
))
),0)*(F$14&gt;=700)</f>
        <v>0</v>
      </c>
      <c r="H52" s="340">
        <f>(H$3="isolé")*IF(H$13="pg",(
(H$16=2010)*(H$99*((H$99=1)*ceee_taux_1enf+(H$99=2)*ceee_taux_2enf+(H$99=3)*ceee_taux_3enf+(H$99=4)*ceee_taux_4enf+(H$99=5)*ceee_taux_5enf+(H$99=6)*ceee_taux_6enf)*MAX(H$14-ceee_abat,0))
+(H$16=2018)*MAX(0,(MIN(H$99*((H$99=1)*ceeeb_taux_1enf+(H$99=2)*ceeeb_taux_2enf+(H$99=3)*ceeeb_taux_3enf+(H$99=4)*ceeeb_taux_4enf+(H$99=5)*ceeeb_taux_5enf+(H$99=6)*ceeeb_taux_6enf)*H$14,H$14-ceeeb_reste_à_vivre)))
+(H$16="inter")*IF(H$14&lt;=ceee_inter_seuil1,
(H$99*((H$99=1)*ceee_taux_1enf+(H$99=2)*ceee_taux_2enf+(H$99=3)*ceee_taux_3enf+(H$99=4)*ceee_taux_4enf+(H$99=5)*ceee_taux_5enf+(H$99=6)*ceee_taux_6enf)*MAX(H$14-ceee_abat,0)),
IF(H$14&gt;=ceee_inter_seuil2,
(MIN(H$99*((H$99=1)*ceeeb_taux_1enf+(H$99=2)*ceeeb_taux_2enf+(H$99=3)*ceeeb_taux_3enf+(H$99=4)*ceeeb_taux_4enf+(H$99=5)*ceeeb_taux_5enf+(H$99=6)*ceeeb_taux_6enf)*H$14,H$14-ceeeb_reste_à_vivre)),
(H$99*((H$99=1)*ceeeb_taux_1enf+(H$99=2)*ceeeb_taux_2enf+(H$99=3)*ceeeb_taux_3enf+(H$99=4)*ceeeb_taux_4enf+(H$99=5)*ceeeb_taux_5enf+(H$99=6)*ceeeb_taux_6enf))*(ceee_inter_coef*H$14+(1-ceee_inter_coef)*ceee_inter_seuil2)
))
),0)*(H$14&gt;=700)
+(H$3="isolé")*IF(H$13="ga_m",(
(H$16=2010)*(H$99*((H$99=1)*ceee_taux_1enf_ga+(H$99=2)*ceee_taux_2enf_ga+(H$99=3)*ceee_taux_3enf_ga+(H$99=4)*ceee_taux_4enf_ga+(H$99=5)*ceee_taux_5enf_ga+(H$99=6)*ceee_taux_6enf_ga)*MAX(H$14-ceee_abat,0))
+(H$16=2018)*MAX(0,(MIN(H$99*((H$99=1)*ceeeb_taux_1enf_ga+(H$99=2)*ceeeb_taux_2enf_ga+(H$99=3)*ceeeb_taux_3enf_ga+(H$99=4)*ceeeb_taux_4enf_ga+(H$99=5)*ceeeb_taux_5enf_ga+(H$99=6)*ceeeb_taux_6enf_ga)*H$14,H$14-ceeeb_reste_à_vivre)))
+(H$16="inter")*IF(H$14&lt;=ceee_inter_seuil1,
(H$99*((H$99=1)*ceee_taux_1enf_ga+(H$99=2)*ceee_taux_2enf_ga+(H$99=3)*ceee_taux_3enf_ga+(H$99=4)*ceee_taux_4enf_ga+(H$99=5)*ceee_taux_5enf_ga+(H$99=6)*ceee_taux_6enf_ga)*MAX(H$14-ceee_abat,0)),
IF(H$14&gt;=ceee_inter_seuil2,
(MIN(H$99*((H$99=1)*ceeeb_taux_1enf_ga+(H$99=2)*ceeeb_taux_2enf_ga+(H$99=3)*ceeeb_taux_3enf_ga+(H$99=4)*ceeeb_taux_4enf_ga+(H$99=5)*ceeeb_taux_5enf_ga+(H$99=6)*ceeeb_taux_6enf_ga)*H$14,H$14-ceeeb_reste_à_vivre)),
(H$99*((H$99=1)*ceeeb_taux_1enf_ga+(H$99=2)*ceeeb_taux_2enf_ga+(H$99=3)*ceeeb_taux_3enf_ga+(H$99=4)*ceeeb_taux_4enf_ga+(H$99=5)*ceeeb_taux_5enf_ga+(H$99=6)*ceeeb_taux_6enf_ga))*(ceee_inter_coef*H$14+(1-ceee_inter_coef)*ceee_inter_seuil2)
))
),0)*(H$14&gt;=700)</f>
        <v>0</v>
      </c>
      <c r="I52" s="340">
        <f>(I$3="isolé")*IF(I$13="pg",(
(I$16=2010)*(I$99*((I$99=1)*ceee_taux_1enf+(I$99=2)*ceee_taux_2enf+(I$99=3)*ceee_taux_3enf+(I$99=4)*ceee_taux_4enf+(I$99=5)*ceee_taux_5enf+(I$99=6)*ceee_taux_6enf)*MAX(I$14-ceee_abat,0))
+(I$16=2018)*MAX(0,(MIN(I$99*((I$99=1)*ceeeb_taux_1enf+(I$99=2)*ceeeb_taux_2enf+(I$99=3)*ceeeb_taux_3enf+(I$99=4)*ceeeb_taux_4enf+(I$99=5)*ceeeb_taux_5enf+(I$99=6)*ceeeb_taux_6enf)*I$14,I$14-ceeeb_reste_à_vivre)))
+(I$16="inter")*IF(I$14&lt;=ceee_inter_seuil1,
(I$99*((I$99=1)*ceee_taux_1enf+(I$99=2)*ceee_taux_2enf+(I$99=3)*ceee_taux_3enf+(I$99=4)*ceee_taux_4enf+(I$99=5)*ceee_taux_5enf+(I$99=6)*ceee_taux_6enf)*MAX(I$14-ceee_abat,0)),
IF(I$14&gt;=ceee_inter_seuil2,
(MIN(I$99*((I$99=1)*ceeeb_taux_1enf+(I$99=2)*ceeeb_taux_2enf+(I$99=3)*ceeeb_taux_3enf+(I$99=4)*ceeeb_taux_4enf+(I$99=5)*ceeeb_taux_5enf+(I$99=6)*ceeeb_taux_6enf)*I$14,I$14-ceeeb_reste_à_vivre)),
(I$99*((I$99=1)*ceeeb_taux_1enf+(I$99=2)*ceeeb_taux_2enf+(I$99=3)*ceeeb_taux_3enf+(I$99=4)*ceeeb_taux_4enf+(I$99=5)*ceeeb_taux_5enf+(I$99=6)*ceeeb_taux_6enf))*(ceee_inter_coef*I$14+(1-ceee_inter_coef)*ceee_inter_seuil2)
))
),0)*(I$14&gt;=700)
+(I$3="isolé")*IF(I$13="ga_m",(
(I$16=2010)*(I$99*((I$99=1)*ceee_taux_1enf_ga+(I$99=2)*ceee_taux_2enf_ga+(I$99=3)*ceee_taux_3enf_ga+(I$99=4)*ceee_taux_4enf_ga+(I$99=5)*ceee_taux_5enf_ga+(I$99=6)*ceee_taux_6enf_ga)*MAX(I$14-ceee_abat,0))
+(I$16=2018)*MAX(0,(MIN(I$99*((I$99=1)*ceeeb_taux_1enf_ga+(I$99=2)*ceeeb_taux_2enf_ga+(I$99=3)*ceeeb_taux_3enf_ga+(I$99=4)*ceeeb_taux_4enf_ga+(I$99=5)*ceeeb_taux_5enf_ga+(I$99=6)*ceeeb_taux_6enf_ga)*I$14,I$14-ceeeb_reste_à_vivre)))
+(I$16="inter")*IF(I$14&lt;=ceee_inter_seuil1,
(I$99*((I$99=1)*ceee_taux_1enf_ga+(I$99=2)*ceee_taux_2enf_ga+(I$99=3)*ceee_taux_3enf_ga+(I$99=4)*ceee_taux_4enf_ga+(I$99=5)*ceee_taux_5enf_ga+(I$99=6)*ceee_taux_6enf_ga)*MAX(I$14-ceee_abat,0)),
IF(I$14&gt;=ceee_inter_seuil2,
(MIN(I$99*((I$99=1)*ceeeb_taux_1enf_ga+(I$99=2)*ceeeb_taux_2enf_ga+(I$99=3)*ceeeb_taux_3enf_ga+(I$99=4)*ceeeb_taux_4enf_ga+(I$99=5)*ceeeb_taux_5enf_ga+(I$99=6)*ceeeb_taux_6enf_ga)*I$14,I$14-ceeeb_reste_à_vivre)),
(I$99*((I$99=1)*ceeeb_taux_1enf_ga+(I$99=2)*ceeeb_taux_2enf_ga+(I$99=3)*ceeeb_taux_3enf_ga+(I$99=4)*ceeeb_taux_4enf_ga+(I$99=5)*ceeeb_taux_5enf_ga+(I$99=6)*ceeeb_taux_6enf_ga))*(ceee_inter_coef*I$14+(1-ceee_inter_coef)*ceee_inter_seuil2)
))
),0)*(I$14&gt;=700)</f>
        <v>0</v>
      </c>
      <c r="J52" s="340">
        <f>(J$3="isolé")*IF(J$13="pg",(
(J$16=2010)*(J$99*((J$99=1)*ceee_taux_1enf+(J$99=2)*ceee_taux_2enf+(J$99=3)*ceee_taux_3enf+(J$99=4)*ceee_taux_4enf+(J$99=5)*ceee_taux_5enf+(J$99=6)*ceee_taux_6enf)*MAX(J$14-ceee_abat,0))
+(J$16=2018)*MAX(0,(MIN(J$99*((J$99=1)*ceeeb_taux_1enf+(J$99=2)*ceeeb_taux_2enf+(J$99=3)*ceeeb_taux_3enf+(J$99=4)*ceeeb_taux_4enf+(J$99=5)*ceeeb_taux_5enf+(J$99=6)*ceeeb_taux_6enf)*J$14,J$14-ceeeb_reste_à_vivre)))
+(J$16="inter")*IF(J$14&lt;=ceee_inter_seuil1,
(J$99*((J$99=1)*ceee_taux_1enf+(J$99=2)*ceee_taux_2enf+(J$99=3)*ceee_taux_3enf+(J$99=4)*ceee_taux_4enf+(J$99=5)*ceee_taux_5enf+(J$99=6)*ceee_taux_6enf)*MAX(J$14-ceee_abat,0)),
IF(J$14&gt;=ceee_inter_seuil2,
(MIN(J$99*((J$99=1)*ceeeb_taux_1enf+(J$99=2)*ceeeb_taux_2enf+(J$99=3)*ceeeb_taux_3enf+(J$99=4)*ceeeb_taux_4enf+(J$99=5)*ceeeb_taux_5enf+(J$99=6)*ceeeb_taux_6enf)*J$14,J$14-ceeeb_reste_à_vivre)),
(J$99*((J$99=1)*ceeeb_taux_1enf+(J$99=2)*ceeeb_taux_2enf+(J$99=3)*ceeeb_taux_3enf+(J$99=4)*ceeeb_taux_4enf+(J$99=5)*ceeeb_taux_5enf+(J$99=6)*ceeeb_taux_6enf))*(ceee_inter_coef*J$14+(1-ceee_inter_coef)*ceee_inter_seuil2)
))
),0)*(J$14&gt;=700)
+(J$3="isolé")*IF(J$13="ga_m",(
(J$16=2010)*(J$99*((J$99=1)*ceee_taux_1enf_ga+(J$99=2)*ceee_taux_2enf_ga+(J$99=3)*ceee_taux_3enf_ga+(J$99=4)*ceee_taux_4enf_ga+(J$99=5)*ceee_taux_5enf_ga+(J$99=6)*ceee_taux_6enf_ga)*MAX(J$14-ceee_abat,0))
+(J$16=2018)*MAX(0,(MIN(J$99*((J$99=1)*ceeeb_taux_1enf_ga+(J$99=2)*ceeeb_taux_2enf_ga+(J$99=3)*ceeeb_taux_3enf_ga+(J$99=4)*ceeeb_taux_4enf_ga+(J$99=5)*ceeeb_taux_5enf_ga+(J$99=6)*ceeeb_taux_6enf_ga)*J$14,J$14-ceeeb_reste_à_vivre)))
+(J$16="inter")*IF(J$14&lt;=ceee_inter_seuil1,
(J$99*((J$99=1)*ceee_taux_1enf_ga+(J$99=2)*ceee_taux_2enf_ga+(J$99=3)*ceee_taux_3enf_ga+(J$99=4)*ceee_taux_4enf_ga+(J$99=5)*ceee_taux_5enf_ga+(J$99=6)*ceee_taux_6enf_ga)*MAX(J$14-ceee_abat,0)),
IF(J$14&gt;=ceee_inter_seuil2,
(MIN(J$99*((J$99=1)*ceeeb_taux_1enf_ga+(J$99=2)*ceeeb_taux_2enf_ga+(J$99=3)*ceeeb_taux_3enf_ga+(J$99=4)*ceeeb_taux_4enf_ga+(J$99=5)*ceeeb_taux_5enf_ga+(J$99=6)*ceeeb_taux_6enf_ga)*J$14,J$14-ceeeb_reste_à_vivre)),
(J$99*((J$99=1)*ceeeb_taux_1enf_ga+(J$99=2)*ceeeb_taux_2enf_ga+(J$99=3)*ceeeb_taux_3enf_ga+(J$99=4)*ceeeb_taux_4enf_ga+(J$99=5)*ceeeb_taux_5enf_ga+(J$99=6)*ceeeb_taux_6enf_ga))*(ceee_inter_coef*J$14+(1-ceee_inter_coef)*ceee_inter_seuil2)
))
),0)*(J$14&gt;=700)</f>
        <v>0</v>
      </c>
      <c r="K52" s="340">
        <f>(K$3="isolé")*IF(K$13="pg",(
(K$16=2010)*(K$99*((K$99=1)*ceee_taux_1enf+(K$99=2)*ceee_taux_2enf+(K$99=3)*ceee_taux_3enf+(K$99=4)*ceee_taux_4enf+(K$99=5)*ceee_taux_5enf+(K$99=6)*ceee_taux_6enf)*MAX(K$14-ceee_abat,0))
+(K$16=2018)*MAX(0,(MIN(K$99*((K$99=1)*ceeeb_taux_1enf+(K$99=2)*ceeeb_taux_2enf+(K$99=3)*ceeeb_taux_3enf+(K$99=4)*ceeeb_taux_4enf+(K$99=5)*ceeeb_taux_5enf+(K$99=6)*ceeeb_taux_6enf)*K$14,K$14-ceeeb_reste_à_vivre)))
+(K$16="inter")*IF(K$14&lt;=ceee_inter_seuil1,
(K$99*((K$99=1)*ceee_taux_1enf+(K$99=2)*ceee_taux_2enf+(K$99=3)*ceee_taux_3enf+(K$99=4)*ceee_taux_4enf+(K$99=5)*ceee_taux_5enf+(K$99=6)*ceee_taux_6enf)*MAX(K$14-ceee_abat,0)),
IF(K$14&gt;=ceee_inter_seuil2,
(MIN(K$99*((K$99=1)*ceeeb_taux_1enf+(K$99=2)*ceeeb_taux_2enf+(K$99=3)*ceeeb_taux_3enf+(K$99=4)*ceeeb_taux_4enf+(K$99=5)*ceeeb_taux_5enf+(K$99=6)*ceeeb_taux_6enf)*K$14,K$14-ceeeb_reste_à_vivre)),
(K$99*((K$99=1)*ceeeb_taux_1enf+(K$99=2)*ceeeb_taux_2enf+(K$99=3)*ceeeb_taux_3enf+(K$99=4)*ceeeb_taux_4enf+(K$99=5)*ceeeb_taux_5enf+(K$99=6)*ceeeb_taux_6enf))*(ceee_inter_coef*K$14+(1-ceee_inter_coef)*ceee_inter_seuil2)
))
),0)*(K$14&gt;=700)
+(K$3="isolé")*IF(K$13="ga_m",(
(K$16=2010)*(K$99*((K$99=1)*ceee_taux_1enf_ga+(K$99=2)*ceee_taux_2enf_ga+(K$99=3)*ceee_taux_3enf_ga+(K$99=4)*ceee_taux_4enf_ga+(K$99=5)*ceee_taux_5enf_ga+(K$99=6)*ceee_taux_6enf_ga)*MAX(K$14-ceee_abat,0))
+(K$16=2018)*MAX(0,(MIN(K$99*((K$99=1)*ceeeb_taux_1enf_ga+(K$99=2)*ceeeb_taux_2enf_ga+(K$99=3)*ceeeb_taux_3enf_ga+(K$99=4)*ceeeb_taux_4enf_ga+(K$99=5)*ceeeb_taux_5enf_ga+(K$99=6)*ceeeb_taux_6enf_ga)*K$14,K$14-ceeeb_reste_à_vivre)))
+(K$16="inter")*IF(K$14&lt;=ceee_inter_seuil1,
(K$99*((K$99=1)*ceee_taux_1enf_ga+(K$99=2)*ceee_taux_2enf_ga+(K$99=3)*ceee_taux_3enf_ga+(K$99=4)*ceee_taux_4enf_ga+(K$99=5)*ceee_taux_5enf_ga+(K$99=6)*ceee_taux_6enf_ga)*MAX(K$14-ceee_abat,0)),
IF(K$14&gt;=ceee_inter_seuil2,
(MIN(K$99*((K$99=1)*ceeeb_taux_1enf_ga+(K$99=2)*ceeeb_taux_2enf_ga+(K$99=3)*ceeeb_taux_3enf_ga+(K$99=4)*ceeeb_taux_4enf_ga+(K$99=5)*ceeeb_taux_5enf_ga+(K$99=6)*ceeeb_taux_6enf_ga)*K$14,K$14-ceeeb_reste_à_vivre)),
(K$99*((K$99=1)*ceeeb_taux_1enf_ga+(K$99=2)*ceeeb_taux_2enf_ga+(K$99=3)*ceeeb_taux_3enf_ga+(K$99=4)*ceeeb_taux_4enf_ga+(K$99=5)*ceeeb_taux_5enf_ga+(K$99=6)*ceeeb_taux_6enf_ga))*(ceee_inter_coef*K$14+(1-ceee_inter_coef)*ceee_inter_seuil2)
))
),0)*(K$14&gt;=700)</f>
        <v>0</v>
      </c>
      <c r="M52" s="340">
        <f>(M$3="isolé")*IF(M$13="pg",(
(M$16=2010)*(M$99*((M$99=1)*ceee_taux_1enf+(M$99=2)*ceee_taux_2enf+(M$99=3)*ceee_taux_3enf+(M$99=4)*ceee_taux_4enf+(M$99=5)*ceee_taux_5enf+(M$99=6)*ceee_taux_6enf)*MAX(M$14-ceee_abat,0))
+(M$16=2018)*MAX(0,(MIN(M$99*((M$99=1)*ceeeb_taux_1enf+(M$99=2)*ceeeb_taux_2enf+(M$99=3)*ceeeb_taux_3enf+(M$99=4)*ceeeb_taux_4enf+(M$99=5)*ceeeb_taux_5enf+(M$99=6)*ceeeb_taux_6enf)*M$14,M$14-ceeeb_reste_à_vivre)))
+(M$16="inter")*IF(M$14&lt;=ceee_inter_seuil1,
(M$99*((M$99=1)*ceee_taux_1enf+(M$99=2)*ceee_taux_2enf+(M$99=3)*ceee_taux_3enf+(M$99=4)*ceee_taux_4enf+(M$99=5)*ceee_taux_5enf+(M$99=6)*ceee_taux_6enf)*MAX(M$14-ceee_abat,0)),
IF(M$14&gt;=ceee_inter_seuil2,
(MIN(M$99*((M$99=1)*ceeeb_taux_1enf+(M$99=2)*ceeeb_taux_2enf+(M$99=3)*ceeeb_taux_3enf+(M$99=4)*ceeeb_taux_4enf+(M$99=5)*ceeeb_taux_5enf+(M$99=6)*ceeeb_taux_6enf)*M$14,M$14-ceeeb_reste_à_vivre)),
(M$99*((M$99=1)*ceeeb_taux_1enf+(M$99=2)*ceeeb_taux_2enf+(M$99=3)*ceeeb_taux_3enf+(M$99=4)*ceeeb_taux_4enf+(M$99=5)*ceeeb_taux_5enf+(M$99=6)*ceeeb_taux_6enf))*(ceee_inter_coef*M$14+(1-ceee_inter_coef)*ceee_inter_seuil2)
))
),0)*(M$14&gt;=700)
+(M$3="isolé")*IF(M$13="ga_m",(
(M$16=2010)*(M$99*((M$99=1)*ceee_taux_1enf_ga+(M$99=2)*ceee_taux_2enf_ga+(M$99=3)*ceee_taux_3enf_ga+(M$99=4)*ceee_taux_4enf_ga+(M$99=5)*ceee_taux_5enf_ga+(M$99=6)*ceee_taux_6enf_ga)*MAX(M$14-ceee_abat,0))
+(M$16=2018)*MAX(0,(MIN(M$99*((M$99=1)*ceeeb_taux_1enf_ga+(M$99=2)*ceeeb_taux_2enf_ga+(M$99=3)*ceeeb_taux_3enf_ga+(M$99=4)*ceeeb_taux_4enf_ga+(M$99=5)*ceeeb_taux_5enf_ga+(M$99=6)*ceeeb_taux_6enf_ga)*M$14,M$14-ceeeb_reste_à_vivre)))
+(M$16="inter")*IF(M$14&lt;=ceee_inter_seuil1,
(M$99*((M$99=1)*ceee_taux_1enf_ga+(M$99=2)*ceee_taux_2enf_ga+(M$99=3)*ceee_taux_3enf_ga+(M$99=4)*ceee_taux_4enf_ga+(M$99=5)*ceee_taux_5enf_ga+(M$99=6)*ceee_taux_6enf_ga)*MAX(M$14-ceee_abat,0)),
IF(M$14&gt;=ceee_inter_seuil2,
(MIN(M$99*((M$99=1)*ceeeb_taux_1enf_ga+(M$99=2)*ceeeb_taux_2enf_ga+(M$99=3)*ceeeb_taux_3enf_ga+(M$99=4)*ceeeb_taux_4enf_ga+(M$99=5)*ceeeb_taux_5enf_ga+(M$99=6)*ceeeb_taux_6enf_ga)*M$14,M$14-ceeeb_reste_à_vivre)),
(M$99*((M$99=1)*ceeeb_taux_1enf_ga+(M$99=2)*ceeeb_taux_2enf_ga+(M$99=3)*ceeeb_taux_3enf_ga+(M$99=4)*ceeeb_taux_4enf_ga+(M$99=5)*ceeeb_taux_5enf_ga+(M$99=6)*ceeeb_taux_6enf_ga))*(ceee_inter_coef*M$14+(1-ceee_inter_coef)*ceee_inter_seuil2)
))
),0)*(M$14&gt;=700)</f>
        <v>0</v>
      </c>
      <c r="N52" s="340">
        <f>(N$3="isolé")*IF(N$13="pg",(
(N$16=2010)*(N$99*((N$99=1)*ceee_taux_1enf+(N$99=2)*ceee_taux_2enf+(N$99=3)*ceee_taux_3enf+(N$99=4)*ceee_taux_4enf+(N$99=5)*ceee_taux_5enf+(N$99=6)*ceee_taux_6enf)*MAX(N$14-ceee_abat,0))
+(N$16=2018)*MAX(0,(MIN(N$99*((N$99=1)*ceeeb_taux_1enf+(N$99=2)*ceeeb_taux_2enf+(N$99=3)*ceeeb_taux_3enf+(N$99=4)*ceeeb_taux_4enf+(N$99=5)*ceeeb_taux_5enf+(N$99=6)*ceeeb_taux_6enf)*N$14,N$14-ceeeb_reste_à_vivre)))
+(N$16="inter")*IF(N$14&lt;=ceee_inter_seuil1,
(N$99*((N$99=1)*ceee_taux_1enf+(N$99=2)*ceee_taux_2enf+(N$99=3)*ceee_taux_3enf+(N$99=4)*ceee_taux_4enf+(N$99=5)*ceee_taux_5enf+(N$99=6)*ceee_taux_6enf)*MAX(N$14-ceee_abat,0)),
IF(N$14&gt;=ceee_inter_seuil2,
(MIN(N$99*((N$99=1)*ceeeb_taux_1enf+(N$99=2)*ceeeb_taux_2enf+(N$99=3)*ceeeb_taux_3enf+(N$99=4)*ceeeb_taux_4enf+(N$99=5)*ceeeb_taux_5enf+(N$99=6)*ceeeb_taux_6enf)*N$14,N$14-ceeeb_reste_à_vivre)),
(N$99*((N$99=1)*ceeeb_taux_1enf+(N$99=2)*ceeeb_taux_2enf+(N$99=3)*ceeeb_taux_3enf+(N$99=4)*ceeeb_taux_4enf+(N$99=5)*ceeeb_taux_5enf+(N$99=6)*ceeeb_taux_6enf))*(ceee_inter_coef*N$14+(1-ceee_inter_coef)*ceee_inter_seuil2)
))
),0)*(N$14&gt;=700)
+(N$3="isolé")*IF(N$13="ga_m",(
(N$16=2010)*(N$99*((N$99=1)*ceee_taux_1enf_ga+(N$99=2)*ceee_taux_2enf_ga+(N$99=3)*ceee_taux_3enf_ga+(N$99=4)*ceee_taux_4enf_ga+(N$99=5)*ceee_taux_5enf_ga+(N$99=6)*ceee_taux_6enf_ga)*MAX(N$14-ceee_abat,0))
+(N$16=2018)*MAX(0,(MIN(N$99*((N$99=1)*ceeeb_taux_1enf_ga+(N$99=2)*ceeeb_taux_2enf_ga+(N$99=3)*ceeeb_taux_3enf_ga+(N$99=4)*ceeeb_taux_4enf_ga+(N$99=5)*ceeeb_taux_5enf_ga+(N$99=6)*ceeeb_taux_6enf_ga)*N$14,N$14-ceeeb_reste_à_vivre)))
+(N$16="inter")*IF(N$14&lt;=ceee_inter_seuil1,
(N$99*((N$99=1)*ceee_taux_1enf_ga+(N$99=2)*ceee_taux_2enf_ga+(N$99=3)*ceee_taux_3enf_ga+(N$99=4)*ceee_taux_4enf_ga+(N$99=5)*ceee_taux_5enf_ga+(N$99=6)*ceee_taux_6enf_ga)*MAX(N$14-ceee_abat,0)),
IF(N$14&gt;=ceee_inter_seuil2,
(MIN(N$99*((N$99=1)*ceeeb_taux_1enf_ga+(N$99=2)*ceeeb_taux_2enf_ga+(N$99=3)*ceeeb_taux_3enf_ga+(N$99=4)*ceeeb_taux_4enf_ga+(N$99=5)*ceeeb_taux_5enf_ga+(N$99=6)*ceeeb_taux_6enf_ga)*N$14,N$14-ceeeb_reste_à_vivre)),
(N$99*((N$99=1)*ceeeb_taux_1enf_ga+(N$99=2)*ceeeb_taux_2enf_ga+(N$99=3)*ceeeb_taux_3enf_ga+(N$99=4)*ceeeb_taux_4enf_ga+(N$99=5)*ceeeb_taux_5enf_ga+(N$99=6)*ceeeb_taux_6enf_ga))*(ceee_inter_coef*N$14+(1-ceee_inter_coef)*ceee_inter_seuil2)
))
),0)*(N$14&gt;=700)</f>
        <v>0</v>
      </c>
      <c r="O52" s="340">
        <f>(O$3="isolé")*IF(O$13="pg",(
(O$16=2010)*(O$99*((O$99=1)*ceee_taux_1enf+(O$99=2)*ceee_taux_2enf+(O$99=3)*ceee_taux_3enf+(O$99=4)*ceee_taux_4enf+(O$99=5)*ceee_taux_5enf+(O$99=6)*ceee_taux_6enf)*MAX(O$14-ceee_abat,0))
+(O$16=2018)*MAX(0,(MIN(O$99*((O$99=1)*ceeeb_taux_1enf+(O$99=2)*ceeeb_taux_2enf+(O$99=3)*ceeeb_taux_3enf+(O$99=4)*ceeeb_taux_4enf+(O$99=5)*ceeeb_taux_5enf+(O$99=6)*ceeeb_taux_6enf)*O$14,O$14-ceeeb_reste_à_vivre)))
+(O$16="inter")*IF(O$14&lt;=ceee_inter_seuil1,
(O$99*((O$99=1)*ceee_taux_1enf+(O$99=2)*ceee_taux_2enf+(O$99=3)*ceee_taux_3enf+(O$99=4)*ceee_taux_4enf+(O$99=5)*ceee_taux_5enf+(O$99=6)*ceee_taux_6enf)*MAX(O$14-ceee_abat,0)),
IF(O$14&gt;=ceee_inter_seuil2,
(MIN(O$99*((O$99=1)*ceeeb_taux_1enf+(O$99=2)*ceeeb_taux_2enf+(O$99=3)*ceeeb_taux_3enf+(O$99=4)*ceeeb_taux_4enf+(O$99=5)*ceeeb_taux_5enf+(O$99=6)*ceeeb_taux_6enf)*O$14,O$14-ceeeb_reste_à_vivre)),
(O$99*((O$99=1)*ceeeb_taux_1enf+(O$99=2)*ceeeb_taux_2enf+(O$99=3)*ceeeb_taux_3enf+(O$99=4)*ceeeb_taux_4enf+(O$99=5)*ceeeb_taux_5enf+(O$99=6)*ceeeb_taux_6enf))*(ceee_inter_coef*O$14+(1-ceee_inter_coef)*ceee_inter_seuil2)
))
),0)*(O$14&gt;=700)
+(O$3="isolé")*IF(O$13="ga_m",(
(O$16=2010)*(O$99*((O$99=1)*ceee_taux_1enf_ga+(O$99=2)*ceee_taux_2enf_ga+(O$99=3)*ceee_taux_3enf_ga+(O$99=4)*ceee_taux_4enf_ga+(O$99=5)*ceee_taux_5enf_ga+(O$99=6)*ceee_taux_6enf_ga)*MAX(O$14-ceee_abat,0))
+(O$16=2018)*MAX(0,(MIN(O$99*((O$99=1)*ceeeb_taux_1enf_ga+(O$99=2)*ceeeb_taux_2enf_ga+(O$99=3)*ceeeb_taux_3enf_ga+(O$99=4)*ceeeb_taux_4enf_ga+(O$99=5)*ceeeb_taux_5enf_ga+(O$99=6)*ceeeb_taux_6enf_ga)*O$14,O$14-ceeeb_reste_à_vivre)))
+(O$16="inter")*IF(O$14&lt;=ceee_inter_seuil1,
(O$99*((O$99=1)*ceee_taux_1enf_ga+(O$99=2)*ceee_taux_2enf_ga+(O$99=3)*ceee_taux_3enf_ga+(O$99=4)*ceee_taux_4enf_ga+(O$99=5)*ceee_taux_5enf_ga+(O$99=6)*ceee_taux_6enf_ga)*MAX(O$14-ceee_abat,0)),
IF(O$14&gt;=ceee_inter_seuil2,
(MIN(O$99*((O$99=1)*ceeeb_taux_1enf_ga+(O$99=2)*ceeeb_taux_2enf_ga+(O$99=3)*ceeeb_taux_3enf_ga+(O$99=4)*ceeeb_taux_4enf_ga+(O$99=5)*ceeeb_taux_5enf_ga+(O$99=6)*ceeeb_taux_6enf_ga)*O$14,O$14-ceeeb_reste_à_vivre)),
(O$99*((O$99=1)*ceeeb_taux_1enf_ga+(O$99=2)*ceeeb_taux_2enf_ga+(O$99=3)*ceeeb_taux_3enf_ga+(O$99=4)*ceeeb_taux_4enf_ga+(O$99=5)*ceeeb_taux_5enf_ga+(O$99=6)*ceeeb_taux_6enf_ga))*(ceee_inter_coef*O$14+(1-ceee_inter_coef)*ceee_inter_seuil2)
))
),0)*(O$14&gt;=700)</f>
        <v>0</v>
      </c>
      <c r="P52" s="340">
        <f>(P$3="isolé")*IF(P$13="pg",(
(P$16=2010)*(P$99*((P$99=1)*ceee_taux_1enf+(P$99=2)*ceee_taux_2enf+(P$99=3)*ceee_taux_3enf+(P$99=4)*ceee_taux_4enf+(P$99=5)*ceee_taux_5enf+(P$99=6)*ceee_taux_6enf)*MAX(P$14-ceee_abat,0))
+(P$16=2018)*MAX(0,(MIN(P$99*((P$99=1)*ceeeb_taux_1enf+(P$99=2)*ceeeb_taux_2enf+(P$99=3)*ceeeb_taux_3enf+(P$99=4)*ceeeb_taux_4enf+(P$99=5)*ceeeb_taux_5enf+(P$99=6)*ceeeb_taux_6enf)*P$14,P$14-ceeeb_reste_à_vivre)))
+(P$16="inter")*IF(P$14&lt;=ceee_inter_seuil1,
(P$99*((P$99=1)*ceee_taux_1enf+(P$99=2)*ceee_taux_2enf+(P$99=3)*ceee_taux_3enf+(P$99=4)*ceee_taux_4enf+(P$99=5)*ceee_taux_5enf+(P$99=6)*ceee_taux_6enf)*MAX(P$14-ceee_abat,0)),
IF(P$14&gt;=ceee_inter_seuil2,
(MIN(P$99*((P$99=1)*ceeeb_taux_1enf+(P$99=2)*ceeeb_taux_2enf+(P$99=3)*ceeeb_taux_3enf+(P$99=4)*ceeeb_taux_4enf+(P$99=5)*ceeeb_taux_5enf+(P$99=6)*ceeeb_taux_6enf)*P$14,P$14-ceeeb_reste_à_vivre)),
(P$99*((P$99=1)*ceeeb_taux_1enf+(P$99=2)*ceeeb_taux_2enf+(P$99=3)*ceeeb_taux_3enf+(P$99=4)*ceeeb_taux_4enf+(P$99=5)*ceeeb_taux_5enf+(P$99=6)*ceeeb_taux_6enf))*(ceee_inter_coef*P$14+(1-ceee_inter_coef)*ceee_inter_seuil2)
))
),0)*(P$14&gt;=700)
+(P$3="isolé")*IF(P$13="ga_m",(
(P$16=2010)*(P$99*((P$99=1)*ceee_taux_1enf_ga+(P$99=2)*ceee_taux_2enf_ga+(P$99=3)*ceee_taux_3enf_ga+(P$99=4)*ceee_taux_4enf_ga+(P$99=5)*ceee_taux_5enf_ga+(P$99=6)*ceee_taux_6enf_ga)*MAX(P$14-ceee_abat,0))
+(P$16=2018)*MAX(0,(MIN(P$99*((P$99=1)*ceeeb_taux_1enf_ga+(P$99=2)*ceeeb_taux_2enf_ga+(P$99=3)*ceeeb_taux_3enf_ga+(P$99=4)*ceeeb_taux_4enf_ga+(P$99=5)*ceeeb_taux_5enf_ga+(P$99=6)*ceeeb_taux_6enf_ga)*P$14,P$14-ceeeb_reste_à_vivre)))
+(P$16="inter")*IF(P$14&lt;=ceee_inter_seuil1,
(P$99*((P$99=1)*ceee_taux_1enf_ga+(P$99=2)*ceee_taux_2enf_ga+(P$99=3)*ceee_taux_3enf_ga+(P$99=4)*ceee_taux_4enf_ga+(P$99=5)*ceee_taux_5enf_ga+(P$99=6)*ceee_taux_6enf_ga)*MAX(P$14-ceee_abat,0)),
IF(P$14&gt;=ceee_inter_seuil2,
(MIN(P$99*((P$99=1)*ceeeb_taux_1enf_ga+(P$99=2)*ceeeb_taux_2enf_ga+(P$99=3)*ceeeb_taux_3enf_ga+(P$99=4)*ceeeb_taux_4enf_ga+(P$99=5)*ceeeb_taux_5enf_ga+(P$99=6)*ceeeb_taux_6enf_ga)*P$14,P$14-ceeeb_reste_à_vivre)),
(P$99*((P$99=1)*ceeeb_taux_1enf_ga+(P$99=2)*ceeeb_taux_2enf_ga+(P$99=3)*ceeeb_taux_3enf_ga+(P$99=4)*ceeeb_taux_4enf_ga+(P$99=5)*ceeeb_taux_5enf_ga+(P$99=6)*ceeeb_taux_6enf_ga))*(ceee_inter_coef*P$14+(1-ceee_inter_coef)*ceee_inter_seuil2)
))
),0)*(P$14&gt;=700)</f>
        <v>0</v>
      </c>
      <c r="R52" s="340">
        <f>(R$3="isolé")*IF(R$13="pg",(
(R$16=2010)*(R$99*((R$99=1)*ceee_taux_1enf+(R$99=2)*ceee_taux_2enf+(R$99=3)*ceee_taux_3enf+(R$99=4)*ceee_taux_4enf+(R$99=5)*ceee_taux_5enf+(R$99=6)*ceee_taux_6enf)*MAX(R$14-ceee_abat,0))
+(R$16=2018)*MAX(0,(MIN(R$99*((R$99=1)*ceeeb_taux_1enf+(R$99=2)*ceeeb_taux_2enf+(R$99=3)*ceeeb_taux_3enf+(R$99=4)*ceeeb_taux_4enf+(R$99=5)*ceeeb_taux_5enf+(R$99=6)*ceeeb_taux_6enf)*R$14,R$14-ceeeb_reste_à_vivre)))
+(R$16="inter")*IF(R$14&lt;=ceee_inter_seuil1,
(R$99*((R$99=1)*ceee_taux_1enf+(R$99=2)*ceee_taux_2enf+(R$99=3)*ceee_taux_3enf+(R$99=4)*ceee_taux_4enf+(R$99=5)*ceee_taux_5enf+(R$99=6)*ceee_taux_6enf)*MAX(R$14-ceee_abat,0)),
IF(R$14&gt;=ceee_inter_seuil2,
(MIN(R$99*((R$99=1)*ceeeb_taux_1enf+(R$99=2)*ceeeb_taux_2enf+(R$99=3)*ceeeb_taux_3enf+(R$99=4)*ceeeb_taux_4enf+(R$99=5)*ceeeb_taux_5enf+(R$99=6)*ceeeb_taux_6enf)*R$14,R$14-ceeeb_reste_à_vivre)),
(R$99*((R$99=1)*ceeeb_taux_1enf+(R$99=2)*ceeeb_taux_2enf+(R$99=3)*ceeeb_taux_3enf+(R$99=4)*ceeeb_taux_4enf+(R$99=5)*ceeeb_taux_5enf+(R$99=6)*ceeeb_taux_6enf))*(ceee_inter_coef*R$14+(1-ceee_inter_coef)*ceee_inter_seuil2)
))
),0)*(R$14&gt;=700)
+(R$3="isolé")*IF(R$13="ga_m",(
(R$16=2010)*(R$99*((R$99=1)*ceee_taux_1enf_ga+(R$99=2)*ceee_taux_2enf_ga+(R$99=3)*ceee_taux_3enf_ga+(R$99=4)*ceee_taux_4enf_ga+(R$99=5)*ceee_taux_5enf_ga+(R$99=6)*ceee_taux_6enf_ga)*MAX(R$14-ceee_abat,0))
+(R$16=2018)*MAX(0,(MIN(R$99*((R$99=1)*ceeeb_taux_1enf_ga+(R$99=2)*ceeeb_taux_2enf_ga+(R$99=3)*ceeeb_taux_3enf_ga+(R$99=4)*ceeeb_taux_4enf_ga+(R$99=5)*ceeeb_taux_5enf_ga+(R$99=6)*ceeeb_taux_6enf_ga)*R$14,R$14-ceeeb_reste_à_vivre)))
+(R$16="inter")*IF(R$14&lt;=ceee_inter_seuil1,
(R$99*((R$99=1)*ceee_taux_1enf_ga+(R$99=2)*ceee_taux_2enf_ga+(R$99=3)*ceee_taux_3enf_ga+(R$99=4)*ceee_taux_4enf_ga+(R$99=5)*ceee_taux_5enf_ga+(R$99=6)*ceee_taux_6enf_ga)*MAX(R$14-ceee_abat,0)),
IF(R$14&gt;=ceee_inter_seuil2,
(MIN(R$99*((R$99=1)*ceeeb_taux_1enf_ga+(R$99=2)*ceeeb_taux_2enf_ga+(R$99=3)*ceeeb_taux_3enf_ga+(R$99=4)*ceeeb_taux_4enf_ga+(R$99=5)*ceeeb_taux_5enf_ga+(R$99=6)*ceeeb_taux_6enf_ga)*R$14,R$14-ceeeb_reste_à_vivre)),
(R$99*((R$99=1)*ceeeb_taux_1enf_ga+(R$99=2)*ceeeb_taux_2enf_ga+(R$99=3)*ceeeb_taux_3enf_ga+(R$99=4)*ceeeb_taux_4enf_ga+(R$99=5)*ceeeb_taux_5enf_ga+(R$99=6)*ceeeb_taux_6enf_ga))*(ceee_inter_coef*R$14+(1-ceee_inter_coef)*ceee_inter_seuil2)
))
),0)*(R$14&gt;=700)</f>
        <v>0</v>
      </c>
      <c r="S52" s="340">
        <f>(S$3="isolé")*IF(S$13="pg",(
(S$16=2010)*(S$99*((S$99=1)*ceee_taux_1enf+(S$99=2)*ceee_taux_2enf+(S$99=3)*ceee_taux_3enf+(S$99=4)*ceee_taux_4enf+(S$99=5)*ceee_taux_5enf+(S$99=6)*ceee_taux_6enf)*MAX(S$14-ceee_abat,0))
+(S$16=2018)*MAX(0,(MIN(S$99*((S$99=1)*ceeeb_taux_1enf+(S$99=2)*ceeeb_taux_2enf+(S$99=3)*ceeeb_taux_3enf+(S$99=4)*ceeeb_taux_4enf+(S$99=5)*ceeeb_taux_5enf+(S$99=6)*ceeeb_taux_6enf)*S$14,S$14-ceeeb_reste_à_vivre)))
+(S$16="inter")*IF(S$14&lt;=ceee_inter_seuil1,
(S$99*((S$99=1)*ceee_taux_1enf+(S$99=2)*ceee_taux_2enf+(S$99=3)*ceee_taux_3enf+(S$99=4)*ceee_taux_4enf+(S$99=5)*ceee_taux_5enf+(S$99=6)*ceee_taux_6enf)*MAX(S$14-ceee_abat,0)),
IF(S$14&gt;=ceee_inter_seuil2,
(MIN(S$99*((S$99=1)*ceeeb_taux_1enf+(S$99=2)*ceeeb_taux_2enf+(S$99=3)*ceeeb_taux_3enf+(S$99=4)*ceeeb_taux_4enf+(S$99=5)*ceeeb_taux_5enf+(S$99=6)*ceeeb_taux_6enf)*S$14,S$14-ceeeb_reste_à_vivre)),
(S$99*((S$99=1)*ceeeb_taux_1enf+(S$99=2)*ceeeb_taux_2enf+(S$99=3)*ceeeb_taux_3enf+(S$99=4)*ceeeb_taux_4enf+(S$99=5)*ceeeb_taux_5enf+(S$99=6)*ceeeb_taux_6enf))*(ceee_inter_coef*S$14+(1-ceee_inter_coef)*ceee_inter_seuil2)
))
),0)*(S$14&gt;=700)
+(S$3="isolé")*IF(S$13="ga_m",(
(S$16=2010)*(S$99*((S$99=1)*ceee_taux_1enf_ga+(S$99=2)*ceee_taux_2enf_ga+(S$99=3)*ceee_taux_3enf_ga+(S$99=4)*ceee_taux_4enf_ga+(S$99=5)*ceee_taux_5enf_ga+(S$99=6)*ceee_taux_6enf_ga)*MAX(S$14-ceee_abat,0))
+(S$16=2018)*MAX(0,(MIN(S$99*((S$99=1)*ceeeb_taux_1enf_ga+(S$99=2)*ceeeb_taux_2enf_ga+(S$99=3)*ceeeb_taux_3enf_ga+(S$99=4)*ceeeb_taux_4enf_ga+(S$99=5)*ceeeb_taux_5enf_ga+(S$99=6)*ceeeb_taux_6enf_ga)*S$14,S$14-ceeeb_reste_à_vivre)))
+(S$16="inter")*IF(S$14&lt;=ceee_inter_seuil1,
(S$99*((S$99=1)*ceee_taux_1enf_ga+(S$99=2)*ceee_taux_2enf_ga+(S$99=3)*ceee_taux_3enf_ga+(S$99=4)*ceee_taux_4enf_ga+(S$99=5)*ceee_taux_5enf_ga+(S$99=6)*ceee_taux_6enf_ga)*MAX(S$14-ceee_abat,0)),
IF(S$14&gt;=ceee_inter_seuil2,
(MIN(S$99*((S$99=1)*ceeeb_taux_1enf_ga+(S$99=2)*ceeeb_taux_2enf_ga+(S$99=3)*ceeeb_taux_3enf_ga+(S$99=4)*ceeeb_taux_4enf_ga+(S$99=5)*ceeeb_taux_5enf_ga+(S$99=6)*ceeeb_taux_6enf_ga)*S$14,S$14-ceeeb_reste_à_vivre)),
(S$99*((S$99=1)*ceeeb_taux_1enf_ga+(S$99=2)*ceeeb_taux_2enf_ga+(S$99=3)*ceeeb_taux_3enf_ga+(S$99=4)*ceeeb_taux_4enf_ga+(S$99=5)*ceeeb_taux_5enf_ga+(S$99=6)*ceeeb_taux_6enf_ga))*(ceee_inter_coef*S$14+(1-ceee_inter_coef)*ceee_inter_seuil2)
))
),0)*(S$14&gt;=700)</f>
        <v>0</v>
      </c>
      <c r="T52" s="340">
        <f>(T$3="isolé")*IF(T$13="pg",(
(T$16=2010)*(T$99*((T$99=1)*ceee_taux_1enf+(T$99=2)*ceee_taux_2enf+(T$99=3)*ceee_taux_3enf+(T$99=4)*ceee_taux_4enf+(T$99=5)*ceee_taux_5enf+(T$99=6)*ceee_taux_6enf)*MAX(T$14-ceee_abat,0))
+(T$16=2018)*MAX(0,(MIN(T$99*((T$99=1)*ceeeb_taux_1enf+(T$99=2)*ceeeb_taux_2enf+(T$99=3)*ceeeb_taux_3enf+(T$99=4)*ceeeb_taux_4enf+(T$99=5)*ceeeb_taux_5enf+(T$99=6)*ceeeb_taux_6enf)*T$14,T$14-ceeeb_reste_à_vivre)))
+(T$16="inter")*IF(T$14&lt;=ceee_inter_seuil1,
(T$99*((T$99=1)*ceee_taux_1enf+(T$99=2)*ceee_taux_2enf+(T$99=3)*ceee_taux_3enf+(T$99=4)*ceee_taux_4enf+(T$99=5)*ceee_taux_5enf+(T$99=6)*ceee_taux_6enf)*MAX(T$14-ceee_abat,0)),
IF(T$14&gt;=ceee_inter_seuil2,
(MIN(T$99*((T$99=1)*ceeeb_taux_1enf+(T$99=2)*ceeeb_taux_2enf+(T$99=3)*ceeeb_taux_3enf+(T$99=4)*ceeeb_taux_4enf+(T$99=5)*ceeeb_taux_5enf+(T$99=6)*ceeeb_taux_6enf)*T$14,T$14-ceeeb_reste_à_vivre)),
(T$99*((T$99=1)*ceeeb_taux_1enf+(T$99=2)*ceeeb_taux_2enf+(T$99=3)*ceeeb_taux_3enf+(T$99=4)*ceeeb_taux_4enf+(T$99=5)*ceeeb_taux_5enf+(T$99=6)*ceeeb_taux_6enf))*(ceee_inter_coef*T$14+(1-ceee_inter_coef)*ceee_inter_seuil2)
))
),0)*(T$14&gt;=700)
+(T$3="isolé")*IF(T$13="ga_m",(
(T$16=2010)*(T$99*((T$99=1)*ceee_taux_1enf_ga+(T$99=2)*ceee_taux_2enf_ga+(T$99=3)*ceee_taux_3enf_ga+(T$99=4)*ceee_taux_4enf_ga+(T$99=5)*ceee_taux_5enf_ga+(T$99=6)*ceee_taux_6enf_ga)*MAX(T$14-ceee_abat,0))
+(T$16=2018)*MAX(0,(MIN(T$99*((T$99=1)*ceeeb_taux_1enf_ga+(T$99=2)*ceeeb_taux_2enf_ga+(T$99=3)*ceeeb_taux_3enf_ga+(T$99=4)*ceeeb_taux_4enf_ga+(T$99=5)*ceeeb_taux_5enf_ga+(T$99=6)*ceeeb_taux_6enf_ga)*T$14,T$14-ceeeb_reste_à_vivre)))
+(T$16="inter")*IF(T$14&lt;=ceee_inter_seuil1,
(T$99*((T$99=1)*ceee_taux_1enf_ga+(T$99=2)*ceee_taux_2enf_ga+(T$99=3)*ceee_taux_3enf_ga+(T$99=4)*ceee_taux_4enf_ga+(T$99=5)*ceee_taux_5enf_ga+(T$99=6)*ceee_taux_6enf_ga)*MAX(T$14-ceee_abat,0)),
IF(T$14&gt;=ceee_inter_seuil2,
(MIN(T$99*((T$99=1)*ceeeb_taux_1enf_ga+(T$99=2)*ceeeb_taux_2enf_ga+(T$99=3)*ceeeb_taux_3enf_ga+(T$99=4)*ceeeb_taux_4enf_ga+(T$99=5)*ceeeb_taux_5enf_ga+(T$99=6)*ceeeb_taux_6enf_ga)*T$14,T$14-ceeeb_reste_à_vivre)),
(T$99*((T$99=1)*ceeeb_taux_1enf_ga+(T$99=2)*ceeeb_taux_2enf_ga+(T$99=3)*ceeeb_taux_3enf_ga+(T$99=4)*ceeeb_taux_4enf_ga+(T$99=5)*ceeeb_taux_5enf_ga+(T$99=6)*ceeeb_taux_6enf_ga))*(ceee_inter_coef*T$14+(1-ceee_inter_coef)*ceee_inter_seuil2)
))
),0)*(T$14&gt;=700)</f>
        <v>0</v>
      </c>
      <c r="U52" s="340">
        <f>(U$3="isolé")*IF(U$13="pg",(
(U$16=2010)*(U$99*((U$99=1)*ceee_taux_1enf+(U$99=2)*ceee_taux_2enf+(U$99=3)*ceee_taux_3enf+(U$99=4)*ceee_taux_4enf+(U$99=5)*ceee_taux_5enf+(U$99=6)*ceee_taux_6enf)*MAX(U$14-ceee_abat,0))
+(U$16=2018)*MAX(0,(MIN(U$99*((U$99=1)*ceeeb_taux_1enf+(U$99=2)*ceeeb_taux_2enf+(U$99=3)*ceeeb_taux_3enf+(U$99=4)*ceeeb_taux_4enf+(U$99=5)*ceeeb_taux_5enf+(U$99=6)*ceeeb_taux_6enf)*U$14,U$14-ceeeb_reste_à_vivre)))
+(U$16="inter")*IF(U$14&lt;=ceee_inter_seuil1,
(U$99*((U$99=1)*ceee_taux_1enf+(U$99=2)*ceee_taux_2enf+(U$99=3)*ceee_taux_3enf+(U$99=4)*ceee_taux_4enf+(U$99=5)*ceee_taux_5enf+(U$99=6)*ceee_taux_6enf)*MAX(U$14-ceee_abat,0)),
IF(U$14&gt;=ceee_inter_seuil2,
(MIN(U$99*((U$99=1)*ceeeb_taux_1enf+(U$99=2)*ceeeb_taux_2enf+(U$99=3)*ceeeb_taux_3enf+(U$99=4)*ceeeb_taux_4enf+(U$99=5)*ceeeb_taux_5enf+(U$99=6)*ceeeb_taux_6enf)*U$14,U$14-ceeeb_reste_à_vivre)),
(U$99*((U$99=1)*ceeeb_taux_1enf+(U$99=2)*ceeeb_taux_2enf+(U$99=3)*ceeeb_taux_3enf+(U$99=4)*ceeeb_taux_4enf+(U$99=5)*ceeeb_taux_5enf+(U$99=6)*ceeeb_taux_6enf))*(ceee_inter_coef*U$14+(1-ceee_inter_coef)*ceee_inter_seuil2)
))
),0)*(U$14&gt;=700)
+(U$3="isolé")*IF(U$13="ga_m",(
(U$16=2010)*(U$99*((U$99=1)*ceee_taux_1enf_ga+(U$99=2)*ceee_taux_2enf_ga+(U$99=3)*ceee_taux_3enf_ga+(U$99=4)*ceee_taux_4enf_ga+(U$99=5)*ceee_taux_5enf_ga+(U$99=6)*ceee_taux_6enf_ga)*MAX(U$14-ceee_abat,0))
+(U$16=2018)*MAX(0,(MIN(U$99*((U$99=1)*ceeeb_taux_1enf_ga+(U$99=2)*ceeeb_taux_2enf_ga+(U$99=3)*ceeeb_taux_3enf_ga+(U$99=4)*ceeeb_taux_4enf_ga+(U$99=5)*ceeeb_taux_5enf_ga+(U$99=6)*ceeeb_taux_6enf_ga)*U$14,U$14-ceeeb_reste_à_vivre)))
+(U$16="inter")*IF(U$14&lt;=ceee_inter_seuil1,
(U$99*((U$99=1)*ceee_taux_1enf_ga+(U$99=2)*ceee_taux_2enf_ga+(U$99=3)*ceee_taux_3enf_ga+(U$99=4)*ceee_taux_4enf_ga+(U$99=5)*ceee_taux_5enf_ga+(U$99=6)*ceee_taux_6enf_ga)*MAX(U$14-ceee_abat,0)),
IF(U$14&gt;=ceee_inter_seuil2,
(MIN(U$99*((U$99=1)*ceeeb_taux_1enf_ga+(U$99=2)*ceeeb_taux_2enf_ga+(U$99=3)*ceeeb_taux_3enf_ga+(U$99=4)*ceeeb_taux_4enf_ga+(U$99=5)*ceeeb_taux_5enf_ga+(U$99=6)*ceeeb_taux_6enf_ga)*U$14,U$14-ceeeb_reste_à_vivre)),
(U$99*((U$99=1)*ceeeb_taux_1enf_ga+(U$99=2)*ceeeb_taux_2enf_ga+(U$99=3)*ceeeb_taux_3enf_ga+(U$99=4)*ceeeb_taux_4enf_ga+(U$99=5)*ceeeb_taux_5enf_ga+(U$99=6)*ceeeb_taux_6enf_ga))*(ceee_inter_coef*U$14+(1-ceee_inter_coef)*ceee_inter_seuil2)
))
),0)*(U$14&gt;=700)</f>
        <v>0</v>
      </c>
    </row>
    <row r="53" spans="1:21" ht="13" thickBot="1" x14ac:dyDescent="0.3">
      <c r="A53" s="338" t="s">
        <v>422</v>
      </c>
      <c r="B53" s="339"/>
      <c r="C53" s="340">
        <f>(C$3="isolé")*IF(C$13="png",(
(C$16=2010)*(C$99*((C$99=1)*ceee_taux_1enf+(C$99=2)*ceee_taux_2enf+(C$99=3)*ceee_taux_3enf+(C$99=4)*ceee_taux_4enf+(C$99=5)*ceee_taux_5enf+(C$99=6)*ceee_taux_6enf)*MAX(C$58-ceee_abat,0))
+(C$16=2018)*MAX(0,(MIN(C$99*((C$99=1)*ceeeb_taux_1enf+(C$99=2)*ceeeb_taux_2enf+(C$99=3)*ceeeb_taux_3enf+(C$99=4)*ceeeb_taux_4enf+(C$99=5)*ceeeb_taux_5enf+(C$99=6)*ceeeb_taux_6enf)*MAX(C$58,1.035*C$214),C$58-ceeeb_reste_à_vivre)))
+(C$16="inter")*IF(C$58&lt;=ceee_inter_seuil1,
(C$99*((C$99=1)*ceee_taux_1enf+(C$99=2)*ceee_taux_2enf+(C$99=3)*ceee_taux_3enf+(C$99=4)*ceee_taux_4enf+(C$99=5)*ceee_taux_5enf+(C$99=6)*ceee_taux_6enf)*MAX(C$58-ceee_abat,0)),
IF(C$58&gt;=ceee_inter_seuil2,
(MIN(C$99*((C$99=1)*ceeeb_taux_1enf+(C$99=2)*ceeeb_taux_2enf+(C$99=3)*ceeeb_taux_3enf+(C$99=4)*ceeeb_taux_4enf+(C$99=5)*ceeeb_taux_5enf+(C$99=6)*ceeeb_taux_6enf)*C$58,C$58-ceeeb_reste_à_vivre)),
(C$99*((C$99=1)*ceeeb_taux_1enf+(C$99=2)*ceeeb_taux_2enf+(C$99=3)*ceeeb_taux_3enf+(C$99=4)*ceeeb_taux_4enf+(C$99=5)*ceeeb_taux_5enf+(C$99=6)*ceeeb_taux_6enf))*(ceee_inter_coef*C$58+(1-ceee_inter_coef)*ceee_inter_seuil2)
))),0)*(C$58&gt;=700)+
(C$3="isolé")*IF(C$13="ga_p",(
(C$16=2010)*(C$99*((C$99=1)*ceee_taux_1enf_ga+(C$99=2)*ceee_taux_2enf_ga+(C$99=3)*ceee_taux_3enf_ga+(C$99=4)*ceee_taux_4enf_ga+(C$99=5)*ceee_taux_5enf_ga+(C$99=6)*ceee_taux_6enf_ga)*MAX(C$58-ceee_abat,0))
+(C$16=2018)*MAX(0,(MIN(C$99*((C$99=1)*ceeeb_taux_1enf_ga+(C$99=2)*ceeeb_taux_2enf_ga+(C$99=3)*ceeeb_taux_3enf_ga+(C$99=4)*ceeeb_taux_4enf_ga+(C$99=5)*ceeeb_taux_5enf_ga+(C$99=6)*ceeeb_taux_6enf_ga)*C$58,C$58-ceeeb_reste_à_vivre)))
+(C$16="inter")*IF(C$58&lt;=ceee_inter_seuil1,
(C$99*((C$99=1)*ceee_taux_1enf_ga+(C$99=2)*ceee_taux_2enf_ga+(C$99=3)*ceee_taux_3enf_ga+(C$99=4)*ceee_taux_4enf_ga+(C$99=5)*ceee_taux_5enf_ga+(C$99=6)*ceee_taux_6enf_ga)*MAX(C$58-ceee_abat,0)),
IF(C$58&gt;=ceee_inter_seuil2,
(MIN(C$99*((C$99=1)*ceeeb_taux_1enf_ga+(C$99=2)*ceeeb_taux_2enf_ga+(C$99=3)*ceeeb_taux_3enf_ga+(C$99=4)*ceeeb_taux_4enf_ga+(C$99=5)*ceeeb_taux_5enf_ga+(C$99=6)*ceeeb_taux_6enf_ga)*C$58,C$58-ceeeb_reste_à_vivre)),
(C$99*((C$99=1)*ceeeb_taux_1enf_ga+(C$99=2)*ceeeb_taux_2enf_ga+(C$99=3)*ceeeb_taux_3enf_ga+(C$99=4)*ceeeb_taux_4enf_ga+(C$99=5)*ceeeb_taux_5enf_ga+(C$99=6)*ceeeb_taux_6enf_ga))*(ceee_inter_coef*C$58+(1-ceee_inter_coef)*ceee_inter_seuil2)
))),0)*(C$58&gt;=700)</f>
        <v>0</v>
      </c>
      <c r="D53" s="340">
        <f>(D$3="isolé")*IF(D$13="png",(
(D$16=2010)*(D$99*((D$99=1)*ceee_taux_1enf+(D$99=2)*ceee_taux_2enf+(D$99=3)*ceee_taux_3enf+(D$99=4)*ceee_taux_4enf+(D$99=5)*ceee_taux_5enf+(D$99=6)*ceee_taux_6enf)*MAX(D$58-ceee_abat,0))
+(D$16=2018)*MAX(0,(MIN(D$99*((D$99=1)*ceeeb_taux_1enf+(D$99=2)*ceeeb_taux_2enf+(D$99=3)*ceeeb_taux_3enf+(D$99=4)*ceeeb_taux_4enf+(D$99=5)*ceeeb_taux_5enf+(D$99=6)*ceeeb_taux_6enf)*MAX(D$58,1.035*D$214),D$58-ceeeb_reste_à_vivre)))
+(D$16="inter")*IF(D$58&lt;=ceee_inter_seuil1,
(D$99*((D$99=1)*ceee_taux_1enf+(D$99=2)*ceee_taux_2enf+(D$99=3)*ceee_taux_3enf+(D$99=4)*ceee_taux_4enf+(D$99=5)*ceee_taux_5enf+(D$99=6)*ceee_taux_6enf)*MAX(D$58-ceee_abat,0)),
IF(D$58&gt;=ceee_inter_seuil2,
(MIN(D$99*((D$99=1)*ceeeb_taux_1enf+(D$99=2)*ceeeb_taux_2enf+(D$99=3)*ceeeb_taux_3enf+(D$99=4)*ceeeb_taux_4enf+(D$99=5)*ceeeb_taux_5enf+(D$99=6)*ceeeb_taux_6enf)*D$58,D$58-ceeeb_reste_à_vivre)),
(D$99*((D$99=1)*ceeeb_taux_1enf+(D$99=2)*ceeeb_taux_2enf+(D$99=3)*ceeeb_taux_3enf+(D$99=4)*ceeeb_taux_4enf+(D$99=5)*ceeeb_taux_5enf+(D$99=6)*ceeeb_taux_6enf))*(ceee_inter_coef*D$58+(1-ceee_inter_coef)*ceee_inter_seuil2)
))),0)*(D$58&gt;=700)+
(D$3="isolé")*IF(D$13="ga_p",(
(D$16=2010)*(D$99*((D$99=1)*ceee_taux_1enf_ga+(D$99=2)*ceee_taux_2enf_ga+(D$99=3)*ceee_taux_3enf_ga+(D$99=4)*ceee_taux_4enf_ga+(D$99=5)*ceee_taux_5enf_ga+(D$99=6)*ceee_taux_6enf_ga)*MAX(D$58-ceee_abat,0))
+(D$16=2018)*MAX(0,(MIN(D$99*((D$99=1)*ceeeb_taux_1enf_ga+(D$99=2)*ceeeb_taux_2enf_ga+(D$99=3)*ceeeb_taux_3enf_ga+(D$99=4)*ceeeb_taux_4enf_ga+(D$99=5)*ceeeb_taux_5enf_ga+(D$99=6)*ceeeb_taux_6enf_ga)*D$58,D$58-ceeeb_reste_à_vivre)))
+(D$16="inter")*IF(D$58&lt;=ceee_inter_seuil1,
(D$99*((D$99=1)*ceee_taux_1enf_ga+(D$99=2)*ceee_taux_2enf_ga+(D$99=3)*ceee_taux_3enf_ga+(D$99=4)*ceee_taux_4enf_ga+(D$99=5)*ceee_taux_5enf_ga+(D$99=6)*ceee_taux_6enf_ga)*MAX(D$58-ceee_abat,0)),
IF(D$58&gt;=ceee_inter_seuil2,
(MIN(D$99*((D$99=1)*ceeeb_taux_1enf_ga+(D$99=2)*ceeeb_taux_2enf_ga+(D$99=3)*ceeeb_taux_3enf_ga+(D$99=4)*ceeeb_taux_4enf_ga+(D$99=5)*ceeeb_taux_5enf_ga+(D$99=6)*ceeeb_taux_6enf_ga)*D$58,D$58-ceeeb_reste_à_vivre)),
(D$99*((D$99=1)*ceeeb_taux_1enf_ga+(D$99=2)*ceeeb_taux_2enf_ga+(D$99=3)*ceeeb_taux_3enf_ga+(D$99=4)*ceeeb_taux_4enf_ga+(D$99=5)*ceeeb_taux_5enf_ga+(D$99=6)*ceeeb_taux_6enf_ga))*(ceee_inter_coef*D$58+(1-ceee_inter_coef)*ceee_inter_seuil2)
))),0)*(D$58&gt;=700)</f>
        <v>0</v>
      </c>
      <c r="E53" s="340">
        <f>(E$3="isolé")*IF(E$13="png",(
(E$16=2010)*(E$99*((E$99=1)*ceee_taux_1enf+(E$99=2)*ceee_taux_2enf+(E$99=3)*ceee_taux_3enf+(E$99=4)*ceee_taux_4enf+(E$99=5)*ceee_taux_5enf+(E$99=6)*ceee_taux_6enf)*MAX(E$58-ceee_abat,0))
+(E$16=2018)*MAX(0,(MIN(E$99*((E$99=1)*ceeeb_taux_1enf+(E$99=2)*ceeeb_taux_2enf+(E$99=3)*ceeeb_taux_3enf+(E$99=4)*ceeeb_taux_4enf+(E$99=5)*ceeeb_taux_5enf+(E$99=6)*ceeeb_taux_6enf)*MAX(E$58,1.035*E$214),E$58-ceeeb_reste_à_vivre)))
+(E$16="inter")*IF(E$58&lt;=ceee_inter_seuil1,
(E$99*((E$99=1)*ceee_taux_1enf+(E$99=2)*ceee_taux_2enf+(E$99=3)*ceee_taux_3enf+(E$99=4)*ceee_taux_4enf+(E$99=5)*ceee_taux_5enf+(E$99=6)*ceee_taux_6enf)*MAX(E$58-ceee_abat,0)),
IF(E$58&gt;=ceee_inter_seuil2,
(MIN(E$99*((E$99=1)*ceeeb_taux_1enf+(E$99=2)*ceeeb_taux_2enf+(E$99=3)*ceeeb_taux_3enf+(E$99=4)*ceeeb_taux_4enf+(E$99=5)*ceeeb_taux_5enf+(E$99=6)*ceeeb_taux_6enf)*E$58,E$58-ceeeb_reste_à_vivre)),
(E$99*((E$99=1)*ceeeb_taux_1enf+(E$99=2)*ceeeb_taux_2enf+(E$99=3)*ceeeb_taux_3enf+(E$99=4)*ceeeb_taux_4enf+(E$99=5)*ceeeb_taux_5enf+(E$99=6)*ceeeb_taux_6enf))*(ceee_inter_coef*E$58+(1-ceee_inter_coef)*ceee_inter_seuil2)
))),0)*(E$58&gt;=700)+
(E$3="isolé")*IF(E$13="ga_p",(
(E$16=2010)*(E$99*((E$99=1)*ceee_taux_1enf_ga+(E$99=2)*ceee_taux_2enf_ga+(E$99=3)*ceee_taux_3enf_ga+(E$99=4)*ceee_taux_4enf_ga+(E$99=5)*ceee_taux_5enf_ga+(E$99=6)*ceee_taux_6enf_ga)*MAX(E$58-ceee_abat,0))
+(E$16=2018)*MAX(0,(MIN(E$99*((E$99=1)*ceeeb_taux_1enf_ga+(E$99=2)*ceeeb_taux_2enf_ga+(E$99=3)*ceeeb_taux_3enf_ga+(E$99=4)*ceeeb_taux_4enf_ga+(E$99=5)*ceeeb_taux_5enf_ga+(E$99=6)*ceeeb_taux_6enf_ga)*E$58,E$58-ceeeb_reste_à_vivre)))
+(E$16="inter")*IF(E$58&lt;=ceee_inter_seuil1,
(E$99*((E$99=1)*ceee_taux_1enf_ga+(E$99=2)*ceee_taux_2enf_ga+(E$99=3)*ceee_taux_3enf_ga+(E$99=4)*ceee_taux_4enf_ga+(E$99=5)*ceee_taux_5enf_ga+(E$99=6)*ceee_taux_6enf_ga)*MAX(E$58-ceee_abat,0)),
IF(E$58&gt;=ceee_inter_seuil2,
(MIN(E$99*((E$99=1)*ceeeb_taux_1enf_ga+(E$99=2)*ceeeb_taux_2enf_ga+(E$99=3)*ceeeb_taux_3enf_ga+(E$99=4)*ceeeb_taux_4enf_ga+(E$99=5)*ceeeb_taux_5enf_ga+(E$99=6)*ceeeb_taux_6enf_ga)*E$58,E$58-ceeeb_reste_à_vivre)),
(E$99*((E$99=1)*ceeeb_taux_1enf_ga+(E$99=2)*ceeeb_taux_2enf_ga+(E$99=3)*ceeeb_taux_3enf_ga+(E$99=4)*ceeeb_taux_4enf_ga+(E$99=5)*ceeeb_taux_5enf_ga+(E$99=6)*ceeeb_taux_6enf_ga))*(ceee_inter_coef*E$58+(1-ceee_inter_coef)*ceee_inter_seuil2)
))),0)*(E$58&gt;=700)</f>
        <v>0</v>
      </c>
      <c r="F53" s="340">
        <f>(F$3="isolé")*IF(F$13="png",(
(F$16=2010)*(F$99*((F$99=1)*ceee_taux_1enf+(F$99=2)*ceee_taux_2enf+(F$99=3)*ceee_taux_3enf+(F$99=4)*ceee_taux_4enf+(F$99=5)*ceee_taux_5enf+(F$99=6)*ceee_taux_6enf)*MAX(F$58-ceee_abat,0))
+(F$16=2018)*MAX(0,(MIN(F$99*((F$99=1)*ceeeb_taux_1enf+(F$99=2)*ceeeb_taux_2enf+(F$99=3)*ceeeb_taux_3enf+(F$99=4)*ceeeb_taux_4enf+(F$99=5)*ceeeb_taux_5enf+(F$99=6)*ceeeb_taux_6enf)*MAX(F$58,1.035*F$214),F$58-ceeeb_reste_à_vivre)))
+(F$16="inter")*IF(F$58&lt;=ceee_inter_seuil1,
(F$99*((F$99=1)*ceee_taux_1enf+(F$99=2)*ceee_taux_2enf+(F$99=3)*ceee_taux_3enf+(F$99=4)*ceee_taux_4enf+(F$99=5)*ceee_taux_5enf+(F$99=6)*ceee_taux_6enf)*MAX(F$58-ceee_abat,0)),
IF(F$58&gt;=ceee_inter_seuil2,
(MIN(F$99*((F$99=1)*ceeeb_taux_1enf+(F$99=2)*ceeeb_taux_2enf+(F$99=3)*ceeeb_taux_3enf+(F$99=4)*ceeeb_taux_4enf+(F$99=5)*ceeeb_taux_5enf+(F$99=6)*ceeeb_taux_6enf)*F$58,F$58-ceeeb_reste_à_vivre)),
(F$99*((F$99=1)*ceeeb_taux_1enf+(F$99=2)*ceeeb_taux_2enf+(F$99=3)*ceeeb_taux_3enf+(F$99=4)*ceeeb_taux_4enf+(F$99=5)*ceeeb_taux_5enf+(F$99=6)*ceeeb_taux_6enf))*(ceee_inter_coef*F$58+(1-ceee_inter_coef)*ceee_inter_seuil2)
))),0)*(F$58&gt;=700)+
(F$3="isolé")*IF(F$13="ga_p",(
(F$16=2010)*(F$99*((F$99=1)*ceee_taux_1enf_ga+(F$99=2)*ceee_taux_2enf_ga+(F$99=3)*ceee_taux_3enf_ga+(F$99=4)*ceee_taux_4enf_ga+(F$99=5)*ceee_taux_5enf_ga+(F$99=6)*ceee_taux_6enf_ga)*MAX(F$58-ceee_abat,0))
+(F$16=2018)*MAX(0,(MIN(F$99*((F$99=1)*ceeeb_taux_1enf_ga+(F$99=2)*ceeeb_taux_2enf_ga+(F$99=3)*ceeeb_taux_3enf_ga+(F$99=4)*ceeeb_taux_4enf_ga+(F$99=5)*ceeeb_taux_5enf_ga+(F$99=6)*ceeeb_taux_6enf_ga)*F$58,F$58-ceeeb_reste_à_vivre)))
+(F$16="inter")*IF(F$58&lt;=ceee_inter_seuil1,
(F$99*((F$99=1)*ceee_taux_1enf_ga+(F$99=2)*ceee_taux_2enf_ga+(F$99=3)*ceee_taux_3enf_ga+(F$99=4)*ceee_taux_4enf_ga+(F$99=5)*ceee_taux_5enf_ga+(F$99=6)*ceee_taux_6enf_ga)*MAX(F$58-ceee_abat,0)),
IF(F$58&gt;=ceee_inter_seuil2,
(MIN(F$99*((F$99=1)*ceeeb_taux_1enf_ga+(F$99=2)*ceeeb_taux_2enf_ga+(F$99=3)*ceeeb_taux_3enf_ga+(F$99=4)*ceeeb_taux_4enf_ga+(F$99=5)*ceeeb_taux_5enf_ga+(F$99=6)*ceeeb_taux_6enf_ga)*F$58,F$58-ceeeb_reste_à_vivre)),
(F$99*((F$99=1)*ceeeb_taux_1enf_ga+(F$99=2)*ceeeb_taux_2enf_ga+(F$99=3)*ceeeb_taux_3enf_ga+(F$99=4)*ceeeb_taux_4enf_ga+(F$99=5)*ceeeb_taux_5enf_ga+(F$99=6)*ceeeb_taux_6enf_ga))*(ceee_inter_coef*F$58+(1-ceee_inter_coef)*ceee_inter_seuil2)
))),0)*(F$58&gt;=700)</f>
        <v>0</v>
      </c>
      <c r="H53" s="340">
        <f>(H$3="isolé")*IF(H$13="png",(
(H$16=2010)*(H$99*((H$99=1)*ceee_taux_1enf+(H$99=2)*ceee_taux_2enf+(H$99=3)*ceee_taux_3enf+(H$99=4)*ceee_taux_4enf+(H$99=5)*ceee_taux_5enf+(H$99=6)*ceee_taux_6enf)*MAX(H$58-ceee_abat,0))
+(H$16=2018)*MAX(0,(MIN(H$99*((H$99=1)*ceeeb_taux_1enf+(H$99=2)*ceeeb_taux_2enf+(H$99=3)*ceeeb_taux_3enf+(H$99=4)*ceeeb_taux_4enf+(H$99=5)*ceeeb_taux_5enf+(H$99=6)*ceeeb_taux_6enf)*MAX(H$58,1.035*H$214),H$58-ceeeb_reste_à_vivre)))
+(H$16="inter")*IF(H$58&lt;=ceee_inter_seuil1,
(H$99*((H$99=1)*ceee_taux_1enf+(H$99=2)*ceee_taux_2enf+(H$99=3)*ceee_taux_3enf+(H$99=4)*ceee_taux_4enf+(H$99=5)*ceee_taux_5enf+(H$99=6)*ceee_taux_6enf)*MAX(H$58-ceee_abat,0)),
IF(H$58&gt;=ceee_inter_seuil2,
(MIN(H$99*((H$99=1)*ceeeb_taux_1enf+(H$99=2)*ceeeb_taux_2enf+(H$99=3)*ceeeb_taux_3enf+(H$99=4)*ceeeb_taux_4enf+(H$99=5)*ceeeb_taux_5enf+(H$99=6)*ceeeb_taux_6enf)*H$58,H$58-ceeeb_reste_à_vivre)),
(H$99*((H$99=1)*ceeeb_taux_1enf+(H$99=2)*ceeeb_taux_2enf+(H$99=3)*ceeeb_taux_3enf+(H$99=4)*ceeeb_taux_4enf+(H$99=5)*ceeeb_taux_5enf+(H$99=6)*ceeeb_taux_6enf))*(ceee_inter_coef*H$58+(1-ceee_inter_coef)*ceee_inter_seuil2)
))),0)*(H$58&gt;=700)+
(H$3="isolé")*IF(H$13="ga_p",(
(H$16=2010)*(H$99*((H$99=1)*ceee_taux_1enf_ga+(H$99=2)*ceee_taux_2enf_ga+(H$99=3)*ceee_taux_3enf_ga+(H$99=4)*ceee_taux_4enf_ga+(H$99=5)*ceee_taux_5enf_ga+(H$99=6)*ceee_taux_6enf_ga)*MAX(H$58-ceee_abat,0))
+(H$16=2018)*MAX(0,(MIN(H$99*((H$99=1)*ceeeb_taux_1enf_ga+(H$99=2)*ceeeb_taux_2enf_ga+(H$99=3)*ceeeb_taux_3enf_ga+(H$99=4)*ceeeb_taux_4enf_ga+(H$99=5)*ceeeb_taux_5enf_ga+(H$99=6)*ceeeb_taux_6enf_ga)*H$58,H$58-ceeeb_reste_à_vivre)))
+(H$16="inter")*IF(H$58&lt;=ceee_inter_seuil1,
(H$99*((H$99=1)*ceee_taux_1enf_ga+(H$99=2)*ceee_taux_2enf_ga+(H$99=3)*ceee_taux_3enf_ga+(H$99=4)*ceee_taux_4enf_ga+(H$99=5)*ceee_taux_5enf_ga+(H$99=6)*ceee_taux_6enf_ga)*MAX(H$58-ceee_abat,0)),
IF(H$58&gt;=ceee_inter_seuil2,
(MIN(H$99*((H$99=1)*ceeeb_taux_1enf_ga+(H$99=2)*ceeeb_taux_2enf_ga+(H$99=3)*ceeeb_taux_3enf_ga+(H$99=4)*ceeeb_taux_4enf_ga+(H$99=5)*ceeeb_taux_5enf_ga+(H$99=6)*ceeeb_taux_6enf_ga)*H$58,H$58-ceeeb_reste_à_vivre)),
(H$99*((H$99=1)*ceeeb_taux_1enf_ga+(H$99=2)*ceeeb_taux_2enf_ga+(H$99=3)*ceeeb_taux_3enf_ga+(H$99=4)*ceeeb_taux_4enf_ga+(H$99=5)*ceeeb_taux_5enf_ga+(H$99=6)*ceeeb_taux_6enf_ga))*(ceee_inter_coef*H$58+(1-ceee_inter_coef)*ceee_inter_seuil2)
))),0)*(H$58&gt;=700)</f>
        <v>0</v>
      </c>
      <c r="I53" s="340">
        <f>(I$3="isolé")*IF(I$13="png",(
(I$16=2010)*(I$99*((I$99=1)*ceee_taux_1enf+(I$99=2)*ceee_taux_2enf+(I$99=3)*ceee_taux_3enf+(I$99=4)*ceee_taux_4enf+(I$99=5)*ceee_taux_5enf+(I$99=6)*ceee_taux_6enf)*MAX(I$58-ceee_abat,0))
+(I$16=2018)*MAX(0,(MIN(I$99*((I$99=1)*ceeeb_taux_1enf+(I$99=2)*ceeeb_taux_2enf+(I$99=3)*ceeeb_taux_3enf+(I$99=4)*ceeeb_taux_4enf+(I$99=5)*ceeeb_taux_5enf+(I$99=6)*ceeeb_taux_6enf)*MAX(I$58,1.035*I$214),I$58-ceeeb_reste_à_vivre)))
+(I$16="inter")*IF(I$58&lt;=ceee_inter_seuil1,
(I$99*((I$99=1)*ceee_taux_1enf+(I$99=2)*ceee_taux_2enf+(I$99=3)*ceee_taux_3enf+(I$99=4)*ceee_taux_4enf+(I$99=5)*ceee_taux_5enf+(I$99=6)*ceee_taux_6enf)*MAX(I$58-ceee_abat,0)),
IF(I$58&gt;=ceee_inter_seuil2,
(MIN(I$99*((I$99=1)*ceeeb_taux_1enf+(I$99=2)*ceeeb_taux_2enf+(I$99=3)*ceeeb_taux_3enf+(I$99=4)*ceeeb_taux_4enf+(I$99=5)*ceeeb_taux_5enf+(I$99=6)*ceeeb_taux_6enf)*I$58,I$58-ceeeb_reste_à_vivre)),
(I$99*((I$99=1)*ceeeb_taux_1enf+(I$99=2)*ceeeb_taux_2enf+(I$99=3)*ceeeb_taux_3enf+(I$99=4)*ceeeb_taux_4enf+(I$99=5)*ceeeb_taux_5enf+(I$99=6)*ceeeb_taux_6enf))*(ceee_inter_coef*I$58+(1-ceee_inter_coef)*ceee_inter_seuil2)
))),0)*(I$58&gt;=700)+
(I$3="isolé")*IF(I$13="ga_p",(
(I$16=2010)*(I$99*((I$99=1)*ceee_taux_1enf_ga+(I$99=2)*ceee_taux_2enf_ga+(I$99=3)*ceee_taux_3enf_ga+(I$99=4)*ceee_taux_4enf_ga+(I$99=5)*ceee_taux_5enf_ga+(I$99=6)*ceee_taux_6enf_ga)*MAX(I$58-ceee_abat,0))
+(I$16=2018)*MAX(0,(MIN(I$99*((I$99=1)*ceeeb_taux_1enf_ga+(I$99=2)*ceeeb_taux_2enf_ga+(I$99=3)*ceeeb_taux_3enf_ga+(I$99=4)*ceeeb_taux_4enf_ga+(I$99=5)*ceeeb_taux_5enf_ga+(I$99=6)*ceeeb_taux_6enf_ga)*I$58,I$58-ceeeb_reste_à_vivre)))
+(I$16="inter")*IF(I$58&lt;=ceee_inter_seuil1,
(I$99*((I$99=1)*ceee_taux_1enf_ga+(I$99=2)*ceee_taux_2enf_ga+(I$99=3)*ceee_taux_3enf_ga+(I$99=4)*ceee_taux_4enf_ga+(I$99=5)*ceee_taux_5enf_ga+(I$99=6)*ceee_taux_6enf_ga)*MAX(I$58-ceee_abat,0)),
IF(I$58&gt;=ceee_inter_seuil2,
(MIN(I$99*((I$99=1)*ceeeb_taux_1enf_ga+(I$99=2)*ceeeb_taux_2enf_ga+(I$99=3)*ceeeb_taux_3enf_ga+(I$99=4)*ceeeb_taux_4enf_ga+(I$99=5)*ceeeb_taux_5enf_ga+(I$99=6)*ceeeb_taux_6enf_ga)*I$58,I$58-ceeeb_reste_à_vivre)),
(I$99*((I$99=1)*ceeeb_taux_1enf_ga+(I$99=2)*ceeeb_taux_2enf_ga+(I$99=3)*ceeeb_taux_3enf_ga+(I$99=4)*ceeeb_taux_4enf_ga+(I$99=5)*ceeeb_taux_5enf_ga+(I$99=6)*ceeeb_taux_6enf_ga))*(ceee_inter_coef*I$58+(1-ceee_inter_coef)*ceee_inter_seuil2)
))),0)*(I$58&gt;=700)</f>
        <v>0</v>
      </c>
      <c r="J53" s="340">
        <f>(J$3="isolé")*IF(J$13="png",(
(J$16=2010)*(J$99*((J$99=1)*ceee_taux_1enf+(J$99=2)*ceee_taux_2enf+(J$99=3)*ceee_taux_3enf+(J$99=4)*ceee_taux_4enf+(J$99=5)*ceee_taux_5enf+(J$99=6)*ceee_taux_6enf)*MAX(J$58-ceee_abat,0))
+(J$16=2018)*MAX(0,(MIN(J$99*((J$99=1)*ceeeb_taux_1enf+(J$99=2)*ceeeb_taux_2enf+(J$99=3)*ceeeb_taux_3enf+(J$99=4)*ceeeb_taux_4enf+(J$99=5)*ceeeb_taux_5enf+(J$99=6)*ceeeb_taux_6enf)*MAX(J$58,1.035*J$214),J$58-ceeeb_reste_à_vivre)))
+(J$16="inter")*IF(J$58&lt;=ceee_inter_seuil1,
(J$99*((J$99=1)*ceee_taux_1enf+(J$99=2)*ceee_taux_2enf+(J$99=3)*ceee_taux_3enf+(J$99=4)*ceee_taux_4enf+(J$99=5)*ceee_taux_5enf+(J$99=6)*ceee_taux_6enf)*MAX(J$58-ceee_abat,0)),
IF(J$58&gt;=ceee_inter_seuil2,
(MIN(J$99*((J$99=1)*ceeeb_taux_1enf+(J$99=2)*ceeeb_taux_2enf+(J$99=3)*ceeeb_taux_3enf+(J$99=4)*ceeeb_taux_4enf+(J$99=5)*ceeeb_taux_5enf+(J$99=6)*ceeeb_taux_6enf)*J$58,J$58-ceeeb_reste_à_vivre)),
(J$99*((J$99=1)*ceeeb_taux_1enf+(J$99=2)*ceeeb_taux_2enf+(J$99=3)*ceeeb_taux_3enf+(J$99=4)*ceeeb_taux_4enf+(J$99=5)*ceeeb_taux_5enf+(J$99=6)*ceeeb_taux_6enf))*(ceee_inter_coef*J$58+(1-ceee_inter_coef)*ceee_inter_seuil2)
))),0)*(J$58&gt;=700)+
(J$3="isolé")*IF(J$13="ga_p",(
(J$16=2010)*(J$99*((J$99=1)*ceee_taux_1enf_ga+(J$99=2)*ceee_taux_2enf_ga+(J$99=3)*ceee_taux_3enf_ga+(J$99=4)*ceee_taux_4enf_ga+(J$99=5)*ceee_taux_5enf_ga+(J$99=6)*ceee_taux_6enf_ga)*MAX(J$58-ceee_abat,0))
+(J$16=2018)*MAX(0,(MIN(J$99*((J$99=1)*ceeeb_taux_1enf_ga+(J$99=2)*ceeeb_taux_2enf_ga+(J$99=3)*ceeeb_taux_3enf_ga+(J$99=4)*ceeeb_taux_4enf_ga+(J$99=5)*ceeeb_taux_5enf_ga+(J$99=6)*ceeeb_taux_6enf_ga)*J$58,J$58-ceeeb_reste_à_vivre)))
+(J$16="inter")*IF(J$58&lt;=ceee_inter_seuil1,
(J$99*((J$99=1)*ceee_taux_1enf_ga+(J$99=2)*ceee_taux_2enf_ga+(J$99=3)*ceee_taux_3enf_ga+(J$99=4)*ceee_taux_4enf_ga+(J$99=5)*ceee_taux_5enf_ga+(J$99=6)*ceee_taux_6enf_ga)*MAX(J$58-ceee_abat,0)),
IF(J$58&gt;=ceee_inter_seuil2,
(MIN(J$99*((J$99=1)*ceeeb_taux_1enf_ga+(J$99=2)*ceeeb_taux_2enf_ga+(J$99=3)*ceeeb_taux_3enf_ga+(J$99=4)*ceeeb_taux_4enf_ga+(J$99=5)*ceeeb_taux_5enf_ga+(J$99=6)*ceeeb_taux_6enf_ga)*J$58,J$58-ceeeb_reste_à_vivre)),
(J$99*((J$99=1)*ceeeb_taux_1enf_ga+(J$99=2)*ceeeb_taux_2enf_ga+(J$99=3)*ceeeb_taux_3enf_ga+(J$99=4)*ceeeb_taux_4enf_ga+(J$99=5)*ceeeb_taux_5enf_ga+(J$99=6)*ceeeb_taux_6enf_ga))*(ceee_inter_coef*J$58+(1-ceee_inter_coef)*ceee_inter_seuil2)
))),0)*(J$58&gt;=700)</f>
        <v>0</v>
      </c>
      <c r="K53" s="340">
        <f>(K$3="isolé")*IF(K$13="png",(
(K$16=2010)*(K$99*((K$99=1)*ceee_taux_1enf+(K$99=2)*ceee_taux_2enf+(K$99=3)*ceee_taux_3enf+(K$99=4)*ceee_taux_4enf+(K$99=5)*ceee_taux_5enf+(K$99=6)*ceee_taux_6enf)*MAX(K$58-ceee_abat,0))
+(K$16=2018)*MAX(0,(MIN(K$99*((K$99=1)*ceeeb_taux_1enf+(K$99=2)*ceeeb_taux_2enf+(K$99=3)*ceeeb_taux_3enf+(K$99=4)*ceeeb_taux_4enf+(K$99=5)*ceeeb_taux_5enf+(K$99=6)*ceeeb_taux_6enf)*MAX(K$58,1.035*K$214),K$58-ceeeb_reste_à_vivre)))
+(K$16="inter")*IF(K$58&lt;=ceee_inter_seuil1,
(K$99*((K$99=1)*ceee_taux_1enf+(K$99=2)*ceee_taux_2enf+(K$99=3)*ceee_taux_3enf+(K$99=4)*ceee_taux_4enf+(K$99=5)*ceee_taux_5enf+(K$99=6)*ceee_taux_6enf)*MAX(K$58-ceee_abat,0)),
IF(K$58&gt;=ceee_inter_seuil2,
(MIN(K$99*((K$99=1)*ceeeb_taux_1enf+(K$99=2)*ceeeb_taux_2enf+(K$99=3)*ceeeb_taux_3enf+(K$99=4)*ceeeb_taux_4enf+(K$99=5)*ceeeb_taux_5enf+(K$99=6)*ceeeb_taux_6enf)*K$58,K$58-ceeeb_reste_à_vivre)),
(K$99*((K$99=1)*ceeeb_taux_1enf+(K$99=2)*ceeeb_taux_2enf+(K$99=3)*ceeeb_taux_3enf+(K$99=4)*ceeeb_taux_4enf+(K$99=5)*ceeeb_taux_5enf+(K$99=6)*ceeeb_taux_6enf))*(ceee_inter_coef*K$58+(1-ceee_inter_coef)*ceee_inter_seuil2)
))),0)*(K$58&gt;=700)+
(K$3="isolé")*IF(K$13="ga_p",(
(K$16=2010)*(K$99*((K$99=1)*ceee_taux_1enf_ga+(K$99=2)*ceee_taux_2enf_ga+(K$99=3)*ceee_taux_3enf_ga+(K$99=4)*ceee_taux_4enf_ga+(K$99=5)*ceee_taux_5enf_ga+(K$99=6)*ceee_taux_6enf_ga)*MAX(K$58-ceee_abat,0))
+(K$16=2018)*MAX(0,(MIN(K$99*((K$99=1)*ceeeb_taux_1enf_ga+(K$99=2)*ceeeb_taux_2enf_ga+(K$99=3)*ceeeb_taux_3enf_ga+(K$99=4)*ceeeb_taux_4enf_ga+(K$99=5)*ceeeb_taux_5enf_ga+(K$99=6)*ceeeb_taux_6enf_ga)*K$58,K$58-ceeeb_reste_à_vivre)))
+(K$16="inter")*IF(K$58&lt;=ceee_inter_seuil1,
(K$99*((K$99=1)*ceee_taux_1enf_ga+(K$99=2)*ceee_taux_2enf_ga+(K$99=3)*ceee_taux_3enf_ga+(K$99=4)*ceee_taux_4enf_ga+(K$99=5)*ceee_taux_5enf_ga+(K$99=6)*ceee_taux_6enf_ga)*MAX(K$58-ceee_abat,0)),
IF(K$58&gt;=ceee_inter_seuil2,
(MIN(K$99*((K$99=1)*ceeeb_taux_1enf_ga+(K$99=2)*ceeeb_taux_2enf_ga+(K$99=3)*ceeeb_taux_3enf_ga+(K$99=4)*ceeeb_taux_4enf_ga+(K$99=5)*ceeeb_taux_5enf_ga+(K$99=6)*ceeeb_taux_6enf_ga)*K$58,K$58-ceeeb_reste_à_vivre)),
(K$99*((K$99=1)*ceeeb_taux_1enf_ga+(K$99=2)*ceeeb_taux_2enf_ga+(K$99=3)*ceeeb_taux_3enf_ga+(K$99=4)*ceeeb_taux_4enf_ga+(K$99=5)*ceeeb_taux_5enf_ga+(K$99=6)*ceeeb_taux_6enf_ga))*(ceee_inter_coef*K$58+(1-ceee_inter_coef)*ceee_inter_seuil2)
))),0)*(K$58&gt;=700)</f>
        <v>0</v>
      </c>
      <c r="M53" s="340">
        <f>(M$3="isolé")*IF(M$13="png",(
(M$16=2010)*(M$99*((M$99=1)*ceee_taux_1enf+(M$99=2)*ceee_taux_2enf+(M$99=3)*ceee_taux_3enf+(M$99=4)*ceee_taux_4enf+(M$99=5)*ceee_taux_5enf+(M$99=6)*ceee_taux_6enf)*MAX(M$58-ceee_abat,0))
+(M$16=2018)*MAX(0,(MIN(M$99*((M$99=1)*ceeeb_taux_1enf+(M$99=2)*ceeeb_taux_2enf+(M$99=3)*ceeeb_taux_3enf+(M$99=4)*ceeeb_taux_4enf+(M$99=5)*ceeeb_taux_5enf+(M$99=6)*ceeeb_taux_6enf)*MAX(M$58,1.035*M$214),M$58-ceeeb_reste_à_vivre)))
+(M$16="inter")*IF(M$58&lt;=ceee_inter_seuil1,
(M$99*((M$99=1)*ceee_taux_1enf+(M$99=2)*ceee_taux_2enf+(M$99=3)*ceee_taux_3enf+(M$99=4)*ceee_taux_4enf+(M$99=5)*ceee_taux_5enf+(M$99=6)*ceee_taux_6enf)*MAX(M$58-ceee_abat,0)),
IF(M$58&gt;=ceee_inter_seuil2,
(MIN(M$99*((M$99=1)*ceeeb_taux_1enf+(M$99=2)*ceeeb_taux_2enf+(M$99=3)*ceeeb_taux_3enf+(M$99=4)*ceeeb_taux_4enf+(M$99=5)*ceeeb_taux_5enf+(M$99=6)*ceeeb_taux_6enf)*M$58,M$58-ceeeb_reste_à_vivre)),
(M$99*((M$99=1)*ceeeb_taux_1enf+(M$99=2)*ceeeb_taux_2enf+(M$99=3)*ceeeb_taux_3enf+(M$99=4)*ceeeb_taux_4enf+(M$99=5)*ceeeb_taux_5enf+(M$99=6)*ceeeb_taux_6enf))*(ceee_inter_coef*M$58+(1-ceee_inter_coef)*ceee_inter_seuil2)
))),0)*(M$58&gt;=700)+
(M$3="isolé")*IF(M$13="ga_p",(
(M$16=2010)*(M$99*((M$99=1)*ceee_taux_1enf_ga+(M$99=2)*ceee_taux_2enf_ga+(M$99=3)*ceee_taux_3enf_ga+(M$99=4)*ceee_taux_4enf_ga+(M$99=5)*ceee_taux_5enf_ga+(M$99=6)*ceee_taux_6enf_ga)*MAX(M$58-ceee_abat,0))
+(M$16=2018)*MAX(0,(MIN(M$99*((M$99=1)*ceeeb_taux_1enf_ga+(M$99=2)*ceeeb_taux_2enf_ga+(M$99=3)*ceeeb_taux_3enf_ga+(M$99=4)*ceeeb_taux_4enf_ga+(M$99=5)*ceeeb_taux_5enf_ga+(M$99=6)*ceeeb_taux_6enf_ga)*M$58,M$58-ceeeb_reste_à_vivre)))
+(M$16="inter")*IF(M$58&lt;=ceee_inter_seuil1,
(M$99*((M$99=1)*ceee_taux_1enf_ga+(M$99=2)*ceee_taux_2enf_ga+(M$99=3)*ceee_taux_3enf_ga+(M$99=4)*ceee_taux_4enf_ga+(M$99=5)*ceee_taux_5enf_ga+(M$99=6)*ceee_taux_6enf_ga)*MAX(M$58-ceee_abat,0)),
IF(M$58&gt;=ceee_inter_seuil2,
(MIN(M$99*((M$99=1)*ceeeb_taux_1enf_ga+(M$99=2)*ceeeb_taux_2enf_ga+(M$99=3)*ceeeb_taux_3enf_ga+(M$99=4)*ceeeb_taux_4enf_ga+(M$99=5)*ceeeb_taux_5enf_ga+(M$99=6)*ceeeb_taux_6enf_ga)*M$58,M$58-ceeeb_reste_à_vivre)),
(M$99*((M$99=1)*ceeeb_taux_1enf_ga+(M$99=2)*ceeeb_taux_2enf_ga+(M$99=3)*ceeeb_taux_3enf_ga+(M$99=4)*ceeeb_taux_4enf_ga+(M$99=5)*ceeeb_taux_5enf_ga+(M$99=6)*ceeeb_taux_6enf_ga))*(ceee_inter_coef*M$58+(1-ceee_inter_coef)*ceee_inter_seuil2)
))),0)*(M$58&gt;=700)</f>
        <v>0</v>
      </c>
      <c r="N53" s="340">
        <f>(N$3="isolé")*IF(N$13="png",(
(N$16=2010)*(N$99*((N$99=1)*ceee_taux_1enf+(N$99=2)*ceee_taux_2enf+(N$99=3)*ceee_taux_3enf+(N$99=4)*ceee_taux_4enf+(N$99=5)*ceee_taux_5enf+(N$99=6)*ceee_taux_6enf)*MAX(N$58-ceee_abat,0))
+(N$16=2018)*MAX(0,(MIN(N$99*((N$99=1)*ceeeb_taux_1enf+(N$99=2)*ceeeb_taux_2enf+(N$99=3)*ceeeb_taux_3enf+(N$99=4)*ceeeb_taux_4enf+(N$99=5)*ceeeb_taux_5enf+(N$99=6)*ceeeb_taux_6enf)*MAX(N$58,1.035*N$214),N$58-ceeeb_reste_à_vivre)))
+(N$16="inter")*IF(N$58&lt;=ceee_inter_seuil1,
(N$99*((N$99=1)*ceee_taux_1enf+(N$99=2)*ceee_taux_2enf+(N$99=3)*ceee_taux_3enf+(N$99=4)*ceee_taux_4enf+(N$99=5)*ceee_taux_5enf+(N$99=6)*ceee_taux_6enf)*MAX(N$58-ceee_abat,0)),
IF(N$58&gt;=ceee_inter_seuil2,
(MIN(N$99*((N$99=1)*ceeeb_taux_1enf+(N$99=2)*ceeeb_taux_2enf+(N$99=3)*ceeeb_taux_3enf+(N$99=4)*ceeeb_taux_4enf+(N$99=5)*ceeeb_taux_5enf+(N$99=6)*ceeeb_taux_6enf)*N$58,N$58-ceeeb_reste_à_vivre)),
(N$99*((N$99=1)*ceeeb_taux_1enf+(N$99=2)*ceeeb_taux_2enf+(N$99=3)*ceeeb_taux_3enf+(N$99=4)*ceeeb_taux_4enf+(N$99=5)*ceeeb_taux_5enf+(N$99=6)*ceeeb_taux_6enf))*(ceee_inter_coef*N$58+(1-ceee_inter_coef)*ceee_inter_seuil2)
))),0)*(N$58&gt;=700)+
(N$3="isolé")*IF(N$13="ga_p",(
(N$16=2010)*(N$99*((N$99=1)*ceee_taux_1enf_ga+(N$99=2)*ceee_taux_2enf_ga+(N$99=3)*ceee_taux_3enf_ga+(N$99=4)*ceee_taux_4enf_ga+(N$99=5)*ceee_taux_5enf_ga+(N$99=6)*ceee_taux_6enf_ga)*MAX(N$58-ceee_abat,0))
+(N$16=2018)*MAX(0,(MIN(N$99*((N$99=1)*ceeeb_taux_1enf_ga+(N$99=2)*ceeeb_taux_2enf_ga+(N$99=3)*ceeeb_taux_3enf_ga+(N$99=4)*ceeeb_taux_4enf_ga+(N$99=5)*ceeeb_taux_5enf_ga+(N$99=6)*ceeeb_taux_6enf_ga)*N$58,N$58-ceeeb_reste_à_vivre)))
+(N$16="inter")*IF(N$58&lt;=ceee_inter_seuil1,
(N$99*((N$99=1)*ceee_taux_1enf_ga+(N$99=2)*ceee_taux_2enf_ga+(N$99=3)*ceee_taux_3enf_ga+(N$99=4)*ceee_taux_4enf_ga+(N$99=5)*ceee_taux_5enf_ga+(N$99=6)*ceee_taux_6enf_ga)*MAX(N$58-ceee_abat,0)),
IF(N$58&gt;=ceee_inter_seuil2,
(MIN(N$99*((N$99=1)*ceeeb_taux_1enf_ga+(N$99=2)*ceeeb_taux_2enf_ga+(N$99=3)*ceeeb_taux_3enf_ga+(N$99=4)*ceeeb_taux_4enf_ga+(N$99=5)*ceeeb_taux_5enf_ga+(N$99=6)*ceeeb_taux_6enf_ga)*N$58,N$58-ceeeb_reste_à_vivre)),
(N$99*((N$99=1)*ceeeb_taux_1enf_ga+(N$99=2)*ceeeb_taux_2enf_ga+(N$99=3)*ceeeb_taux_3enf_ga+(N$99=4)*ceeeb_taux_4enf_ga+(N$99=5)*ceeeb_taux_5enf_ga+(N$99=6)*ceeeb_taux_6enf_ga))*(ceee_inter_coef*N$58+(1-ceee_inter_coef)*ceee_inter_seuil2)
))),0)*(N$58&gt;=700)</f>
        <v>0</v>
      </c>
      <c r="O53" s="340">
        <f>(O$3="isolé")*IF(O$13="png",(
(O$16=2010)*(O$99*((O$99=1)*ceee_taux_1enf+(O$99=2)*ceee_taux_2enf+(O$99=3)*ceee_taux_3enf+(O$99=4)*ceee_taux_4enf+(O$99=5)*ceee_taux_5enf+(O$99=6)*ceee_taux_6enf)*MAX(O$58-ceee_abat,0))
+(O$16=2018)*MAX(0,(MIN(O$99*((O$99=1)*ceeeb_taux_1enf+(O$99=2)*ceeeb_taux_2enf+(O$99=3)*ceeeb_taux_3enf+(O$99=4)*ceeeb_taux_4enf+(O$99=5)*ceeeb_taux_5enf+(O$99=6)*ceeeb_taux_6enf)*MAX(O$58,1.035*O$214),O$58-ceeeb_reste_à_vivre)))
+(O$16="inter")*IF(O$58&lt;=ceee_inter_seuil1,
(O$99*((O$99=1)*ceee_taux_1enf+(O$99=2)*ceee_taux_2enf+(O$99=3)*ceee_taux_3enf+(O$99=4)*ceee_taux_4enf+(O$99=5)*ceee_taux_5enf+(O$99=6)*ceee_taux_6enf)*MAX(O$58-ceee_abat,0)),
IF(O$58&gt;=ceee_inter_seuil2,
(MIN(O$99*((O$99=1)*ceeeb_taux_1enf+(O$99=2)*ceeeb_taux_2enf+(O$99=3)*ceeeb_taux_3enf+(O$99=4)*ceeeb_taux_4enf+(O$99=5)*ceeeb_taux_5enf+(O$99=6)*ceeeb_taux_6enf)*O$58,O$58-ceeeb_reste_à_vivre)),
(O$99*((O$99=1)*ceeeb_taux_1enf+(O$99=2)*ceeeb_taux_2enf+(O$99=3)*ceeeb_taux_3enf+(O$99=4)*ceeeb_taux_4enf+(O$99=5)*ceeeb_taux_5enf+(O$99=6)*ceeeb_taux_6enf))*(ceee_inter_coef*O$58+(1-ceee_inter_coef)*ceee_inter_seuil2)
))),0)*(O$58&gt;=700)+
(O$3="isolé")*IF(O$13="ga_p",(
(O$16=2010)*(O$99*((O$99=1)*ceee_taux_1enf_ga+(O$99=2)*ceee_taux_2enf_ga+(O$99=3)*ceee_taux_3enf_ga+(O$99=4)*ceee_taux_4enf_ga+(O$99=5)*ceee_taux_5enf_ga+(O$99=6)*ceee_taux_6enf_ga)*MAX(O$58-ceee_abat,0))
+(O$16=2018)*MAX(0,(MIN(O$99*((O$99=1)*ceeeb_taux_1enf_ga+(O$99=2)*ceeeb_taux_2enf_ga+(O$99=3)*ceeeb_taux_3enf_ga+(O$99=4)*ceeeb_taux_4enf_ga+(O$99=5)*ceeeb_taux_5enf_ga+(O$99=6)*ceeeb_taux_6enf_ga)*O$58,O$58-ceeeb_reste_à_vivre)))
+(O$16="inter")*IF(O$58&lt;=ceee_inter_seuil1,
(O$99*((O$99=1)*ceee_taux_1enf_ga+(O$99=2)*ceee_taux_2enf_ga+(O$99=3)*ceee_taux_3enf_ga+(O$99=4)*ceee_taux_4enf_ga+(O$99=5)*ceee_taux_5enf_ga+(O$99=6)*ceee_taux_6enf_ga)*MAX(O$58-ceee_abat,0)),
IF(O$58&gt;=ceee_inter_seuil2,
(MIN(O$99*((O$99=1)*ceeeb_taux_1enf_ga+(O$99=2)*ceeeb_taux_2enf_ga+(O$99=3)*ceeeb_taux_3enf_ga+(O$99=4)*ceeeb_taux_4enf_ga+(O$99=5)*ceeeb_taux_5enf_ga+(O$99=6)*ceeeb_taux_6enf_ga)*O$58,O$58-ceeeb_reste_à_vivre)),
(O$99*((O$99=1)*ceeeb_taux_1enf_ga+(O$99=2)*ceeeb_taux_2enf_ga+(O$99=3)*ceeeb_taux_3enf_ga+(O$99=4)*ceeeb_taux_4enf_ga+(O$99=5)*ceeeb_taux_5enf_ga+(O$99=6)*ceeeb_taux_6enf_ga))*(ceee_inter_coef*O$58+(1-ceee_inter_coef)*ceee_inter_seuil2)
))),0)*(O$58&gt;=700)</f>
        <v>0</v>
      </c>
      <c r="P53" s="340">
        <f>(P$3="isolé")*IF(P$13="png",(
(P$16=2010)*(P$99*((P$99=1)*ceee_taux_1enf+(P$99=2)*ceee_taux_2enf+(P$99=3)*ceee_taux_3enf+(P$99=4)*ceee_taux_4enf+(P$99=5)*ceee_taux_5enf+(P$99=6)*ceee_taux_6enf)*MAX(P$58-ceee_abat,0))
+(P$16=2018)*MAX(0,(MIN(P$99*((P$99=1)*ceeeb_taux_1enf+(P$99=2)*ceeeb_taux_2enf+(P$99=3)*ceeeb_taux_3enf+(P$99=4)*ceeeb_taux_4enf+(P$99=5)*ceeeb_taux_5enf+(P$99=6)*ceeeb_taux_6enf)*MAX(P$58,1.035*P$214),P$58-ceeeb_reste_à_vivre)))
+(P$16="inter")*IF(P$58&lt;=ceee_inter_seuil1,
(P$99*((P$99=1)*ceee_taux_1enf+(P$99=2)*ceee_taux_2enf+(P$99=3)*ceee_taux_3enf+(P$99=4)*ceee_taux_4enf+(P$99=5)*ceee_taux_5enf+(P$99=6)*ceee_taux_6enf)*MAX(P$58-ceee_abat,0)),
IF(P$58&gt;=ceee_inter_seuil2,
(MIN(P$99*((P$99=1)*ceeeb_taux_1enf+(P$99=2)*ceeeb_taux_2enf+(P$99=3)*ceeeb_taux_3enf+(P$99=4)*ceeeb_taux_4enf+(P$99=5)*ceeeb_taux_5enf+(P$99=6)*ceeeb_taux_6enf)*P$58,P$58-ceeeb_reste_à_vivre)),
(P$99*((P$99=1)*ceeeb_taux_1enf+(P$99=2)*ceeeb_taux_2enf+(P$99=3)*ceeeb_taux_3enf+(P$99=4)*ceeeb_taux_4enf+(P$99=5)*ceeeb_taux_5enf+(P$99=6)*ceeeb_taux_6enf))*(ceee_inter_coef*P$58+(1-ceee_inter_coef)*ceee_inter_seuil2)
))),0)*(P$58&gt;=700)+
(P$3="isolé")*IF(P$13="ga_p",(
(P$16=2010)*(P$99*((P$99=1)*ceee_taux_1enf_ga+(P$99=2)*ceee_taux_2enf_ga+(P$99=3)*ceee_taux_3enf_ga+(P$99=4)*ceee_taux_4enf_ga+(P$99=5)*ceee_taux_5enf_ga+(P$99=6)*ceee_taux_6enf_ga)*MAX(P$58-ceee_abat,0))
+(P$16=2018)*MAX(0,(MIN(P$99*((P$99=1)*ceeeb_taux_1enf_ga+(P$99=2)*ceeeb_taux_2enf_ga+(P$99=3)*ceeeb_taux_3enf_ga+(P$99=4)*ceeeb_taux_4enf_ga+(P$99=5)*ceeeb_taux_5enf_ga+(P$99=6)*ceeeb_taux_6enf_ga)*P$58,P$58-ceeeb_reste_à_vivre)))
+(P$16="inter")*IF(P$58&lt;=ceee_inter_seuil1,
(P$99*((P$99=1)*ceee_taux_1enf_ga+(P$99=2)*ceee_taux_2enf_ga+(P$99=3)*ceee_taux_3enf_ga+(P$99=4)*ceee_taux_4enf_ga+(P$99=5)*ceee_taux_5enf_ga+(P$99=6)*ceee_taux_6enf_ga)*MAX(P$58-ceee_abat,0)),
IF(P$58&gt;=ceee_inter_seuil2,
(MIN(P$99*((P$99=1)*ceeeb_taux_1enf_ga+(P$99=2)*ceeeb_taux_2enf_ga+(P$99=3)*ceeeb_taux_3enf_ga+(P$99=4)*ceeeb_taux_4enf_ga+(P$99=5)*ceeeb_taux_5enf_ga+(P$99=6)*ceeeb_taux_6enf_ga)*P$58,P$58-ceeeb_reste_à_vivre)),
(P$99*((P$99=1)*ceeeb_taux_1enf_ga+(P$99=2)*ceeeb_taux_2enf_ga+(P$99=3)*ceeeb_taux_3enf_ga+(P$99=4)*ceeeb_taux_4enf_ga+(P$99=5)*ceeeb_taux_5enf_ga+(P$99=6)*ceeeb_taux_6enf_ga))*(ceee_inter_coef*P$58+(1-ceee_inter_coef)*ceee_inter_seuil2)
))),0)*(P$58&gt;=700)</f>
        <v>0</v>
      </c>
      <c r="R53" s="340">
        <f>(R$3="isolé")*IF(R$13="png",(
(R$16=2010)*(R$99*((R$99=1)*ceee_taux_1enf+(R$99=2)*ceee_taux_2enf+(R$99=3)*ceee_taux_3enf+(R$99=4)*ceee_taux_4enf+(R$99=5)*ceee_taux_5enf+(R$99=6)*ceee_taux_6enf)*MAX(R$58-ceee_abat,0))
+(R$16=2018)*MAX(0,(MIN(R$99*((R$99=1)*ceeeb_taux_1enf+(R$99=2)*ceeeb_taux_2enf+(R$99=3)*ceeeb_taux_3enf+(R$99=4)*ceeeb_taux_4enf+(R$99=5)*ceeeb_taux_5enf+(R$99=6)*ceeeb_taux_6enf)*MAX(R$58,1.035*R$214),R$58-ceeeb_reste_à_vivre)))
+(R$16="inter")*IF(R$58&lt;=ceee_inter_seuil1,
(R$99*((R$99=1)*ceee_taux_1enf+(R$99=2)*ceee_taux_2enf+(R$99=3)*ceee_taux_3enf+(R$99=4)*ceee_taux_4enf+(R$99=5)*ceee_taux_5enf+(R$99=6)*ceee_taux_6enf)*MAX(R$58-ceee_abat,0)),
IF(R$58&gt;=ceee_inter_seuil2,
(MIN(R$99*((R$99=1)*ceeeb_taux_1enf+(R$99=2)*ceeeb_taux_2enf+(R$99=3)*ceeeb_taux_3enf+(R$99=4)*ceeeb_taux_4enf+(R$99=5)*ceeeb_taux_5enf+(R$99=6)*ceeeb_taux_6enf)*R$58,R$58-ceeeb_reste_à_vivre)),
(R$99*((R$99=1)*ceeeb_taux_1enf+(R$99=2)*ceeeb_taux_2enf+(R$99=3)*ceeeb_taux_3enf+(R$99=4)*ceeeb_taux_4enf+(R$99=5)*ceeeb_taux_5enf+(R$99=6)*ceeeb_taux_6enf))*(ceee_inter_coef*R$58+(1-ceee_inter_coef)*ceee_inter_seuil2)
))),0)*(R$58&gt;=700)+
(R$3="isolé")*IF(R$13="ga_p",(
(R$16=2010)*(R$99*((R$99=1)*ceee_taux_1enf_ga+(R$99=2)*ceee_taux_2enf_ga+(R$99=3)*ceee_taux_3enf_ga+(R$99=4)*ceee_taux_4enf_ga+(R$99=5)*ceee_taux_5enf_ga+(R$99=6)*ceee_taux_6enf_ga)*MAX(R$58-ceee_abat,0))
+(R$16=2018)*MAX(0,(MIN(R$99*((R$99=1)*ceeeb_taux_1enf_ga+(R$99=2)*ceeeb_taux_2enf_ga+(R$99=3)*ceeeb_taux_3enf_ga+(R$99=4)*ceeeb_taux_4enf_ga+(R$99=5)*ceeeb_taux_5enf_ga+(R$99=6)*ceeeb_taux_6enf_ga)*R$58,R$58-ceeeb_reste_à_vivre)))
+(R$16="inter")*IF(R$58&lt;=ceee_inter_seuil1,
(R$99*((R$99=1)*ceee_taux_1enf_ga+(R$99=2)*ceee_taux_2enf_ga+(R$99=3)*ceee_taux_3enf_ga+(R$99=4)*ceee_taux_4enf_ga+(R$99=5)*ceee_taux_5enf_ga+(R$99=6)*ceee_taux_6enf_ga)*MAX(R$58-ceee_abat,0)),
IF(R$58&gt;=ceee_inter_seuil2,
(MIN(R$99*((R$99=1)*ceeeb_taux_1enf_ga+(R$99=2)*ceeeb_taux_2enf_ga+(R$99=3)*ceeeb_taux_3enf_ga+(R$99=4)*ceeeb_taux_4enf_ga+(R$99=5)*ceeeb_taux_5enf_ga+(R$99=6)*ceeeb_taux_6enf_ga)*R$58,R$58-ceeeb_reste_à_vivre)),
(R$99*((R$99=1)*ceeeb_taux_1enf_ga+(R$99=2)*ceeeb_taux_2enf_ga+(R$99=3)*ceeeb_taux_3enf_ga+(R$99=4)*ceeeb_taux_4enf_ga+(R$99=5)*ceeeb_taux_5enf_ga+(R$99=6)*ceeeb_taux_6enf_ga))*(ceee_inter_coef*R$58+(1-ceee_inter_coef)*ceee_inter_seuil2)
))),0)*(R$58&gt;=700)</f>
        <v>0</v>
      </c>
      <c r="S53" s="340">
        <f>(S$3="isolé")*IF(S$13="png",(
(S$16=2010)*(S$99*((S$99=1)*ceee_taux_1enf+(S$99=2)*ceee_taux_2enf+(S$99=3)*ceee_taux_3enf+(S$99=4)*ceee_taux_4enf+(S$99=5)*ceee_taux_5enf+(S$99=6)*ceee_taux_6enf)*MAX(S$58-ceee_abat,0))
+(S$16=2018)*MAX(0,(MIN(S$99*((S$99=1)*ceeeb_taux_1enf+(S$99=2)*ceeeb_taux_2enf+(S$99=3)*ceeeb_taux_3enf+(S$99=4)*ceeeb_taux_4enf+(S$99=5)*ceeeb_taux_5enf+(S$99=6)*ceeeb_taux_6enf)*MAX(S$58,1.035*S$214),S$58-ceeeb_reste_à_vivre)))
+(S$16="inter")*IF(S$58&lt;=ceee_inter_seuil1,
(S$99*((S$99=1)*ceee_taux_1enf+(S$99=2)*ceee_taux_2enf+(S$99=3)*ceee_taux_3enf+(S$99=4)*ceee_taux_4enf+(S$99=5)*ceee_taux_5enf+(S$99=6)*ceee_taux_6enf)*MAX(S$58-ceee_abat,0)),
IF(S$58&gt;=ceee_inter_seuil2,
(MIN(S$99*((S$99=1)*ceeeb_taux_1enf+(S$99=2)*ceeeb_taux_2enf+(S$99=3)*ceeeb_taux_3enf+(S$99=4)*ceeeb_taux_4enf+(S$99=5)*ceeeb_taux_5enf+(S$99=6)*ceeeb_taux_6enf)*S$58,S$58-ceeeb_reste_à_vivre)),
(S$99*((S$99=1)*ceeeb_taux_1enf+(S$99=2)*ceeeb_taux_2enf+(S$99=3)*ceeeb_taux_3enf+(S$99=4)*ceeeb_taux_4enf+(S$99=5)*ceeeb_taux_5enf+(S$99=6)*ceeeb_taux_6enf))*(ceee_inter_coef*S$58+(1-ceee_inter_coef)*ceee_inter_seuil2)
))),0)*(S$58&gt;=700)+
(S$3="isolé")*IF(S$13="ga_p",(
(S$16=2010)*(S$99*((S$99=1)*ceee_taux_1enf_ga+(S$99=2)*ceee_taux_2enf_ga+(S$99=3)*ceee_taux_3enf_ga+(S$99=4)*ceee_taux_4enf_ga+(S$99=5)*ceee_taux_5enf_ga+(S$99=6)*ceee_taux_6enf_ga)*MAX(S$58-ceee_abat,0))
+(S$16=2018)*MAX(0,(MIN(S$99*((S$99=1)*ceeeb_taux_1enf_ga+(S$99=2)*ceeeb_taux_2enf_ga+(S$99=3)*ceeeb_taux_3enf_ga+(S$99=4)*ceeeb_taux_4enf_ga+(S$99=5)*ceeeb_taux_5enf_ga+(S$99=6)*ceeeb_taux_6enf_ga)*S$58,S$58-ceeeb_reste_à_vivre)))
+(S$16="inter")*IF(S$58&lt;=ceee_inter_seuil1,
(S$99*((S$99=1)*ceee_taux_1enf_ga+(S$99=2)*ceee_taux_2enf_ga+(S$99=3)*ceee_taux_3enf_ga+(S$99=4)*ceee_taux_4enf_ga+(S$99=5)*ceee_taux_5enf_ga+(S$99=6)*ceee_taux_6enf_ga)*MAX(S$58-ceee_abat,0)),
IF(S$58&gt;=ceee_inter_seuil2,
(MIN(S$99*((S$99=1)*ceeeb_taux_1enf_ga+(S$99=2)*ceeeb_taux_2enf_ga+(S$99=3)*ceeeb_taux_3enf_ga+(S$99=4)*ceeeb_taux_4enf_ga+(S$99=5)*ceeeb_taux_5enf_ga+(S$99=6)*ceeeb_taux_6enf_ga)*S$58,S$58-ceeeb_reste_à_vivre)),
(S$99*((S$99=1)*ceeeb_taux_1enf_ga+(S$99=2)*ceeeb_taux_2enf_ga+(S$99=3)*ceeeb_taux_3enf_ga+(S$99=4)*ceeeb_taux_4enf_ga+(S$99=5)*ceeeb_taux_5enf_ga+(S$99=6)*ceeeb_taux_6enf_ga))*(ceee_inter_coef*S$58+(1-ceee_inter_coef)*ceee_inter_seuil2)
))),0)*(S$58&gt;=700)</f>
        <v>0</v>
      </c>
      <c r="T53" s="340">
        <f>(T$3="isolé")*IF(T$13="png",(
(T$16=2010)*(T$99*((T$99=1)*ceee_taux_1enf+(T$99=2)*ceee_taux_2enf+(T$99=3)*ceee_taux_3enf+(T$99=4)*ceee_taux_4enf+(T$99=5)*ceee_taux_5enf+(T$99=6)*ceee_taux_6enf)*MAX(T$58-ceee_abat,0))
+(T$16=2018)*MAX(0,(MIN(T$99*((T$99=1)*ceeeb_taux_1enf+(T$99=2)*ceeeb_taux_2enf+(T$99=3)*ceeeb_taux_3enf+(T$99=4)*ceeeb_taux_4enf+(T$99=5)*ceeeb_taux_5enf+(T$99=6)*ceeeb_taux_6enf)*MAX(T$58,1.035*T$214),T$58-ceeeb_reste_à_vivre)))
+(T$16="inter")*IF(T$58&lt;=ceee_inter_seuil1,
(T$99*((T$99=1)*ceee_taux_1enf+(T$99=2)*ceee_taux_2enf+(T$99=3)*ceee_taux_3enf+(T$99=4)*ceee_taux_4enf+(T$99=5)*ceee_taux_5enf+(T$99=6)*ceee_taux_6enf)*MAX(T$58-ceee_abat,0)),
IF(T$58&gt;=ceee_inter_seuil2,
(MIN(T$99*((T$99=1)*ceeeb_taux_1enf+(T$99=2)*ceeeb_taux_2enf+(T$99=3)*ceeeb_taux_3enf+(T$99=4)*ceeeb_taux_4enf+(T$99=5)*ceeeb_taux_5enf+(T$99=6)*ceeeb_taux_6enf)*T$58,T$58-ceeeb_reste_à_vivre)),
(T$99*((T$99=1)*ceeeb_taux_1enf+(T$99=2)*ceeeb_taux_2enf+(T$99=3)*ceeeb_taux_3enf+(T$99=4)*ceeeb_taux_4enf+(T$99=5)*ceeeb_taux_5enf+(T$99=6)*ceeeb_taux_6enf))*(ceee_inter_coef*T$58+(1-ceee_inter_coef)*ceee_inter_seuil2)
))),0)*(T$58&gt;=700)+
(T$3="isolé")*IF(T$13="ga_p",(
(T$16=2010)*(T$99*((T$99=1)*ceee_taux_1enf_ga+(T$99=2)*ceee_taux_2enf_ga+(T$99=3)*ceee_taux_3enf_ga+(T$99=4)*ceee_taux_4enf_ga+(T$99=5)*ceee_taux_5enf_ga+(T$99=6)*ceee_taux_6enf_ga)*MAX(T$58-ceee_abat,0))
+(T$16=2018)*MAX(0,(MIN(T$99*((T$99=1)*ceeeb_taux_1enf_ga+(T$99=2)*ceeeb_taux_2enf_ga+(T$99=3)*ceeeb_taux_3enf_ga+(T$99=4)*ceeeb_taux_4enf_ga+(T$99=5)*ceeeb_taux_5enf_ga+(T$99=6)*ceeeb_taux_6enf_ga)*T$58,T$58-ceeeb_reste_à_vivre)))
+(T$16="inter")*IF(T$58&lt;=ceee_inter_seuil1,
(T$99*((T$99=1)*ceee_taux_1enf_ga+(T$99=2)*ceee_taux_2enf_ga+(T$99=3)*ceee_taux_3enf_ga+(T$99=4)*ceee_taux_4enf_ga+(T$99=5)*ceee_taux_5enf_ga+(T$99=6)*ceee_taux_6enf_ga)*MAX(T$58-ceee_abat,0)),
IF(T$58&gt;=ceee_inter_seuil2,
(MIN(T$99*((T$99=1)*ceeeb_taux_1enf_ga+(T$99=2)*ceeeb_taux_2enf_ga+(T$99=3)*ceeeb_taux_3enf_ga+(T$99=4)*ceeeb_taux_4enf_ga+(T$99=5)*ceeeb_taux_5enf_ga+(T$99=6)*ceeeb_taux_6enf_ga)*T$58,T$58-ceeeb_reste_à_vivre)),
(T$99*((T$99=1)*ceeeb_taux_1enf_ga+(T$99=2)*ceeeb_taux_2enf_ga+(T$99=3)*ceeeb_taux_3enf_ga+(T$99=4)*ceeeb_taux_4enf_ga+(T$99=5)*ceeeb_taux_5enf_ga+(T$99=6)*ceeeb_taux_6enf_ga))*(ceee_inter_coef*T$58+(1-ceee_inter_coef)*ceee_inter_seuil2)
))),0)*(T$58&gt;=700)</f>
        <v>0</v>
      </c>
      <c r="U53" s="340">
        <f>(U$3="isolé")*IF(U$13="png",(
(U$16=2010)*(U$99*((U$99=1)*ceee_taux_1enf+(U$99=2)*ceee_taux_2enf+(U$99=3)*ceee_taux_3enf+(U$99=4)*ceee_taux_4enf+(U$99=5)*ceee_taux_5enf+(U$99=6)*ceee_taux_6enf)*MAX(U$58-ceee_abat,0))
+(U$16=2018)*MAX(0,(MIN(U$99*((U$99=1)*ceeeb_taux_1enf+(U$99=2)*ceeeb_taux_2enf+(U$99=3)*ceeeb_taux_3enf+(U$99=4)*ceeeb_taux_4enf+(U$99=5)*ceeeb_taux_5enf+(U$99=6)*ceeeb_taux_6enf)*MAX(U$58,1.035*U$214),U$58-ceeeb_reste_à_vivre)))
+(U$16="inter")*IF(U$58&lt;=ceee_inter_seuil1,
(U$99*((U$99=1)*ceee_taux_1enf+(U$99=2)*ceee_taux_2enf+(U$99=3)*ceee_taux_3enf+(U$99=4)*ceee_taux_4enf+(U$99=5)*ceee_taux_5enf+(U$99=6)*ceee_taux_6enf)*MAX(U$58-ceee_abat,0)),
IF(U$58&gt;=ceee_inter_seuil2,
(MIN(U$99*((U$99=1)*ceeeb_taux_1enf+(U$99=2)*ceeeb_taux_2enf+(U$99=3)*ceeeb_taux_3enf+(U$99=4)*ceeeb_taux_4enf+(U$99=5)*ceeeb_taux_5enf+(U$99=6)*ceeeb_taux_6enf)*U$58,U$58-ceeeb_reste_à_vivre)),
(U$99*((U$99=1)*ceeeb_taux_1enf+(U$99=2)*ceeeb_taux_2enf+(U$99=3)*ceeeb_taux_3enf+(U$99=4)*ceeeb_taux_4enf+(U$99=5)*ceeeb_taux_5enf+(U$99=6)*ceeeb_taux_6enf))*(ceee_inter_coef*U$58+(1-ceee_inter_coef)*ceee_inter_seuil2)
))),0)*(U$58&gt;=700)+
(U$3="isolé")*IF(U$13="ga_p",(
(U$16=2010)*(U$99*((U$99=1)*ceee_taux_1enf_ga+(U$99=2)*ceee_taux_2enf_ga+(U$99=3)*ceee_taux_3enf_ga+(U$99=4)*ceee_taux_4enf_ga+(U$99=5)*ceee_taux_5enf_ga+(U$99=6)*ceee_taux_6enf_ga)*MAX(U$58-ceee_abat,0))
+(U$16=2018)*MAX(0,(MIN(U$99*((U$99=1)*ceeeb_taux_1enf_ga+(U$99=2)*ceeeb_taux_2enf_ga+(U$99=3)*ceeeb_taux_3enf_ga+(U$99=4)*ceeeb_taux_4enf_ga+(U$99=5)*ceeeb_taux_5enf_ga+(U$99=6)*ceeeb_taux_6enf_ga)*U$58,U$58-ceeeb_reste_à_vivre)))
+(U$16="inter")*IF(U$58&lt;=ceee_inter_seuil1,
(U$99*((U$99=1)*ceee_taux_1enf_ga+(U$99=2)*ceee_taux_2enf_ga+(U$99=3)*ceee_taux_3enf_ga+(U$99=4)*ceee_taux_4enf_ga+(U$99=5)*ceee_taux_5enf_ga+(U$99=6)*ceee_taux_6enf_ga)*MAX(U$58-ceee_abat,0)),
IF(U$58&gt;=ceee_inter_seuil2,
(MIN(U$99*((U$99=1)*ceeeb_taux_1enf_ga+(U$99=2)*ceeeb_taux_2enf_ga+(U$99=3)*ceeeb_taux_3enf_ga+(U$99=4)*ceeeb_taux_4enf_ga+(U$99=5)*ceeeb_taux_5enf_ga+(U$99=6)*ceeeb_taux_6enf_ga)*U$58,U$58-ceeeb_reste_à_vivre)),
(U$99*((U$99=1)*ceeeb_taux_1enf_ga+(U$99=2)*ceeeb_taux_2enf_ga+(U$99=3)*ceeeb_taux_3enf_ga+(U$99=4)*ceeeb_taux_4enf_ga+(U$99=5)*ceeeb_taux_5enf_ga+(U$99=6)*ceeeb_taux_6enf_ga))*(ceee_inter_coef*U$58+(1-ceee_inter_coef)*ceee_inter_seuil2)
))),0)*(U$58&gt;=700)</f>
        <v>0</v>
      </c>
    </row>
    <row r="54" spans="1:21" x14ac:dyDescent="0.25">
      <c r="C54"/>
      <c r="D54"/>
      <c r="E54"/>
      <c r="F54"/>
      <c r="H54"/>
      <c r="I54"/>
      <c r="J54"/>
      <c r="K54"/>
      <c r="M54"/>
      <c r="N54"/>
      <c r="O54"/>
      <c r="P54"/>
      <c r="R54"/>
      <c r="S54"/>
      <c r="T54"/>
      <c r="U54"/>
    </row>
    <row r="55" spans="1:21" ht="13" x14ac:dyDescent="0.3">
      <c r="A55" s="219" t="s">
        <v>390</v>
      </c>
      <c r="B55" s="89"/>
      <c r="C55" s="328"/>
      <c r="D55" s="328"/>
      <c r="E55" s="328"/>
      <c r="F55" s="328"/>
      <c r="H55" s="328"/>
      <c r="I55" s="328"/>
      <c r="J55" s="328"/>
      <c r="K55" s="328"/>
      <c r="M55" s="328"/>
      <c r="N55" s="328"/>
      <c r="O55" s="328"/>
      <c r="P55" s="328"/>
      <c r="R55" s="328"/>
      <c r="S55" s="328"/>
      <c r="T55" s="328"/>
      <c r="U55" s="328"/>
    </row>
    <row r="56" spans="1:21" ht="13.9" customHeight="1" x14ac:dyDescent="0.25">
      <c r="A56" s="220" t="s">
        <v>396</v>
      </c>
      <c r="B56" s="229"/>
      <c r="C56" s="211">
        <f>C38+(C$3="couple")*C39</f>
        <v>0</v>
      </c>
      <c r="D56" s="211">
        <f>D38+(D$3="couple")*D39</f>
        <v>699.35</v>
      </c>
      <c r="E56" s="211">
        <f>E38+(E$3="couple")*E39</f>
        <v>1398.7</v>
      </c>
      <c r="F56" s="211">
        <f>F38+(F$3="couple")*F39</f>
        <v>2098.0500000000002</v>
      </c>
      <c r="H56" s="211">
        <f>H38+(H$3="couple")*H39</f>
        <v>0</v>
      </c>
      <c r="I56" s="211">
        <f>I38+(I$3="couple")*I39</f>
        <v>699.35</v>
      </c>
      <c r="J56" s="211">
        <f>J38+(J$3="couple")*J39</f>
        <v>1398.7</v>
      </c>
      <c r="K56" s="211">
        <f>K38+(K$3="couple")*K39</f>
        <v>2098.0500000000002</v>
      </c>
      <c r="M56" s="211">
        <f>M38+(M$3="couple")*M39</f>
        <v>0</v>
      </c>
      <c r="N56" s="211">
        <f>N38+(N$3="couple")*N39</f>
        <v>699.35</v>
      </c>
      <c r="O56" s="211">
        <f>O38+(O$3="couple")*O39</f>
        <v>1398.7</v>
      </c>
      <c r="P56" s="211">
        <f>P38+(P$3="couple")*P39</f>
        <v>2098.0500000000002</v>
      </c>
      <c r="R56" s="211">
        <f>R38+(R$3="couple")*R39</f>
        <v>0</v>
      </c>
      <c r="S56" s="211">
        <f>S38+(S$3="couple")*S39</f>
        <v>699.35</v>
      </c>
      <c r="T56" s="211">
        <f>T38+(T$3="couple")*T39</f>
        <v>1398.7</v>
      </c>
      <c r="U56" s="211">
        <f>U38+(U$3="couple")*U39</f>
        <v>2098.0500000000002</v>
      </c>
    </row>
    <row r="57" spans="1:21" x14ac:dyDescent="0.25">
      <c r="A57" s="225" t="s">
        <v>397</v>
      </c>
      <c r="B57" s="230"/>
      <c r="C57" s="212">
        <f>(C35="chômeur")*IF(C45="calcul",C111,C46)+(C$3="couple")*(C36="chômeur")*IF(C48="calcul",C116,C49)</f>
        <v>0</v>
      </c>
      <c r="D57" s="212">
        <f>(D35="chômeur")*IF(D45="calcul",D111,D46)+(D$3="couple")*(D36="chômeur")*IF(D48="calcul",D116,D49)</f>
        <v>0</v>
      </c>
      <c r="E57" s="212">
        <f>(E35="chômeur")*IF(E45="calcul",E111,E46)+(E$3="couple")*(E36="chômeur")*IF(E48="calcul",E116,E49)</f>
        <v>0</v>
      </c>
      <c r="F57" s="212">
        <f>(F35="chômeur")*IF(F45="calcul",F111,F46)+(F$3="couple")*(F36="chômeur")*IF(F48="calcul",F116,F49)</f>
        <v>0</v>
      </c>
      <c r="H57" s="212">
        <f>(H35="chômeur")*IF(H45="calcul",H111,H46)+(H$3="couple")*(H36="chômeur")*IF(H48="calcul",H116,H49)</f>
        <v>0</v>
      </c>
      <c r="I57" s="212">
        <f>(I35="chômeur")*IF(I45="calcul",I111,I46)+(I$3="couple")*(I36="chômeur")*IF(I48="calcul",I116,I49)</f>
        <v>0</v>
      </c>
      <c r="J57" s="212">
        <f>(J35="chômeur")*IF(J45="calcul",J111,J46)+(J$3="couple")*(J36="chômeur")*IF(J48="calcul",J116,J49)</f>
        <v>0</v>
      </c>
      <c r="K57" s="212">
        <f>(K35="chômeur")*IF(K45="calcul",K111,K46)+(K$3="couple")*(K36="chômeur")*IF(K48="calcul",K116,K49)</f>
        <v>0</v>
      </c>
      <c r="M57" s="212">
        <f>(M35="chômeur")*IF(M45="calcul",M111,M46)+(M$3="couple")*(M36="chômeur")*IF(M48="calcul",M116,M49)</f>
        <v>0</v>
      </c>
      <c r="N57" s="212">
        <f>(N35="chômeur")*IF(N45="calcul",N111,N46)+(N$3="couple")*(N36="chômeur")*IF(N48="calcul",N116,N49)</f>
        <v>0</v>
      </c>
      <c r="O57" s="212">
        <f>(O35="chômeur")*IF(O45="calcul",O111,O46)+(O$3="couple")*(O36="chômeur")*IF(O48="calcul",O116,O49)</f>
        <v>0</v>
      </c>
      <c r="P57" s="212">
        <f>(P35="chômeur")*IF(P45="calcul",P111,P46)+(P$3="couple")*(P36="chômeur")*IF(P48="calcul",P116,P49)</f>
        <v>0</v>
      </c>
      <c r="R57" s="212">
        <f>(R35="chômeur")*IF(R45="calcul",R111,R46)+(R$3="couple")*(R36="chômeur")*IF(R48="calcul",R116,R49)</f>
        <v>0</v>
      </c>
      <c r="S57" s="212">
        <f>(S35="chômeur")*IF(S45="calcul",S111,S46)+(S$3="couple")*(S36="chômeur")*IF(S48="calcul",S116,S49)</f>
        <v>0</v>
      </c>
      <c r="T57" s="212">
        <f>(T35="chômeur")*IF(T45="calcul",T111,T46)+(T$3="couple")*(T36="chômeur")*IF(T48="calcul",T116,T49)</f>
        <v>0</v>
      </c>
      <c r="U57" s="212">
        <f>(U35="chômeur")*IF(U45="calcul",U111,U46)+(U$3="couple")*(U36="chômeur")*IF(U48="calcul",U116,U49)</f>
        <v>0</v>
      </c>
    </row>
    <row r="58" spans="1:21" ht="13" x14ac:dyDescent="0.3">
      <c r="A58" s="222" t="s">
        <v>346</v>
      </c>
      <c r="B58" s="228"/>
      <c r="C58" s="214">
        <f t="shared" ref="C58:F58" si="10">SUM(C56:C57)</f>
        <v>0</v>
      </c>
      <c r="D58" s="214">
        <f t="shared" si="10"/>
        <v>699.35</v>
      </c>
      <c r="E58" s="214">
        <f t="shared" si="10"/>
        <v>1398.7</v>
      </c>
      <c r="F58" s="214">
        <f t="shared" si="10"/>
        <v>2098.0500000000002</v>
      </c>
      <c r="H58" s="214">
        <f t="shared" ref="H58:K58" si="11">SUM(H56:H57)</f>
        <v>0</v>
      </c>
      <c r="I58" s="214">
        <f t="shared" si="11"/>
        <v>699.35</v>
      </c>
      <c r="J58" s="214">
        <f t="shared" si="11"/>
        <v>1398.7</v>
      </c>
      <c r="K58" s="214">
        <f t="shared" si="11"/>
        <v>2098.0500000000002</v>
      </c>
      <c r="M58" s="214">
        <f t="shared" ref="M58:P58" si="12">SUM(M56:M57)</f>
        <v>0</v>
      </c>
      <c r="N58" s="214">
        <f t="shared" si="12"/>
        <v>699.35</v>
      </c>
      <c r="O58" s="214">
        <f t="shared" si="12"/>
        <v>1398.7</v>
      </c>
      <c r="P58" s="214">
        <f t="shared" si="12"/>
        <v>2098.0500000000002</v>
      </c>
      <c r="R58" s="214">
        <f t="shared" ref="R58:U58" si="13">SUM(R56:R57)</f>
        <v>0</v>
      </c>
      <c r="S58" s="214">
        <f t="shared" si="13"/>
        <v>699.35</v>
      </c>
      <c r="T58" s="214">
        <f t="shared" si="13"/>
        <v>1398.7</v>
      </c>
      <c r="U58" s="214">
        <f t="shared" si="13"/>
        <v>2098.0500000000002</v>
      </c>
    </row>
    <row r="59" spans="1:21" x14ac:dyDescent="0.25">
      <c r="A59" s="223" t="s">
        <v>1</v>
      </c>
      <c r="B59" s="229"/>
      <c r="C59" s="211">
        <f>IF(OR(C13="ga_m",C13="ga_p"),0.5,IF(C13="png",0,1))*((C$127+C$128+C$129)*IF(C$119&lt;=C$130,1,IF(C$119&lt;=C$131,0.5,0.25))+C$132)</f>
        <v>0</v>
      </c>
      <c r="D59" s="211">
        <f>IF(OR(D13="ga_m",D13="ga_p"),0.5,IF(D13="png",0,1))*((D$127+D$128+D$129)*IF(D$119&lt;=D$130,1,IF(D$119&lt;=D$131,0.5,0.25))+D$132)</f>
        <v>0</v>
      </c>
      <c r="E59" s="211">
        <f>IF(OR(E13="ga_m",E13="ga_p"),0.5,IF(E13="png",0,1))*((E$127+E$128+E$129)*IF(E$119&lt;=E$130,1,IF(E$119&lt;=E$131,0.5,0.25))+E$132)</f>
        <v>0</v>
      </c>
      <c r="F59" s="211">
        <f>IF(OR(F13="ga_m",F13="ga_p"),0.5,IF(F13="png",0,1))*((F$127+F$128+F$129)*IF(F$119&lt;=F$130,1,IF(F$119&lt;=F$131,0.5,0.25))+F$132)</f>
        <v>0</v>
      </c>
      <c r="H59" s="211">
        <f>IF(OR(H13="ga_m",H13="ga_p"),0.5,IF(H13="png",0,1))*((H$127+H$128+H$129)*IF(H$119&lt;=H$130,1,IF(H$119&lt;=H$131,0.5,0.25))+H$132)</f>
        <v>0</v>
      </c>
      <c r="I59" s="211">
        <f>IF(OR(I13="ga_m",I13="ga_p"),0.5,IF(I13="png",0,1))*((I$127+I$128+I$129)*IF(I$119&lt;=I$130,1,IF(I$119&lt;=I$131,0.5,0.25))+I$132)</f>
        <v>0</v>
      </c>
      <c r="J59" s="211">
        <f>IF(OR(J13="ga_m",J13="ga_p"),0.5,IF(J13="png",0,1))*((J$127+J$128+J$129)*IF(J$119&lt;=J$130,1,IF(J$119&lt;=J$131,0.5,0.25))+J$132)</f>
        <v>0</v>
      </c>
      <c r="K59" s="211">
        <f>IF(OR(K13="ga_m",K13="ga_p"),0.5,IF(K13="png",0,1))*((K$127+K$128+K$129)*IF(K$119&lt;=K$130,1,IF(K$119&lt;=K$131,0.5,0.25))+K$132)</f>
        <v>0</v>
      </c>
      <c r="M59" s="211">
        <f>IF(OR(M13="ga_m",M13="ga_p"),0.5,IF(M13="png",0,1))*((M$127+M$128+M$129)*IF(M$119&lt;=M$130,1,IF(M$119&lt;=M$131,0.5,0.25))+M$132)</f>
        <v>148.51449599999998</v>
      </c>
      <c r="N59" s="211">
        <f>IF(OR(N13="ga_m",N13="ga_p"),0.5,IF(N13="png",0,1))*((N$127+N$128+N$129)*IF(N$119&lt;=N$130,1,IF(N$119&lt;=N$131,0.5,0.25))+N$132)</f>
        <v>148.51449599999998</v>
      </c>
      <c r="O59" s="211">
        <f>IF(OR(O13="ga_m",O13="ga_p"),0.5,IF(O13="png",0,1))*((O$127+O$128+O$129)*IF(O$119&lt;=O$130,1,IF(O$119&lt;=O$131,0.5,0.25))+O$132)</f>
        <v>148.51449599999998</v>
      </c>
      <c r="P59" s="211">
        <f>IF(OR(P13="ga_m",P13="ga_p"),0.5,IF(P13="png",0,1))*((P$127+P$128+P$129)*IF(P$119&lt;=P$130,1,IF(P$119&lt;=P$131,0.5,0.25))+P$132)</f>
        <v>148.51449599999998</v>
      </c>
      <c r="R59" s="211">
        <f>IF(OR(R13="ga_m",R13="ga_p"),0.5,IF(R13="png",0,1))*((R$127+R$128+R$129)*IF(R$119&lt;=R$130,1,IF(R$119&lt;=R$131,0.5,0.25))+R$132)</f>
        <v>338.79869399999995</v>
      </c>
      <c r="S59" s="211">
        <f>IF(OR(S13="ga_m",S13="ga_p"),0.5,IF(S13="png",0,1))*((S$127+S$128+S$129)*IF(S$119&lt;=S$130,1,IF(S$119&lt;=S$131,0.5,0.25))+S$132)</f>
        <v>338.79869399999995</v>
      </c>
      <c r="T59" s="211">
        <f>IF(OR(T13="ga_m",T13="ga_p"),0.5,IF(T13="png",0,1))*((T$127+T$128+T$129)*IF(T$119&lt;=T$130,1,IF(T$119&lt;=T$131,0.5,0.25))+T$132)</f>
        <v>338.79869399999995</v>
      </c>
      <c r="U59" s="211">
        <f>IF(OR(U13="ga_m",U13="ga_p"),0.5,IF(U13="png",0,1))*((U$127+U$128+U$129)*IF(U$119&lt;=U$130,1,IF(U$119&lt;=U$131,0.5,0.25))+U$132)</f>
        <v>338.79869399999995</v>
      </c>
    </row>
    <row r="60" spans="1:21" x14ac:dyDescent="0.25">
      <c r="A60" s="224" t="s">
        <v>135</v>
      </c>
      <c r="B60" s="230"/>
      <c r="C60" s="212">
        <f>(C$13&lt;&gt;"ga_p")*C$137</f>
        <v>0</v>
      </c>
      <c r="D60" s="212">
        <f>(D$13&lt;&gt;"ga_p")*D$137</f>
        <v>0</v>
      </c>
      <c r="E60" s="212">
        <f>(E$13&lt;&gt;"ga_p")*E$137</f>
        <v>0</v>
      </c>
      <c r="F60" s="212">
        <f>(F$13&lt;&gt;"ga_p")*F$137</f>
        <v>0</v>
      </c>
      <c r="H60" s="212">
        <f>(H$13&lt;&gt;"ga_p")*H$137</f>
        <v>0</v>
      </c>
      <c r="I60" s="212">
        <f>(I$13&lt;&gt;"ga_p")*I$137</f>
        <v>0</v>
      </c>
      <c r="J60" s="212">
        <f>(J$13&lt;&gt;"ga_p")*J$137</f>
        <v>0</v>
      </c>
      <c r="K60" s="212">
        <f>(K$13&lt;&gt;"ga_p")*K$137</f>
        <v>0</v>
      </c>
      <c r="M60" s="212">
        <f>(M$13&lt;&gt;"ga_p")*M$137</f>
        <v>0</v>
      </c>
      <c r="N60" s="212">
        <f>(N$13&lt;&gt;"ga_p")*N$137</f>
        <v>0</v>
      </c>
      <c r="O60" s="212">
        <f>(O$13&lt;&gt;"ga_p")*O$137</f>
        <v>0</v>
      </c>
      <c r="P60" s="212">
        <f>(P$13&lt;&gt;"ga_p")*P$137</f>
        <v>0</v>
      </c>
      <c r="R60" s="212">
        <f>(R$13&lt;&gt;"ga_p")*R$137</f>
        <v>193.3008987</v>
      </c>
      <c r="S60" s="212">
        <f>(S$13&lt;&gt;"ga_p")*S$137</f>
        <v>193.3008987</v>
      </c>
      <c r="T60" s="212">
        <f>(T$13&lt;&gt;"ga_p")*T$137</f>
        <v>193.3008987</v>
      </c>
      <c r="U60" s="212">
        <f>(U$13&lt;&gt;"ga_p")*U$137</f>
        <v>193.3008987</v>
      </c>
    </row>
    <row r="61" spans="1:21" x14ac:dyDescent="0.25">
      <c r="A61" s="224" t="s">
        <v>136</v>
      </c>
      <c r="B61" s="230"/>
      <c r="C61" s="212">
        <f>(C$13&lt;&gt;"ga_p")*C$138</f>
        <v>0</v>
      </c>
      <c r="D61" s="212">
        <f>(D$13&lt;&gt;"ga_p")*D$138</f>
        <v>0</v>
      </c>
      <c r="E61" s="212">
        <f>(E$13&lt;&gt;"ga_p")*E$138</f>
        <v>0</v>
      </c>
      <c r="F61" s="212">
        <f>(F$13&lt;&gt;"ga_p")*F$138</f>
        <v>0</v>
      </c>
      <c r="H61" s="212">
        <f>(H$13&lt;&gt;"ga_p")*H$138</f>
        <v>0</v>
      </c>
      <c r="I61" s="212">
        <f>(I$13&lt;&gt;"ga_p")*I$138</f>
        <v>0</v>
      </c>
      <c r="J61" s="212">
        <f>(J$13&lt;&gt;"ga_p")*J$138</f>
        <v>0</v>
      </c>
      <c r="K61" s="212">
        <f>(K$13&lt;&gt;"ga_p")*K$138</f>
        <v>0</v>
      </c>
      <c r="M61" s="212">
        <f>(M$13&lt;&gt;"ga_p")*M$138</f>
        <v>0</v>
      </c>
      <c r="N61" s="212">
        <f>(N$13&lt;&gt;"ga_p")*N$138</f>
        <v>0</v>
      </c>
      <c r="O61" s="212">
        <f>(O$13&lt;&gt;"ga_p")*O$138</f>
        <v>0</v>
      </c>
      <c r="P61" s="212">
        <f>(P$13&lt;&gt;"ga_p")*P$138</f>
        <v>0</v>
      </c>
      <c r="R61" s="212">
        <f>(R$13&lt;&gt;"ga_p")*R$138</f>
        <v>96.673654740000018</v>
      </c>
      <c r="S61" s="212">
        <f>(S$13&lt;&gt;"ga_p")*S$138</f>
        <v>96.673654740000018</v>
      </c>
      <c r="T61" s="212">
        <f>(T$13&lt;&gt;"ga_p")*T$138</f>
        <v>96.673654740000018</v>
      </c>
      <c r="U61" s="212">
        <f>(U$13&lt;&gt;"ga_p")*U$138</f>
        <v>0</v>
      </c>
    </row>
    <row r="62" spans="1:21" x14ac:dyDescent="0.25">
      <c r="A62" s="224" t="s">
        <v>2</v>
      </c>
      <c r="B62" s="230"/>
      <c r="C62" s="212">
        <f>(C$13&lt;&gt;"ga_p")*((C$18=1)*(C$3="isolé")*MAX(0,asf*C97-C$52)*((asf*C$97-C$52)&gt;=15))</f>
        <v>0</v>
      </c>
      <c r="D62" s="212">
        <f>(D$13&lt;&gt;"ga_p")*((D$18=1)*(D$3="isolé")*MAX(0,asf*D97-D$52)*((asf*D$97-D$52)&gt;=15))</f>
        <v>0</v>
      </c>
      <c r="E62" s="212">
        <f>(E$13&lt;&gt;"ga_p")*((E$18=1)*(E$3="isolé")*MAX(0,asf*E97-E$52)*((asf*E$97-E$52)&gt;=15))</f>
        <v>0</v>
      </c>
      <c r="F62" s="212">
        <f>(F$13&lt;&gt;"ga_p")*((F$18=1)*(F$3="isolé")*MAX(0,asf*F97-F$52)*((asf*F$97-F$52)&gt;=15))</f>
        <v>0</v>
      </c>
      <c r="H62" s="212">
        <f>(H$13&lt;&gt;"ga_p")*((H$18=1)*(H$3="isolé")*MAX(0,asf*H97-H$52)*((asf*H$97-H$52)&gt;=15))</f>
        <v>0</v>
      </c>
      <c r="I62" s="212">
        <f>(I$13&lt;&gt;"ga_p")*((I$18=1)*(I$3="isolé")*MAX(0,asf*I97-I$52)*((asf*I$97-I$52)&gt;=15))</f>
        <v>0</v>
      </c>
      <c r="J62" s="212">
        <f>(J$13&lt;&gt;"ga_p")*((J$18=1)*(J$3="isolé")*MAX(0,asf*J97-J$52)*((asf*J$97-J$52)&gt;=15))</f>
        <v>0</v>
      </c>
      <c r="K62" s="212">
        <f>(K$13&lt;&gt;"ga_p")*((K$18=1)*(K$3="isolé")*MAX(0,asf*K97-K$52)*((asf*K$97-K$52)&gt;=15))</f>
        <v>0</v>
      </c>
      <c r="M62" s="212">
        <f>(M$13&lt;&gt;"ga_p")*((M$18=1)*(M$3="isolé")*MAX(0,asf*M97-M$52)*((asf*M$97-M$52)&gt;=15))</f>
        <v>0</v>
      </c>
      <c r="N62" s="212">
        <f>(N$13&lt;&gt;"ga_p")*((N$18=1)*(N$3="isolé")*MAX(0,asf*N97-N$52)*((asf*N$97-N$52)&gt;=15))</f>
        <v>0</v>
      </c>
      <c r="O62" s="212">
        <f>(O$13&lt;&gt;"ga_p")*((O$18=1)*(O$3="isolé")*MAX(0,asf*O97-O$52)*((asf*O$97-O$52)&gt;=15))</f>
        <v>0</v>
      </c>
      <c r="P62" s="212">
        <f>(P$13&lt;&gt;"ga_p")*((P$18=1)*(P$3="isolé")*MAX(0,asf*P97-P$52)*((asf*P$97-P$52)&gt;=15))</f>
        <v>0</v>
      </c>
      <c r="R62" s="212">
        <f>(R$13&lt;&gt;"ga_p")*((R$18=1)*(R$3="isolé")*MAX(0,asf*R97-R$52)*((asf*R$97-R$52)&gt;=15))</f>
        <v>0</v>
      </c>
      <c r="S62" s="212">
        <f>(S$13&lt;&gt;"ga_p")*((S$18=1)*(S$3="isolé")*MAX(0,asf*S97-S$52)*((asf*S$97-S$52)&gt;=15))</f>
        <v>0</v>
      </c>
      <c r="T62" s="212">
        <f>(T$13&lt;&gt;"ga_p")*((T$18=1)*(T$3="isolé")*MAX(0,asf*T97-T$52)*((asf*T$97-T$52)&gt;=15))</f>
        <v>0</v>
      </c>
      <c r="U62" s="212">
        <f>(U$13&lt;&gt;"ga_p")*((U$18=1)*(U$3="isolé")*MAX(0,asf*U97-U$52)*((asf*U$97-U$52)&gt;=15))</f>
        <v>0</v>
      </c>
    </row>
    <row r="63" spans="1:21" x14ac:dyDescent="0.25">
      <c r="A63" s="224" t="s">
        <v>69</v>
      </c>
      <c r="B63" s="230"/>
      <c r="C63" s="212">
        <f>(C$13&lt;&gt;"ga_p")*C143/12</f>
        <v>0</v>
      </c>
      <c r="D63" s="212">
        <f>(D$13&lt;&gt;"ga_p")*D143/12</f>
        <v>0</v>
      </c>
      <c r="E63" s="212">
        <f>(E$13&lt;&gt;"ga_p")*E143/12</f>
        <v>0</v>
      </c>
      <c r="F63" s="212">
        <f>(F$13&lt;&gt;"ga_p")*F143/12</f>
        <v>0</v>
      </c>
      <c r="H63" s="212">
        <f>(H$13&lt;&gt;"ga_p")*H143/12</f>
        <v>0</v>
      </c>
      <c r="I63" s="212">
        <f>(I$13&lt;&gt;"ga_p")*I143/12</f>
        <v>0</v>
      </c>
      <c r="J63" s="212">
        <f>(J$13&lt;&gt;"ga_p")*J143/12</f>
        <v>0</v>
      </c>
      <c r="K63" s="212">
        <f>(K$13&lt;&gt;"ga_p")*K143/12</f>
        <v>0</v>
      </c>
      <c r="M63" s="212">
        <f>(M$13&lt;&gt;"ga_p")*M143/12</f>
        <v>34.69979318</v>
      </c>
      <c r="N63" s="212">
        <f>(N$13&lt;&gt;"ga_p")*N143/12</f>
        <v>34.69979318</v>
      </c>
      <c r="O63" s="212">
        <f>(O$13&lt;&gt;"ga_p")*O143/12</f>
        <v>34.69979318</v>
      </c>
      <c r="P63" s="212">
        <f>(P$13&lt;&gt;"ga_p")*P143/12</f>
        <v>34.69979318</v>
      </c>
      <c r="R63" s="212">
        <f>(R$13&lt;&gt;"ga_p")*R143/12</f>
        <v>69.399586360000001</v>
      </c>
      <c r="S63" s="212">
        <f>(S$13&lt;&gt;"ga_p")*S143/12</f>
        <v>69.399586360000001</v>
      </c>
      <c r="T63" s="212">
        <f>(T$13&lt;&gt;"ga_p")*T143/12</f>
        <v>69.399586360000001</v>
      </c>
      <c r="U63" s="212">
        <f>(U$13&lt;&gt;"ga_p")*U143/12</f>
        <v>69.399586360000001</v>
      </c>
    </row>
    <row r="64" spans="1:21" x14ac:dyDescent="0.25">
      <c r="A64" s="224" t="s">
        <v>49</v>
      </c>
      <c r="B64" s="230"/>
      <c r="C64" s="212">
        <f>(C$13&lt;&gt;"ga_p")*((C$100&gt;0)*IF(C$119&lt;C$146,ab,IF(C$119&lt;C$147,ab_réduit,0)))</f>
        <v>0</v>
      </c>
      <c r="D64" s="212">
        <f>(D$13&lt;&gt;"ga_p")*((D$100&gt;0)*IF(D$119&lt;D$146,ab,IF(D$119&lt;D$147,ab_réduit,0)))</f>
        <v>0</v>
      </c>
      <c r="E64" s="212">
        <f>(E$13&lt;&gt;"ga_p")*((E$100&gt;0)*IF(E$119&lt;E$146,ab,IF(E$119&lt;E$147,ab_réduit,0)))</f>
        <v>0</v>
      </c>
      <c r="F64" s="212">
        <f>(F$13&lt;&gt;"ga_p")*((F$100&gt;0)*IF(F$119&lt;F$146,ab,IF(F$119&lt;F$147,ab_réduit,0)))</f>
        <v>0</v>
      </c>
      <c r="H64" s="212">
        <f>(H$13&lt;&gt;"ga_p")*((H$100&gt;0)*IF(H$119&lt;H$146,ab,IF(H$119&lt;H$147,ab_réduit,0)))</f>
        <v>0</v>
      </c>
      <c r="I64" s="212">
        <f>(I$13&lt;&gt;"ga_p")*((I$100&gt;0)*IF(I$119&lt;I$146,ab,IF(I$119&lt;I$147,ab_réduit,0)))</f>
        <v>0</v>
      </c>
      <c r="J64" s="212">
        <f>(J$13&lt;&gt;"ga_p")*((J$100&gt;0)*IF(J$119&lt;J$146,ab,IF(J$119&lt;J$147,ab_réduit,0)))</f>
        <v>0</v>
      </c>
      <c r="K64" s="212">
        <f>(K$13&lt;&gt;"ga_p")*((K$100&gt;0)*IF(K$119&lt;K$146,ab,IF(K$119&lt;K$147,ab_réduit,0)))</f>
        <v>0</v>
      </c>
      <c r="M64" s="212">
        <f>(M$13&lt;&gt;"ga_p")*((M$100&gt;0)*IF(M$119&lt;M$146,ab,IF(M$119&lt;M$147,ab_réduit,0)))</f>
        <v>0</v>
      </c>
      <c r="N64" s="212">
        <f>(N$13&lt;&gt;"ga_p")*((N$100&gt;0)*IF(N$119&lt;N$146,ab,IF(N$119&lt;N$147,ab_réduit,0)))</f>
        <v>0</v>
      </c>
      <c r="O64" s="212">
        <f>(O$13&lt;&gt;"ga_p")*((O$100&gt;0)*IF(O$119&lt;O$146,ab,IF(O$119&lt;O$147,ab_réduit,0)))</f>
        <v>0</v>
      </c>
      <c r="P64" s="212">
        <f>(P$13&lt;&gt;"ga_p")*((P$100&gt;0)*IF(P$119&lt;P$146,ab,IF(P$119&lt;P$147,ab_réduit,0)))</f>
        <v>0</v>
      </c>
      <c r="R64" s="212">
        <f>(R$13&lt;&gt;"ga_p")*((R$100&gt;0)*IF(R$119&lt;R$146,ab,IF(R$119&lt;R$147,ab_réduit,0)))</f>
        <v>0</v>
      </c>
      <c r="S64" s="212">
        <f>(S$13&lt;&gt;"ga_p")*((S$100&gt;0)*IF(S$119&lt;S$146,ab,IF(S$119&lt;S$147,ab_réduit,0)))</f>
        <v>0</v>
      </c>
      <c r="T64" s="212">
        <f>(T$13&lt;&gt;"ga_p")*((T$100&gt;0)*IF(T$119&lt;T$146,ab,IF(T$119&lt;T$147,ab_réduit,0)))</f>
        <v>0</v>
      </c>
      <c r="U64" s="212">
        <f>(U$13&lt;&gt;"ga_p")*((U$100&gt;0)*IF(U$119&lt;U$146,ab,IF(U$119&lt;U$147,ab_réduit,0)))</f>
        <v>0</v>
      </c>
    </row>
    <row r="65" spans="1:21" x14ac:dyDescent="0.25">
      <c r="A65" s="225" t="s">
        <v>238</v>
      </c>
      <c r="B65" s="230"/>
      <c r="C65" s="212">
        <f>(C$13&lt;&gt;"ga_p")*C$152</f>
        <v>0</v>
      </c>
      <c r="D65" s="212">
        <f>(D$13&lt;&gt;"ga_p")*D$152</f>
        <v>0</v>
      </c>
      <c r="E65" s="212">
        <f>(E$13&lt;&gt;"ga_p")*E$152</f>
        <v>0</v>
      </c>
      <c r="F65" s="212">
        <f>(F$13&lt;&gt;"ga_p")*F$152</f>
        <v>0</v>
      </c>
      <c r="H65" s="212">
        <f>(H$13&lt;&gt;"ga_p")*H$152</f>
        <v>0</v>
      </c>
      <c r="I65" s="212">
        <f>(I$13&lt;&gt;"ga_p")*I$152</f>
        <v>0</v>
      </c>
      <c r="J65" s="212">
        <f>(J$13&lt;&gt;"ga_p")*J$152</f>
        <v>0</v>
      </c>
      <c r="K65" s="212">
        <f>(K$13&lt;&gt;"ga_p")*K$152</f>
        <v>0</v>
      </c>
      <c r="M65" s="212">
        <f>(M$13&lt;&gt;"ga_p")*M$152</f>
        <v>0</v>
      </c>
      <c r="N65" s="212">
        <f>(N$13&lt;&gt;"ga_p")*N$152</f>
        <v>0</v>
      </c>
      <c r="O65" s="212">
        <f>(O$13&lt;&gt;"ga_p")*O$152</f>
        <v>0</v>
      </c>
      <c r="P65" s="212">
        <f>(P$13&lt;&gt;"ga_p")*P$152</f>
        <v>0</v>
      </c>
      <c r="R65" s="212">
        <f>(R$13&lt;&gt;"ga_p")*R$152</f>
        <v>0</v>
      </c>
      <c r="S65" s="212">
        <f>(S$13&lt;&gt;"ga_p")*S$152</f>
        <v>0</v>
      </c>
      <c r="T65" s="212">
        <f>(T$13&lt;&gt;"ga_p")*T$152</f>
        <v>0</v>
      </c>
      <c r="U65" s="212">
        <f>(U$13&lt;&gt;"ga_p")*U$152</f>
        <v>0</v>
      </c>
    </row>
    <row r="66" spans="1:21" x14ac:dyDescent="0.25">
      <c r="A66" s="225" t="s">
        <v>239</v>
      </c>
      <c r="B66" s="230"/>
      <c r="C66" s="212">
        <f>(C$13&lt;&gt;"ga_p")*(((C$21&gt;0)*MIN((1-taux_CRDS)*cmg_part_max_pcsn*C$155,IF(C$119&lt;cmg_plaf_1_pct_plaf_inter*C$166,cmg_max,IF(C$119&lt;C$166,cmg_inter,cmg_min)))+(C$22+C$23&gt;0)*MIN((1-taux_CRDS)*cmg_part_max_pcsn*C$162,IF(C$119&lt;cmg_plaf_1_pct_plaf_inter*C$166,cmg_max,IF(C$119&lt;C$166,cmg_inter,cmg_min))))*IF(C3="isolé",1+cmg_majo_iso,1))</f>
        <v>0</v>
      </c>
      <c r="D66" s="212">
        <f>(D$13&lt;&gt;"ga_p")*(((D$21&gt;0)*MIN((1-taux_CRDS)*cmg_part_max_pcsn*D$155,IF(D$119&lt;cmg_plaf_1_pct_plaf_inter*D$166,cmg_max,IF(D$119&lt;D$166,cmg_inter,cmg_min)))+(D$22+D$23&gt;0)*MIN((1-taux_CRDS)*cmg_part_max_pcsn*D$162,IF(D$119&lt;cmg_plaf_1_pct_plaf_inter*D$166,cmg_max,IF(D$119&lt;D$166,cmg_inter,cmg_min))))*IF(D3="isolé",1+cmg_majo_iso,1))</f>
        <v>0</v>
      </c>
      <c r="E66" s="212">
        <f>(E$13&lt;&gt;"ga_p")*(((E$21&gt;0)*MIN((1-taux_CRDS)*cmg_part_max_pcsn*E$155,IF(E$119&lt;cmg_plaf_1_pct_plaf_inter*E$166,cmg_max,IF(E$119&lt;E$166,cmg_inter,cmg_min)))+(E$22+E$23&gt;0)*MIN((1-taux_CRDS)*cmg_part_max_pcsn*E$162,IF(E$119&lt;cmg_plaf_1_pct_plaf_inter*E$166,cmg_max,IF(E$119&lt;E$166,cmg_inter,cmg_min))))*IF(E3="isolé",1+cmg_majo_iso,1))</f>
        <v>0</v>
      </c>
      <c r="F66" s="212">
        <f>(F$13&lt;&gt;"ga_p")*(((F$21&gt;0)*MIN((1-taux_CRDS)*cmg_part_max_pcsn*F$155,IF(F$119&lt;cmg_plaf_1_pct_plaf_inter*F$166,cmg_max,IF(F$119&lt;F$166,cmg_inter,cmg_min)))+(F$22+F$23&gt;0)*MIN((1-taux_CRDS)*cmg_part_max_pcsn*F$162,IF(F$119&lt;cmg_plaf_1_pct_plaf_inter*F$166,cmg_max,IF(F$119&lt;F$166,cmg_inter,cmg_min))))*IF(F3="isolé",1+cmg_majo_iso,1))</f>
        <v>0</v>
      </c>
      <c r="H66" s="212">
        <f>(H$13&lt;&gt;"ga_p")*(((H$21&gt;0)*MIN((1-taux_CRDS)*cmg_part_max_pcsn*H$155,IF(H$119&lt;cmg_plaf_1_pct_plaf_inter*H$166,cmg_max,IF(H$119&lt;H$166,cmg_inter,cmg_min)))+(H$22+H$23&gt;0)*MIN((1-taux_CRDS)*cmg_part_max_pcsn*H$162,IF(H$119&lt;cmg_plaf_1_pct_plaf_inter*H$166,cmg_max,IF(H$119&lt;H$166,cmg_inter,cmg_min))))*IF(H3="isolé",1+cmg_majo_iso,1))</f>
        <v>0</v>
      </c>
      <c r="I66" s="212">
        <f>(I$13&lt;&gt;"ga_p")*(((I$21&gt;0)*MIN((1-taux_CRDS)*cmg_part_max_pcsn*I$155,IF(I$119&lt;cmg_plaf_1_pct_plaf_inter*I$166,cmg_max,IF(I$119&lt;I$166,cmg_inter,cmg_min)))+(I$22+I$23&gt;0)*MIN((1-taux_CRDS)*cmg_part_max_pcsn*I$162,IF(I$119&lt;cmg_plaf_1_pct_plaf_inter*I$166,cmg_max,IF(I$119&lt;I$166,cmg_inter,cmg_min))))*IF(I3="isolé",1+cmg_majo_iso,1))</f>
        <v>0</v>
      </c>
      <c r="J66" s="212">
        <f>(J$13&lt;&gt;"ga_p")*(((J$21&gt;0)*MIN((1-taux_CRDS)*cmg_part_max_pcsn*J$155,IF(J$119&lt;cmg_plaf_1_pct_plaf_inter*J$166,cmg_max,IF(J$119&lt;J$166,cmg_inter,cmg_min)))+(J$22+J$23&gt;0)*MIN((1-taux_CRDS)*cmg_part_max_pcsn*J$162,IF(J$119&lt;cmg_plaf_1_pct_plaf_inter*J$166,cmg_max,IF(J$119&lt;J$166,cmg_inter,cmg_min))))*IF(J3="isolé",1+cmg_majo_iso,1))</f>
        <v>0</v>
      </c>
      <c r="K66" s="212">
        <f>(K$13&lt;&gt;"ga_p")*(((K$21&gt;0)*MIN((1-taux_CRDS)*cmg_part_max_pcsn*K$155,IF(K$119&lt;cmg_plaf_1_pct_plaf_inter*K$166,cmg_max,IF(K$119&lt;K$166,cmg_inter,cmg_min)))+(K$22+K$23&gt;0)*MIN((1-taux_CRDS)*cmg_part_max_pcsn*K$162,IF(K$119&lt;cmg_plaf_1_pct_plaf_inter*K$166,cmg_max,IF(K$119&lt;K$166,cmg_inter,cmg_min))))*IF(K3="isolé",1+cmg_majo_iso,1))</f>
        <v>0</v>
      </c>
      <c r="M66" s="212">
        <f>(M$13&lt;&gt;"ga_p")*(((M$21&gt;0)*MIN((1-taux_CRDS)*cmg_part_max_pcsn*M$155,IF(M$119&lt;cmg_plaf_1_pct_plaf_inter*M$166,cmg_max,IF(M$119&lt;M$166,cmg_inter,cmg_min)))+(M$22+M$23&gt;0)*MIN((1-taux_CRDS)*cmg_part_max_pcsn*M$162,IF(M$119&lt;cmg_plaf_1_pct_plaf_inter*M$166,cmg_max,IF(M$119&lt;M$166,cmg_inter,cmg_min))))*IF(M3="isolé",1+cmg_majo_iso,1))</f>
        <v>0</v>
      </c>
      <c r="N66" s="212">
        <f>(N$13&lt;&gt;"ga_p")*(((N$21&gt;0)*MIN((1-taux_CRDS)*cmg_part_max_pcsn*N$155,IF(N$119&lt;cmg_plaf_1_pct_plaf_inter*N$166,cmg_max,IF(N$119&lt;N$166,cmg_inter,cmg_min)))+(N$22+N$23&gt;0)*MIN((1-taux_CRDS)*cmg_part_max_pcsn*N$162,IF(N$119&lt;cmg_plaf_1_pct_plaf_inter*N$166,cmg_max,IF(N$119&lt;N$166,cmg_inter,cmg_min))))*IF(N3="isolé",1+cmg_majo_iso,1))</f>
        <v>0</v>
      </c>
      <c r="O66" s="212">
        <f>(O$13&lt;&gt;"ga_p")*(((O$21&gt;0)*MIN((1-taux_CRDS)*cmg_part_max_pcsn*O$155,IF(O$119&lt;cmg_plaf_1_pct_plaf_inter*O$166,cmg_max,IF(O$119&lt;O$166,cmg_inter,cmg_min)))+(O$22+O$23&gt;0)*MIN((1-taux_CRDS)*cmg_part_max_pcsn*O$162,IF(O$119&lt;cmg_plaf_1_pct_plaf_inter*O$166,cmg_max,IF(O$119&lt;O$166,cmg_inter,cmg_min))))*IF(O3="isolé",1+cmg_majo_iso,1))</f>
        <v>0</v>
      </c>
      <c r="P66" s="212">
        <f>(P$13&lt;&gt;"ga_p")*(((P$21&gt;0)*MIN((1-taux_CRDS)*cmg_part_max_pcsn*P$155,IF(P$119&lt;cmg_plaf_1_pct_plaf_inter*P$166,cmg_max,IF(P$119&lt;P$166,cmg_inter,cmg_min)))+(P$22+P$23&gt;0)*MIN((1-taux_CRDS)*cmg_part_max_pcsn*P$162,IF(P$119&lt;cmg_plaf_1_pct_plaf_inter*P$166,cmg_max,IF(P$119&lt;P$166,cmg_inter,cmg_min))))*IF(P3="isolé",1+cmg_majo_iso,1))</f>
        <v>0</v>
      </c>
      <c r="R66" s="212">
        <f>(R$13&lt;&gt;"ga_p")*(((R$21&gt;0)*MIN((1-taux_CRDS)*cmg_part_max_pcsn*R$155,IF(R$119&lt;cmg_plaf_1_pct_plaf_inter*R$166,cmg_max,IF(R$119&lt;R$166,cmg_inter,cmg_min)))+(R$22+R$23&gt;0)*MIN((1-taux_CRDS)*cmg_part_max_pcsn*R$162,IF(R$119&lt;cmg_plaf_1_pct_plaf_inter*R$166,cmg_max,IF(R$119&lt;R$166,cmg_inter,cmg_min))))*IF(R3="isolé",1+cmg_majo_iso,1))</f>
        <v>0</v>
      </c>
      <c r="S66" s="212">
        <f>(S$13&lt;&gt;"ga_p")*(((S$21&gt;0)*MIN((1-taux_CRDS)*cmg_part_max_pcsn*S$155,IF(S$119&lt;cmg_plaf_1_pct_plaf_inter*S$166,cmg_max,IF(S$119&lt;S$166,cmg_inter,cmg_min)))+(S$22+S$23&gt;0)*MIN((1-taux_CRDS)*cmg_part_max_pcsn*S$162,IF(S$119&lt;cmg_plaf_1_pct_plaf_inter*S$166,cmg_max,IF(S$119&lt;S$166,cmg_inter,cmg_min))))*IF(S3="isolé",1+cmg_majo_iso,1))</f>
        <v>0</v>
      </c>
      <c r="T66" s="212">
        <f>(T$13&lt;&gt;"ga_p")*(((T$21&gt;0)*MIN((1-taux_CRDS)*cmg_part_max_pcsn*T$155,IF(T$119&lt;cmg_plaf_1_pct_plaf_inter*T$166,cmg_max,IF(T$119&lt;T$166,cmg_inter,cmg_min)))+(T$22+T$23&gt;0)*MIN((1-taux_CRDS)*cmg_part_max_pcsn*T$162,IF(T$119&lt;cmg_plaf_1_pct_plaf_inter*T$166,cmg_max,IF(T$119&lt;T$166,cmg_inter,cmg_min))))*IF(T3="isolé",1+cmg_majo_iso,1))</f>
        <v>0</v>
      </c>
      <c r="U66" s="212">
        <f>(U$13&lt;&gt;"ga_p")*(((U$21&gt;0)*MIN((1-taux_CRDS)*cmg_part_max_pcsn*U$155,IF(U$119&lt;cmg_plaf_1_pct_plaf_inter*U$166,cmg_max,IF(U$119&lt;U$166,cmg_inter,cmg_min)))+(U$22+U$23&gt;0)*MIN((1-taux_CRDS)*cmg_part_max_pcsn*U$162,IF(U$119&lt;cmg_plaf_1_pct_plaf_inter*U$166,cmg_max,IF(U$119&lt;U$166,cmg_inter,cmg_min))))*IF(U3="isolé",1+cmg_majo_iso,1))</f>
        <v>0</v>
      </c>
    </row>
    <row r="67" spans="1:21" x14ac:dyDescent="0.25">
      <c r="A67" s="225" t="s">
        <v>240</v>
      </c>
      <c r="B67" s="230"/>
      <c r="C67" s="212">
        <f>(C$13&lt;&gt;"ga_p")*((C$21&gt;0)*C$156+(C$22+C$23&gt;0)*C$161)</f>
        <v>0</v>
      </c>
      <c r="D67" s="212">
        <f>(D$13&lt;&gt;"ga_p")*((D$21&gt;0)*D$156+(D$22+D$23&gt;0)*D$161)</f>
        <v>0</v>
      </c>
      <c r="E67" s="212">
        <f>(E$13&lt;&gt;"ga_p")*((E$21&gt;0)*E$156+(E$22+E$23&gt;0)*E$161)</f>
        <v>0</v>
      </c>
      <c r="F67" s="212">
        <f>(F$13&lt;&gt;"ga_p")*((F$21&gt;0)*F$156+(F$22+F$23&gt;0)*F$161)</f>
        <v>0</v>
      </c>
      <c r="H67" s="212">
        <f>(H$13&lt;&gt;"ga_p")*((H$21&gt;0)*H$156+(H$22+H$23&gt;0)*H$161)</f>
        <v>0</v>
      </c>
      <c r="I67" s="212">
        <f>(I$13&lt;&gt;"ga_p")*((I$21&gt;0)*I$156+(I$22+I$23&gt;0)*I$161)</f>
        <v>0</v>
      </c>
      <c r="J67" s="212">
        <f>(J$13&lt;&gt;"ga_p")*((J$21&gt;0)*J$156+(J$22+J$23&gt;0)*J$161)</f>
        <v>0</v>
      </c>
      <c r="K67" s="212">
        <f>(K$13&lt;&gt;"ga_p")*((K$21&gt;0)*K$156+(K$22+K$23&gt;0)*K$161)</f>
        <v>0</v>
      </c>
      <c r="M67" s="212">
        <f>(M$13&lt;&gt;"ga_p")*((M$21&gt;0)*M$156+(M$22+M$23&gt;0)*M$161)</f>
        <v>0</v>
      </c>
      <c r="N67" s="212">
        <f>(N$13&lt;&gt;"ga_p")*((N$21&gt;0)*N$156+(N$22+N$23&gt;0)*N$161)</f>
        <v>0</v>
      </c>
      <c r="O67" s="212">
        <f>(O$13&lt;&gt;"ga_p")*((O$21&gt;0)*O$156+(O$22+O$23&gt;0)*O$161)</f>
        <v>0</v>
      </c>
      <c r="P67" s="212">
        <f>(P$13&lt;&gt;"ga_p")*((P$21&gt;0)*P$156+(P$22+P$23&gt;0)*P$161)</f>
        <v>0</v>
      </c>
      <c r="R67" s="212">
        <f>(R$13&lt;&gt;"ga_p")*((R$21&gt;0)*R$156+(R$22+R$23&gt;0)*R$161)</f>
        <v>0</v>
      </c>
      <c r="S67" s="212">
        <f>(S$13&lt;&gt;"ga_p")*((S$21&gt;0)*S$156+(S$22+S$23&gt;0)*S$161)</f>
        <v>0</v>
      </c>
      <c r="T67" s="212">
        <f>(T$13&lt;&gt;"ga_p")*((T$21&gt;0)*T$156+(T$22+T$23&gt;0)*T$161)</f>
        <v>0</v>
      </c>
      <c r="U67" s="212">
        <f>(U$13&lt;&gt;"ga_p")*((U$21&gt;0)*U$156+(U$22+U$23&gt;0)*U$161)</f>
        <v>0</v>
      </c>
    </row>
    <row r="68" spans="1:21" ht="13" x14ac:dyDescent="0.3">
      <c r="A68" s="221" t="s">
        <v>141</v>
      </c>
      <c r="B68" s="231"/>
      <c r="C68" s="215">
        <f t="shared" ref="C68:F68" si="14">SUM(C59:C65)</f>
        <v>0</v>
      </c>
      <c r="D68" s="215">
        <f t="shared" si="14"/>
        <v>0</v>
      </c>
      <c r="E68" s="215">
        <f t="shared" si="14"/>
        <v>0</v>
      </c>
      <c r="F68" s="215">
        <f t="shared" si="14"/>
        <v>0</v>
      </c>
      <c r="H68" s="215">
        <f t="shared" ref="H68:K68" si="15">SUM(H59:H65)</f>
        <v>0</v>
      </c>
      <c r="I68" s="215">
        <f t="shared" si="15"/>
        <v>0</v>
      </c>
      <c r="J68" s="215">
        <f t="shared" si="15"/>
        <v>0</v>
      </c>
      <c r="K68" s="215">
        <f t="shared" si="15"/>
        <v>0</v>
      </c>
      <c r="M68" s="215">
        <f t="shared" ref="M68:P68" si="16">SUM(M59:M65)</f>
        <v>183.21428917999998</v>
      </c>
      <c r="N68" s="215">
        <f t="shared" si="16"/>
        <v>183.21428917999998</v>
      </c>
      <c r="O68" s="215">
        <f t="shared" si="16"/>
        <v>183.21428917999998</v>
      </c>
      <c r="P68" s="215">
        <f t="shared" si="16"/>
        <v>183.21428917999998</v>
      </c>
      <c r="R68" s="215">
        <f t="shared" ref="R68:U68" si="17">SUM(R59:R65)</f>
        <v>698.17283380000003</v>
      </c>
      <c r="S68" s="215">
        <f t="shared" si="17"/>
        <v>698.17283380000003</v>
      </c>
      <c r="T68" s="215">
        <f t="shared" si="17"/>
        <v>698.17283380000003</v>
      </c>
      <c r="U68" s="215">
        <f t="shared" si="17"/>
        <v>601.49917905999996</v>
      </c>
    </row>
    <row r="69" spans="1:21" ht="13" x14ac:dyDescent="0.3">
      <c r="A69" s="226" t="s">
        <v>70</v>
      </c>
      <c r="B69" s="232"/>
      <c r="C69" s="216">
        <f>IF(C28="locataire",1,0)*IF(C$13="png",C200,IF(OR(C$13="ga_m",C$13="ga_p"),C200+0.5*(C185-C200),C185))</f>
        <v>354.01104999999995</v>
      </c>
      <c r="D69" s="216">
        <f>IF(D28="locataire",1,0)*IF(D$13="png",D200,IF(OR(D$13="ga_m",D$13="ga_p"),D200+0.5*(D185-D200),D185))</f>
        <v>349.00512486026486</v>
      </c>
      <c r="E69" s="216">
        <f>IF(E28="locataire",1,0)*IF(E$13="png",E200,IF(OR(E$13="ga_m",E$13="ga_p"),E200+0.5*(E185-E200),E185))</f>
        <v>88.576232220529803</v>
      </c>
      <c r="F69" s="216">
        <f>IF(F28="locataire",1,0)*IF(F$13="png",F200,IF(OR(F$13="ga_m",F$13="ga_p"),F200+0.5*(F185-F200),F185))</f>
        <v>0</v>
      </c>
      <c r="H69" s="216">
        <f>IF(H28="locataire",1,0)*IF(H$13="png",H200,IF(OR(H$13="ga_m",H$13="ga_p"),H200+0.5*(H185-H200),H185))</f>
        <v>408.83555000000001</v>
      </c>
      <c r="I69" s="216">
        <f>IF(I28="locataire",1,0)*IF(I$13="png",I200,IF(OR(I$13="ga_m",I$13="ga_p"),I200+0.5*(I185-I200),I185))</f>
        <v>408.83555000000001</v>
      </c>
      <c r="J69" s="216">
        <f>IF(J28="locataire",1,0)*IF(J$13="png",J200,IF(OR(J$13="ga_m",J$13="ga_p"),J200+0.5*(J185-J200),J185))</f>
        <v>220.78900287487463</v>
      </c>
      <c r="K69" s="216">
        <f>IF(K28="locataire",1,0)*IF(K$13="png",K200,IF(OR(K$13="ga_m",K$13="ga_p"),K200+0.5*(K185-K200),K185))</f>
        <v>0</v>
      </c>
      <c r="M69" s="216">
        <f>IF(M28="locataire",1,0)*IF(M$13="png",M200,IF(OR(M$13="ga_m",M$13="ga_p"),M200+0.5*(M185-M200),M185))</f>
        <v>471.62004999999999</v>
      </c>
      <c r="N69" s="216">
        <f>IF(N28="locataire",1,0)*IF(N$13="png",N200,IF(OR(N$13="ga_m",N$13="ga_p"),N200+0.5*(N185-N200),N185))</f>
        <v>471.62004999999999</v>
      </c>
      <c r="O69" s="216">
        <f>IF(O28="locataire",1,0)*IF(O$13="png",O200,IF(OR(O$13="ga_m",O$13="ga_p"),O200+0.5*(O185-O200),O185))</f>
        <v>308.9148606124088</v>
      </c>
      <c r="P69" s="216">
        <f>IF(P28="locataire",1,0)*IF(P$13="png",P200,IF(OR(P$13="ga_m",P$13="ga_p"),P200+0.5*(P185-P200),P185))</f>
        <v>106.52656054361321</v>
      </c>
      <c r="R69" s="216">
        <f>IF(R28="locataire",1,0)*IF(R$13="png",R200,IF(OR(R$13="ga_m",R$13="ga_p"),R200+0.5*(R185-R200),R185))</f>
        <v>534.40454999999997</v>
      </c>
      <c r="S69" s="216">
        <f>IF(S28="locataire",1,0)*IF(S$13="png",S200,IF(OR(S$13="ga_m",S$13="ga_p"),S200+0.5*(S185-S200),S185))</f>
        <v>534.40454999999997</v>
      </c>
      <c r="T69" s="216">
        <f>IF(T28="locataire",1,0)*IF(T$13="png",T200,IF(OR(T$13="ga_m",T$13="ga_p"),T200+0.5*(T185-T200),T185))</f>
        <v>402.11344464487013</v>
      </c>
      <c r="U69" s="216">
        <f>IF(U28="locataire",1,0)*IF(U$13="png",U200,IF(OR(U$13="ga_m",U$13="ga_p"),U200+0.5*(U185-U200),U185))</f>
        <v>227.6147799673052</v>
      </c>
    </row>
    <row r="70" spans="1:21" x14ac:dyDescent="0.25">
      <c r="A70" s="220" t="s">
        <v>318</v>
      </c>
      <c r="B70" s="233"/>
      <c r="C70" s="218">
        <f>((IF(C$257&lt;(bcol_seuil3_1enf+bcol_seuil3_enf_sup*(C$97-1)),bcol_montant3,IF(C$97&lt;(bcol_seuil2_1enf+bcol_seuil2_enf_sup*(C$97-1)),bcol_montant2,IF(C$97&lt;(bcol_seuil1_1enf+bcol_seuil1_enf_sup*(C$97-1)),bcol_montant1,0))))/12)*C$103*(C$13&lt;&gt;"png")*(C$13&lt;&gt;"ga_p")</f>
        <v>0</v>
      </c>
      <c r="D70" s="218">
        <f>((IF(D$257&lt;(bcol_seuil3_1enf+bcol_seuil3_enf_sup*(D$97-1)),bcol_montant3,IF(D$97&lt;(bcol_seuil2_1enf+bcol_seuil2_enf_sup*(D$97-1)),bcol_montant2,IF(D$97&lt;(bcol_seuil1_1enf+bcol_seuil1_enf_sup*(D$97-1)),bcol_montant1,0))))/12)*D$103*(D$13&lt;&gt;"png")*(D$13&lt;&gt;"ga_p")</f>
        <v>0</v>
      </c>
      <c r="E70" s="218">
        <f>((IF(E$257&lt;(bcol_seuil3_1enf+bcol_seuil3_enf_sup*(E$97-1)),bcol_montant3,IF(E$97&lt;(bcol_seuil2_1enf+bcol_seuil2_enf_sup*(E$97-1)),bcol_montant2,IF(E$97&lt;(bcol_seuil1_1enf+bcol_seuil1_enf_sup*(E$97-1)),bcol_montant1,0))))/12)*E$103*(E$13&lt;&gt;"png")*(E$13&lt;&gt;"ga_p")</f>
        <v>0</v>
      </c>
      <c r="F70" s="218">
        <f>((IF(F$257&lt;(bcol_seuil3_1enf+bcol_seuil3_enf_sup*(F$97-1)),bcol_montant3,IF(F$97&lt;(bcol_seuil2_1enf+bcol_seuil2_enf_sup*(F$97-1)),bcol_montant2,IF(F$97&lt;(bcol_seuil1_1enf+bcol_seuil1_enf_sup*(F$97-1)),bcol_montant1,0))))/12)*F$103*(F$13&lt;&gt;"png")*(F$13&lt;&gt;"ga_p")</f>
        <v>0</v>
      </c>
      <c r="H70" s="218">
        <f>((IF(H$257&lt;(bcol_seuil3_1enf+bcol_seuil3_enf_sup*(H$97-1)),bcol_montant3,IF(H$97&lt;(bcol_seuil2_1enf+bcol_seuil2_enf_sup*(H$97-1)),bcol_montant2,IF(H$97&lt;(bcol_seuil1_1enf+bcol_seuil1_enf_sup*(H$97-1)),bcol_montant1,0))))/12)*H$103*(H$13&lt;&gt;"png")*(H$13&lt;&gt;"ga_p")</f>
        <v>0</v>
      </c>
      <c r="I70" s="218">
        <f>((IF(I$257&lt;(bcol_seuil3_1enf+bcol_seuil3_enf_sup*(I$97-1)),bcol_montant3,IF(I$97&lt;(bcol_seuil2_1enf+bcol_seuil2_enf_sup*(I$97-1)),bcol_montant2,IF(I$97&lt;(bcol_seuil1_1enf+bcol_seuil1_enf_sup*(I$97-1)),bcol_montant1,0))))/12)*I$103*(I$13&lt;&gt;"png")*(I$13&lt;&gt;"ga_p")</f>
        <v>0</v>
      </c>
      <c r="J70" s="218">
        <f>((IF(J$257&lt;(bcol_seuil3_1enf+bcol_seuil3_enf_sup*(J$97-1)),bcol_montant3,IF(J$97&lt;(bcol_seuil2_1enf+bcol_seuil2_enf_sup*(J$97-1)),bcol_montant2,IF(J$97&lt;(bcol_seuil1_1enf+bcol_seuil1_enf_sup*(J$97-1)),bcol_montant1,0))))/12)*J$103*(J$13&lt;&gt;"png")*(J$13&lt;&gt;"ga_p")</f>
        <v>0</v>
      </c>
      <c r="K70" s="218">
        <f>((IF(K$257&lt;(bcol_seuil3_1enf+bcol_seuil3_enf_sup*(K$97-1)),bcol_montant3,IF(K$97&lt;(bcol_seuil2_1enf+bcol_seuil2_enf_sup*(K$97-1)),bcol_montant2,IF(K$97&lt;(bcol_seuil1_1enf+bcol_seuil1_enf_sup*(K$97-1)),bcol_montant1,0))))/12)*K$103*(K$13&lt;&gt;"png")*(K$13&lt;&gt;"ga_p")</f>
        <v>0</v>
      </c>
      <c r="M70" s="218">
        <f>((IF(M$257&lt;(bcol_seuil3_1enf+bcol_seuil3_enf_sup*(M$97-1)),bcol_montant3,IF(M$97&lt;(bcol_seuil2_1enf+bcol_seuil2_enf_sup*(M$97-1)),bcol_montant2,IF(M$97&lt;(bcol_seuil1_1enf+bcol_seuil1_enf_sup*(M$97-1)),bcol_montant1,0))))/12)*M$103*(M$13&lt;&gt;"png")*(M$13&lt;&gt;"ga_p")</f>
        <v>0</v>
      </c>
      <c r="N70" s="218">
        <f>((IF(N$257&lt;(bcol_seuil3_1enf+bcol_seuil3_enf_sup*(N$97-1)),bcol_montant3,IF(N$97&lt;(bcol_seuil2_1enf+bcol_seuil2_enf_sup*(N$97-1)),bcol_montant2,IF(N$97&lt;(bcol_seuil1_1enf+bcol_seuil1_enf_sup*(N$97-1)),bcol_montant1,0))))/12)*N$103*(N$13&lt;&gt;"png")*(N$13&lt;&gt;"ga_p")</f>
        <v>0</v>
      </c>
      <c r="O70" s="218">
        <f>((IF(O$257&lt;(bcol_seuil3_1enf+bcol_seuil3_enf_sup*(O$97-1)),bcol_montant3,IF(O$97&lt;(bcol_seuil2_1enf+bcol_seuil2_enf_sup*(O$97-1)),bcol_montant2,IF(O$97&lt;(bcol_seuil1_1enf+bcol_seuil1_enf_sup*(O$97-1)),bcol_montant1,0))))/12)*O$103*(O$13&lt;&gt;"png")*(O$13&lt;&gt;"ga_p")</f>
        <v>0</v>
      </c>
      <c r="P70" s="218">
        <f>((IF(P$257&lt;(bcol_seuil3_1enf+bcol_seuil3_enf_sup*(P$97-1)),bcol_montant3,IF(P$97&lt;(bcol_seuil2_1enf+bcol_seuil2_enf_sup*(P$97-1)),bcol_montant2,IF(P$97&lt;(bcol_seuil1_1enf+bcol_seuil1_enf_sup*(P$97-1)),bcol_montant1,0))))/12)*P$103*(P$13&lt;&gt;"png")*(P$13&lt;&gt;"ga_p")</f>
        <v>0</v>
      </c>
      <c r="R70" s="218">
        <f>((IF(R$257&lt;(bcol_seuil3_1enf+bcol_seuil3_enf_sup*(R$97-1)),bcol_montant3,IF(R$97&lt;(bcol_seuil2_1enf+bcol_seuil2_enf_sup*(R$97-1)),bcol_montant2,IF(R$97&lt;(bcol_seuil1_1enf+bcol_seuil1_enf_sup*(R$97-1)),bcol_montant1,0))))/12)*R$103*(R$13&lt;&gt;"png")*(R$13&lt;&gt;"ga_p")</f>
        <v>0</v>
      </c>
      <c r="S70" s="218">
        <f>((IF(S$257&lt;(bcol_seuil3_1enf+bcol_seuil3_enf_sup*(S$97-1)),bcol_montant3,IF(S$97&lt;(bcol_seuil2_1enf+bcol_seuil2_enf_sup*(S$97-1)),bcol_montant2,IF(S$97&lt;(bcol_seuil1_1enf+bcol_seuil1_enf_sup*(S$97-1)),bcol_montant1,0))))/12)*S$103*(S$13&lt;&gt;"png")*(S$13&lt;&gt;"ga_p")</f>
        <v>0</v>
      </c>
      <c r="T70" s="218">
        <f>((IF(T$257&lt;(bcol_seuil3_1enf+bcol_seuil3_enf_sup*(T$97-1)),bcol_montant3,IF(T$97&lt;(bcol_seuil2_1enf+bcol_seuil2_enf_sup*(T$97-1)),bcol_montant2,IF(T$97&lt;(bcol_seuil1_1enf+bcol_seuil1_enf_sup*(T$97-1)),bcol_montant1,0))))/12)*T$103*(T$13&lt;&gt;"png")*(T$13&lt;&gt;"ga_p")</f>
        <v>0</v>
      </c>
      <c r="U70" s="218">
        <f>((IF(U$257&lt;(bcol_seuil3_1enf+bcol_seuil3_enf_sup*(U$97-1)),bcol_montant3,IF(U$97&lt;(bcol_seuil2_1enf+bcol_seuil2_enf_sup*(U$97-1)),bcol_montant2,IF(U$97&lt;(bcol_seuil1_1enf+bcol_seuil1_enf_sup*(U$97-1)),bcol_montant1,0))))/12)*U$103*(U$13&lt;&gt;"png")*(U$13&lt;&gt;"ga_p")</f>
        <v>0</v>
      </c>
    </row>
    <row r="71" spans="1:21" x14ac:dyDescent="0.25">
      <c r="A71" s="225" t="s">
        <v>319</v>
      </c>
      <c r="B71" s="234"/>
      <c r="C71" s="213">
        <f>(C104*C259/12)*(C$13&lt;&gt;"png")*(C$13&lt;&gt;"ga_p")</f>
        <v>0</v>
      </c>
      <c r="D71" s="213">
        <f>(D104*D259/12)*(D$13&lt;&gt;"png")*(D$13&lt;&gt;"ga_p")</f>
        <v>0</v>
      </c>
      <c r="E71" s="213">
        <f>(E104*E259/12)*(E$13&lt;&gt;"png")*(E$13&lt;&gt;"ga_p")</f>
        <v>0</v>
      </c>
      <c r="F71" s="213">
        <f>(F104*F259/12)*(F$13&lt;&gt;"png")*(F$13&lt;&gt;"ga_p")</f>
        <v>0</v>
      </c>
      <c r="H71" s="213">
        <f>(H104*H259/12)*(H$13&lt;&gt;"png")*(H$13&lt;&gt;"ga_p")</f>
        <v>0</v>
      </c>
      <c r="I71" s="213">
        <f>(I104*I259/12)*(I$13&lt;&gt;"png")*(I$13&lt;&gt;"ga_p")</f>
        <v>0</v>
      </c>
      <c r="J71" s="213">
        <f>(J104*J259/12)*(J$13&lt;&gt;"png")*(J$13&lt;&gt;"ga_p")</f>
        <v>0</v>
      </c>
      <c r="K71" s="213">
        <f>(K104*K259/12)*(K$13&lt;&gt;"png")*(K$13&lt;&gt;"ga_p")</f>
        <v>0</v>
      </c>
      <c r="M71" s="213">
        <f>(M104*M259/12)*(M$13&lt;&gt;"png")*(M$13&lt;&gt;"ga_p")</f>
        <v>0</v>
      </c>
      <c r="N71" s="213">
        <f>(N104*N259/12)*(N$13&lt;&gt;"png")*(N$13&lt;&gt;"ga_p")</f>
        <v>0</v>
      </c>
      <c r="O71" s="213">
        <f>(O104*O259/12)*(O$13&lt;&gt;"png")*(O$13&lt;&gt;"ga_p")</f>
        <v>0</v>
      </c>
      <c r="P71" s="213">
        <f>(P104*P259/12)*(P$13&lt;&gt;"png")*(P$13&lt;&gt;"ga_p")</f>
        <v>0</v>
      </c>
      <c r="R71" s="213">
        <f>(R104*R259/12)*(R$13&lt;&gt;"png")*(R$13&lt;&gt;"ga_p")</f>
        <v>0</v>
      </c>
      <c r="S71" s="213">
        <f>(S104*S259/12)*(S$13&lt;&gt;"png")*(S$13&lt;&gt;"ga_p")</f>
        <v>0</v>
      </c>
      <c r="T71" s="213">
        <f>(T104*T259/12)*(T$13&lt;&gt;"png")*(T$13&lt;&gt;"ga_p")</f>
        <v>0</v>
      </c>
      <c r="U71" s="213">
        <f>(U104*U259/12)*(U$13&lt;&gt;"png")*(U$13&lt;&gt;"ga_p")</f>
        <v>0</v>
      </c>
    </row>
    <row r="72" spans="1:21" x14ac:dyDescent="0.25">
      <c r="A72" s="225" t="s">
        <v>356</v>
      </c>
      <c r="B72" s="234"/>
      <c r="C72" s="213">
        <f>(C10*C265/12)*(C$13&lt;&gt;"png")*(C$13&lt;&gt;"ga_p")</f>
        <v>0</v>
      </c>
      <c r="D72" s="213">
        <f>(D10*D265/12)*(D$13&lt;&gt;"png")*(D$13&lt;&gt;"ga_p")</f>
        <v>0</v>
      </c>
      <c r="E72" s="213">
        <f>(E10*E265/12)*(E$13&lt;&gt;"png")*(E$13&lt;&gt;"ga_p")</f>
        <v>0</v>
      </c>
      <c r="F72" s="213">
        <f>(F10*F265/12)*(F$13&lt;&gt;"png")*(F$13&lt;&gt;"ga_p")</f>
        <v>0</v>
      </c>
      <c r="H72" s="213">
        <f>(H10*H265/12)*(H$13&lt;&gt;"png")*(H$13&lt;&gt;"ga_p")</f>
        <v>0</v>
      </c>
      <c r="I72" s="213">
        <f>(I10*I265/12)*(I$13&lt;&gt;"png")*(I$13&lt;&gt;"ga_p")</f>
        <v>0</v>
      </c>
      <c r="J72" s="213">
        <f>(J10*J265/12)*(J$13&lt;&gt;"png")*(J$13&lt;&gt;"ga_p")</f>
        <v>0</v>
      </c>
      <c r="K72" s="213">
        <f>(K10*K265/12)*(K$13&lt;&gt;"png")*(K$13&lt;&gt;"ga_p")</f>
        <v>0</v>
      </c>
      <c r="M72" s="213">
        <f>(M10*M265/12)*(M$13&lt;&gt;"png")*(M$13&lt;&gt;"ga_p")</f>
        <v>0</v>
      </c>
      <c r="N72" s="213">
        <f>(N10*N265/12)*(N$13&lt;&gt;"png")*(N$13&lt;&gt;"ga_p")</f>
        <v>0</v>
      </c>
      <c r="O72" s="213">
        <f>(O10*O265/12)*(O$13&lt;&gt;"png")*(O$13&lt;&gt;"ga_p")</f>
        <v>0</v>
      </c>
      <c r="P72" s="213">
        <f>(P10*P265/12)*(P$13&lt;&gt;"png")*(P$13&lt;&gt;"ga_p")</f>
        <v>0</v>
      </c>
      <c r="R72" s="213">
        <f>(R10*R265/12)*(R$13&lt;&gt;"png")*(R$13&lt;&gt;"ga_p")</f>
        <v>0</v>
      </c>
      <c r="S72" s="213">
        <f>(S10*S265/12)*(S$13&lt;&gt;"png")*(S$13&lt;&gt;"ga_p")</f>
        <v>0</v>
      </c>
      <c r="T72" s="213">
        <f>(T10*T265/12)*(T$13&lt;&gt;"png")*(T$13&lt;&gt;"ga_p")</f>
        <v>0</v>
      </c>
      <c r="U72" s="213">
        <f>(U10*U265/12)*(U$13&lt;&gt;"png")*(U$13&lt;&gt;"ga_p")</f>
        <v>0</v>
      </c>
    </row>
    <row r="73" spans="1:21" ht="13" x14ac:dyDescent="0.3">
      <c r="A73" s="221" t="s">
        <v>385</v>
      </c>
      <c r="B73" s="231"/>
      <c r="C73" s="215">
        <f t="shared" ref="C73:F73" si="18">SUM(C70:C72)</f>
        <v>0</v>
      </c>
      <c r="D73" s="215">
        <f t="shared" si="18"/>
        <v>0</v>
      </c>
      <c r="E73" s="215">
        <f t="shared" si="18"/>
        <v>0</v>
      </c>
      <c r="F73" s="215">
        <f t="shared" si="18"/>
        <v>0</v>
      </c>
      <c r="H73" s="215">
        <f t="shared" ref="H73:K73" si="19">SUM(H70:H72)</f>
        <v>0</v>
      </c>
      <c r="I73" s="215">
        <f t="shared" si="19"/>
        <v>0</v>
      </c>
      <c r="J73" s="215">
        <f t="shared" si="19"/>
        <v>0</v>
      </c>
      <c r="K73" s="215">
        <f t="shared" si="19"/>
        <v>0</v>
      </c>
      <c r="M73" s="215">
        <f t="shared" ref="M73:P73" si="20">SUM(M70:M72)</f>
        <v>0</v>
      </c>
      <c r="N73" s="215">
        <f t="shared" si="20"/>
        <v>0</v>
      </c>
      <c r="O73" s="215">
        <f t="shared" si="20"/>
        <v>0</v>
      </c>
      <c r="P73" s="215">
        <f t="shared" si="20"/>
        <v>0</v>
      </c>
      <c r="R73" s="215">
        <f t="shared" ref="R73:U73" si="21">SUM(R70:R72)</f>
        <v>0</v>
      </c>
      <c r="S73" s="215">
        <f t="shared" si="21"/>
        <v>0</v>
      </c>
      <c r="T73" s="215">
        <f t="shared" si="21"/>
        <v>0</v>
      </c>
      <c r="U73" s="215">
        <f t="shared" si="21"/>
        <v>0</v>
      </c>
    </row>
    <row r="74" spans="1:21" ht="13" x14ac:dyDescent="0.3">
      <c r="A74" s="227" t="s">
        <v>335</v>
      </c>
      <c r="B74" s="235"/>
      <c r="C74" s="217">
        <f>C$32*C$205+(C$3="couple")*C$33*C$207</f>
        <v>0</v>
      </c>
      <c r="D74" s="217">
        <f>D$32*D$205+(D$3="couple")*D$33*D$207</f>
        <v>0</v>
      </c>
      <c r="E74" s="217">
        <f>E$32*E$205+(E$3="couple")*E$33*E$207</f>
        <v>0</v>
      </c>
      <c r="F74" s="217">
        <f>F$32*F$205+(F$3="couple")*F$33*F$207</f>
        <v>0</v>
      </c>
      <c r="H74" s="217">
        <f>H$32*H$205+(H$3="couple")*H$33*H$207</f>
        <v>0</v>
      </c>
      <c r="I74" s="217">
        <f>I$32*I$205+(I$3="couple")*I$33*I$207</f>
        <v>0</v>
      </c>
      <c r="J74" s="217">
        <f>J$32*J$205+(J$3="couple")*J$33*J$207</f>
        <v>0</v>
      </c>
      <c r="K74" s="217">
        <f>K$32*K$205+(K$3="couple")*K$33*K$207</f>
        <v>0</v>
      </c>
      <c r="M74" s="217">
        <f>M$32*M$205+(M$3="couple")*M$33*M$207</f>
        <v>0</v>
      </c>
      <c r="N74" s="217">
        <f>N$32*N$205+(N$3="couple")*N$33*N$207</f>
        <v>0</v>
      </c>
      <c r="O74" s="217">
        <f>O$32*O$205+(O$3="couple")*O$33*O$207</f>
        <v>0</v>
      </c>
      <c r="P74" s="217">
        <f>P$32*P$205+(P$3="couple")*P$33*P$207</f>
        <v>0</v>
      </c>
      <c r="R74" s="217">
        <f>R$32*R$205+(R$3="couple")*R$33*R$207</f>
        <v>0</v>
      </c>
      <c r="S74" s="217">
        <f>S$32*S$205+(S$3="couple")*S$33*S$207</f>
        <v>0</v>
      </c>
      <c r="T74" s="217">
        <f>T$32*T$205+(T$3="couple")*T$33*T$207</f>
        <v>0</v>
      </c>
      <c r="U74" s="217">
        <f>U$32*U$205+(U$3="couple")*U$33*U$207</f>
        <v>0</v>
      </c>
    </row>
    <row r="75" spans="1:21" ht="13" x14ac:dyDescent="0.3">
      <c r="A75" s="226" t="s">
        <v>84</v>
      </c>
      <c r="B75" s="232"/>
      <c r="C75" s="216">
        <f>(C$218&gt;=rsa_seuil_versement)*C$218</f>
        <v>800.99459999999999</v>
      </c>
      <c r="D75" s="216">
        <f>(D$218&gt;=rsa_seuil_versement)*D$218</f>
        <v>101.64459999999997</v>
      </c>
      <c r="E75" s="216">
        <f>(E$218&gt;=rsa_seuil_versement)*E$218</f>
        <v>0</v>
      </c>
      <c r="F75" s="216">
        <f>(F$218&gt;=rsa_seuil_versement)*F$218</f>
        <v>0</v>
      </c>
      <c r="H75" s="216">
        <f>(H$218&gt;=rsa_seuil_versement)*H$218</f>
        <v>955.47212999999999</v>
      </c>
      <c r="I75" s="216">
        <f>(I$218&gt;=rsa_seuil_versement)*I$218</f>
        <v>256.12212999999997</v>
      </c>
      <c r="J75" s="216">
        <f>(J$218&gt;=rsa_seuil_versement)*J$218</f>
        <v>0</v>
      </c>
      <c r="K75" s="216">
        <f>(K$218&gt;=rsa_seuil_versement)*K$218</f>
        <v>0</v>
      </c>
      <c r="M75" s="216">
        <f>(M$218&gt;=rsa_seuil_versement)*M$218</f>
        <v>996.92433000000005</v>
      </c>
      <c r="N75" s="216">
        <f>(N$218&gt;=rsa_seuil_versement)*N$218</f>
        <v>297.57433000000003</v>
      </c>
      <c r="O75" s="216">
        <f>(O$218&gt;=rsa_seuil_versement)*O$218</f>
        <v>0</v>
      </c>
      <c r="P75" s="216">
        <f>(P$218&gt;=rsa_seuil_versement)*P$218</f>
        <v>0</v>
      </c>
      <c r="R75" s="216">
        <f>(R$218&gt;=rsa_seuil_versement)*R$218</f>
        <v>865.69567000000029</v>
      </c>
      <c r="S75" s="216">
        <f>(S$218&gt;=rsa_seuil_versement)*S$218</f>
        <v>166.34567000000038</v>
      </c>
      <c r="T75" s="216">
        <f>(T$218&gt;=rsa_seuil_versement)*T$218</f>
        <v>0</v>
      </c>
      <c r="U75" s="216">
        <f>(U$218&gt;=rsa_seuil_versement)*U$218</f>
        <v>0</v>
      </c>
    </row>
    <row r="76" spans="1:21" ht="13" x14ac:dyDescent="0.3">
      <c r="A76" s="227" t="s">
        <v>142</v>
      </c>
      <c r="B76" s="235"/>
      <c r="C76" s="217">
        <f>(C$229&gt;=pa_seuil_versement)*C$229*(1-taux_CRDS)</f>
        <v>0</v>
      </c>
      <c r="D76" s="217">
        <f>(D$229&gt;=pa_seuil_versement)*D$229*(1-taux_CRDS)</f>
        <v>408.0720864999999</v>
      </c>
      <c r="E76" s="217">
        <f>(E$229&gt;=pa_seuil_versement)*E$229*(1-taux_CRDS)</f>
        <v>478.66043894057287</v>
      </c>
      <c r="F76" s="217">
        <f>(F$229&gt;=pa_seuil_versement)*F$229*(1-taux_CRDS)</f>
        <v>295.4110224999996</v>
      </c>
      <c r="H76" s="217">
        <f>(H$229&gt;=pa_seuil_versement)*H$229*(1-taux_CRDS)</f>
        <v>0</v>
      </c>
      <c r="I76" s="217">
        <f>(I$229&gt;=pa_seuil_versement)*I$229*(1-taux_CRDS)</f>
        <v>404.90953869999987</v>
      </c>
      <c r="J76" s="217">
        <f>(J$229&gt;=pa_seuil_versement)*J$229*(1-taux_CRDS)</f>
        <v>568.65234054999985</v>
      </c>
      <c r="K76" s="217">
        <f>(K$229&gt;=pa_seuil_versement)*K$229*(1-taux_CRDS)</f>
        <v>481.26607749999982</v>
      </c>
      <c r="M76" s="217">
        <f>(M$229&gt;=pa_seuil_versement)*M$229*(1-taux_CRDS)</f>
        <v>0</v>
      </c>
      <c r="N76" s="217">
        <f>(N$229&gt;=pa_seuil_versement)*N$229*(1-taux_CRDS)</f>
        <v>401.00515869999975</v>
      </c>
      <c r="O76" s="217">
        <f>(O$229&gt;=pa_seuil_versement)*O$229*(1-taux_CRDS)</f>
        <v>605.99289954999983</v>
      </c>
      <c r="P76" s="217">
        <f>(P$229&gt;=pa_seuil_versement)*P$229*(1-taux_CRDS)</f>
        <v>412.61270875910469</v>
      </c>
      <c r="R76" s="217">
        <f>(R$229&gt;=pa_seuil_versement)*R$229*(1-taux_CRDS)</f>
        <v>0</v>
      </c>
      <c r="S76" s="217">
        <f>(S$229&gt;=pa_seuil_versement)*S$229*(1-taux_CRDS)</f>
        <v>395.79931869999933</v>
      </c>
      <c r="T76" s="217">
        <f>(T$229&gt;=pa_seuil_versement)*T$229*(1-taux_CRDS)</f>
        <v>470.21454284999959</v>
      </c>
      <c r="U76" s="217">
        <f>(U$229&gt;=pa_seuil_versement)*U$229*(1-taux_CRDS)</f>
        <v>198.83177534999962</v>
      </c>
    </row>
    <row r="77" spans="1:21" ht="13" x14ac:dyDescent="0.3">
      <c r="A77" s="222" t="s">
        <v>3</v>
      </c>
      <c r="B77" s="236"/>
      <c r="C77" s="214">
        <f t="shared" ref="C77:F77" si="22">C68+C69+C70+C71+C72+C74+C75+C76</f>
        <v>1155.0056500000001</v>
      </c>
      <c r="D77" s="214">
        <f t="shared" si="22"/>
        <v>858.72181136026472</v>
      </c>
      <c r="E77" s="214">
        <f t="shared" si="22"/>
        <v>567.23667116110266</v>
      </c>
      <c r="F77" s="214">
        <f t="shared" si="22"/>
        <v>295.4110224999996</v>
      </c>
      <c r="H77" s="214">
        <f t="shared" ref="H77:K77" si="23">H68+H69+H70+H71+H72+H74+H75+H76</f>
        <v>1364.3076799999999</v>
      </c>
      <c r="I77" s="214">
        <f t="shared" si="23"/>
        <v>1069.8672186999997</v>
      </c>
      <c r="J77" s="214">
        <f t="shared" si="23"/>
        <v>789.4413434248745</v>
      </c>
      <c r="K77" s="214">
        <f t="shared" si="23"/>
        <v>481.26607749999982</v>
      </c>
      <c r="M77" s="214">
        <f t="shared" ref="M77:P77" si="24">M68+M69+M70+M71+M72+M74+M75+M76</f>
        <v>1651.75866918</v>
      </c>
      <c r="N77" s="214">
        <f t="shared" si="24"/>
        <v>1353.4138278799996</v>
      </c>
      <c r="O77" s="214">
        <f t="shared" si="24"/>
        <v>1098.1220493424087</v>
      </c>
      <c r="P77" s="214">
        <f t="shared" si="24"/>
        <v>702.35355848271797</v>
      </c>
      <c r="R77" s="214">
        <f t="shared" ref="R77:U77" si="25">R68+R69+R70+R71+R72+R74+R75+R76</f>
        <v>2098.2730538000005</v>
      </c>
      <c r="S77" s="214">
        <f t="shared" si="25"/>
        <v>1794.7223724999997</v>
      </c>
      <c r="T77" s="214">
        <f t="shared" si="25"/>
        <v>1570.5008212948699</v>
      </c>
      <c r="U77" s="214">
        <f t="shared" si="25"/>
        <v>1027.9457343773047</v>
      </c>
    </row>
    <row r="78" spans="1:21" ht="13" x14ac:dyDescent="0.3">
      <c r="A78" s="222" t="s">
        <v>416</v>
      </c>
      <c r="B78" s="228"/>
      <c r="C78" s="214">
        <f>C$254/12</f>
        <v>0</v>
      </c>
      <c r="D78" s="214">
        <f>D$254/12</f>
        <v>0</v>
      </c>
      <c r="E78" s="214">
        <f>E$254/12</f>
        <v>0</v>
      </c>
      <c r="F78" s="214">
        <f>F$254/12</f>
        <v>0</v>
      </c>
      <c r="H78" s="214">
        <f>H$254/12</f>
        <v>0</v>
      </c>
      <c r="I78" s="214">
        <f>I$254/12</f>
        <v>0</v>
      </c>
      <c r="J78" s="214">
        <f>J$254/12</f>
        <v>0</v>
      </c>
      <c r="K78" s="214">
        <f>K$254/12</f>
        <v>0</v>
      </c>
      <c r="M78" s="214">
        <f>M$254/12</f>
        <v>0</v>
      </c>
      <c r="N78" s="214">
        <f>N$254/12</f>
        <v>0</v>
      </c>
      <c r="O78" s="214">
        <f>O$254/12</f>
        <v>0</v>
      </c>
      <c r="P78" s="214">
        <f>P$254/12</f>
        <v>0</v>
      </c>
      <c r="R78" s="214">
        <f>R$254/12</f>
        <v>0</v>
      </c>
      <c r="S78" s="214">
        <f>S$254/12</f>
        <v>0</v>
      </c>
      <c r="T78" s="214">
        <f>T$254/12</f>
        <v>0</v>
      </c>
      <c r="U78" s="214">
        <f>U$254/12</f>
        <v>0</v>
      </c>
    </row>
    <row r="79" spans="1:21" ht="13" x14ac:dyDescent="0.3">
      <c r="A79" s="442" t="s">
        <v>354</v>
      </c>
      <c r="B79" s="443"/>
      <c r="C79" s="214">
        <f>C$58+C$77-C$78+C$52-C$53</f>
        <v>1155.0056500000001</v>
      </c>
      <c r="D79" s="214">
        <f>D$58+D$77-D$78+D$52-D$53</f>
        <v>1558.0718113602647</v>
      </c>
      <c r="E79" s="214">
        <f>E$58+E$77-E$78+E$52-E$53</f>
        <v>1965.9366711611028</v>
      </c>
      <c r="F79" s="214">
        <f>F$58+F$77-F$78+F$52-F$53</f>
        <v>2393.4610224999997</v>
      </c>
      <c r="H79" s="214">
        <f>H$58+H$77-H$78+H$52-H$53</f>
        <v>1364.3076799999999</v>
      </c>
      <c r="I79" s="214">
        <f>I$58+I$77-I$78+I$52-I$53</f>
        <v>1769.2172186999996</v>
      </c>
      <c r="J79" s="214">
        <f>J$58+J$77-J$78+J$52-J$53</f>
        <v>2188.1413434248743</v>
      </c>
      <c r="K79" s="214">
        <f>K$58+K$77-K$78+K$52-K$53</f>
        <v>2579.3160775000001</v>
      </c>
      <c r="M79" s="214">
        <f>M$58+M$77-M$78+M$52-M$53</f>
        <v>1651.75866918</v>
      </c>
      <c r="N79" s="214">
        <f>N$58+N$77-N$78+N$52-N$53</f>
        <v>2052.7638278799996</v>
      </c>
      <c r="O79" s="214">
        <f>O$58+O$77-O$78+O$52-O$53</f>
        <v>2496.8220493424087</v>
      </c>
      <c r="P79" s="214">
        <f>P$58+P$77-P$78+P$52-P$53</f>
        <v>2800.4035584827179</v>
      </c>
      <c r="R79" s="214">
        <f>R$58+R$77-R$78+R$52-R$53</f>
        <v>2098.2730538000005</v>
      </c>
      <c r="S79" s="214">
        <f>S$58+S$77-S$78+S$52-S$53</f>
        <v>2494.0723724999998</v>
      </c>
      <c r="T79" s="214">
        <f>T$58+T$77-T$78+T$52-T$53</f>
        <v>2969.2008212948699</v>
      </c>
      <c r="U79" s="214">
        <f>U$58+U$77-U$78+U$52-U$53</f>
        <v>3125.9957343773049</v>
      </c>
    </row>
    <row r="82" spans="1:21" ht="13" x14ac:dyDescent="0.3">
      <c r="A82" s="219" t="s">
        <v>391</v>
      </c>
      <c r="B82" s="237"/>
      <c r="C82" s="438"/>
      <c r="D82" s="438"/>
      <c r="E82" s="438"/>
      <c r="F82" s="438"/>
      <c r="H82" s="438"/>
      <c r="I82" s="438"/>
      <c r="J82" s="438"/>
      <c r="K82" s="438"/>
      <c r="M82" s="438"/>
      <c r="N82" s="438"/>
      <c r="O82" s="438"/>
      <c r="P82" s="438"/>
      <c r="R82" s="438"/>
      <c r="S82" s="438"/>
      <c r="T82" s="438"/>
      <c r="U82" s="438"/>
    </row>
    <row r="83" spans="1:21" ht="13" x14ac:dyDescent="0.3">
      <c r="A83" s="445"/>
      <c r="B83" s="429"/>
      <c r="C83" s="446"/>
      <c r="D83" s="446"/>
      <c r="E83" s="446"/>
      <c r="F83" s="446"/>
      <c r="H83" s="446"/>
      <c r="I83" s="446"/>
      <c r="J83" s="446"/>
      <c r="K83" s="446"/>
      <c r="M83" s="446"/>
      <c r="N83" s="446"/>
      <c r="O83" s="446"/>
      <c r="P83" s="446"/>
      <c r="R83" s="446"/>
      <c r="S83" s="446"/>
      <c r="T83" s="446"/>
      <c r="U83" s="446"/>
    </row>
    <row r="84" spans="1:21" s="272" customFormat="1" x14ac:dyDescent="0.25">
      <c r="A84" s="220" t="s">
        <v>408</v>
      </c>
      <c r="B84" s="233"/>
      <c r="C84" s="333">
        <f>(C$3="isolé")*(1
+(C$13="solo")*(uc_enf*C$99+(uc_ado-uc_enf)*C$102)
+(C$13="pg")*(uc_enf*C$99+(uc_ado-uc_enf)*C$102)
+(C$13="png")*0
+(OR(C$13="ga_m",C$13="ga_p"))*(1/2)*(1+$A$83)*(uc_enf*C$99+(uc_ado-uc_enf)*C$102))
+(C$3="couple")*(1.5+uc_enf*C$99+(uc_ado-uc_enf)*C$102)</f>
        <v>1.5</v>
      </c>
      <c r="D84" s="333">
        <f>(D$3="isolé")*(1
+(D$13="solo")*(uc_enf*D$99+(uc_ado-uc_enf)*D$102)
+(D$13="pg")*(uc_enf*D$99+(uc_ado-uc_enf)*D$102)
+(D$13="png")*0
+(OR(D$13="ga_m",D$13="ga_p"))*(1/2)*(1+$A$83)*(uc_enf*D$99+(uc_ado-uc_enf)*D$102))
+(D$3="couple")*(1.5+uc_enf*D$99+(uc_ado-uc_enf)*D$102)</f>
        <v>1.5</v>
      </c>
      <c r="E84" s="333">
        <f>(E$3="isolé")*(1
+(E$13="solo")*(uc_enf*E$99+(uc_ado-uc_enf)*E$102)
+(E$13="pg")*(uc_enf*E$99+(uc_ado-uc_enf)*E$102)
+(E$13="png")*0
+(OR(E$13="ga_m",E$13="ga_p"))*(1/2)*(1+$A$83)*(uc_enf*E$99+(uc_ado-uc_enf)*E$102))
+(E$3="couple")*(1.5+uc_enf*E$99+(uc_ado-uc_enf)*E$102)</f>
        <v>1.5</v>
      </c>
      <c r="F84" s="333">
        <f>(F$3="isolé")*(1
+(F$13="solo")*(uc_enf*F$99+(uc_ado-uc_enf)*F$102)
+(F$13="pg")*(uc_enf*F$99+(uc_ado-uc_enf)*F$102)
+(F$13="png")*0
+(OR(F$13="ga_m",F$13="ga_p"))*(1/2)*(1+$A$83)*(uc_enf*F$99+(uc_ado-uc_enf)*F$102))
+(F$3="couple")*(1.5+uc_enf*F$99+(uc_ado-uc_enf)*F$102)</f>
        <v>1.5</v>
      </c>
      <c r="H84" s="333">
        <f>(H$3="isolé")*(1
+(H$13="solo")*(uc_enf*H$99+(uc_ado-uc_enf)*H$102)
+(H$13="pg")*(uc_enf*H$99+(uc_ado-uc_enf)*H$102)
+(H$13="png")*0
+(OR(H$13="ga_m",H$13="ga_p"))*(1/2)*(1+$A$83)*(uc_enf*H$99+(uc_ado-uc_enf)*H$102))
+(H$3="couple")*(1.5+uc_enf*H$99+(uc_ado-uc_enf)*H$102)</f>
        <v>1.8</v>
      </c>
      <c r="I84" s="333">
        <f>(I$3="isolé")*(1
+(I$13="solo")*(uc_enf*I$99+(uc_ado-uc_enf)*I$102)
+(I$13="pg")*(uc_enf*I$99+(uc_ado-uc_enf)*I$102)
+(I$13="png")*0
+(OR(I$13="ga_m",I$13="ga_p"))*(1/2)*(1+$A$83)*(uc_enf*I$99+(uc_ado-uc_enf)*I$102))
+(I$3="couple")*(1.5+uc_enf*I$99+(uc_ado-uc_enf)*I$102)</f>
        <v>1.8</v>
      </c>
      <c r="J84" s="333">
        <f>(J$3="isolé")*(1
+(J$13="solo")*(uc_enf*J$99+(uc_ado-uc_enf)*J$102)
+(J$13="pg")*(uc_enf*J$99+(uc_ado-uc_enf)*J$102)
+(J$13="png")*0
+(OR(J$13="ga_m",J$13="ga_p"))*(1/2)*(1+$A$83)*(uc_enf*J$99+(uc_ado-uc_enf)*J$102))
+(J$3="couple")*(1.5+uc_enf*J$99+(uc_ado-uc_enf)*J$102)</f>
        <v>1.8</v>
      </c>
      <c r="K84" s="333">
        <f>(K$3="isolé")*(1
+(K$13="solo")*(uc_enf*K$99+(uc_ado-uc_enf)*K$102)
+(K$13="pg")*(uc_enf*K$99+(uc_ado-uc_enf)*K$102)
+(K$13="png")*0
+(OR(K$13="ga_m",K$13="ga_p"))*(1/2)*(1+$A$83)*(uc_enf*K$99+(uc_ado-uc_enf)*K$102))
+(K$3="couple")*(1.5+uc_enf*K$99+(uc_ado-uc_enf)*K$102)</f>
        <v>1.8</v>
      </c>
      <c r="M84" s="333">
        <f>(M$3="isolé")*(1
+(M$13="solo")*(uc_enf*M$99+(uc_ado-uc_enf)*M$102)
+(M$13="pg")*(uc_enf*M$99+(uc_ado-uc_enf)*M$102)
+(M$13="png")*0
+(OR(M$13="ga_m",M$13="ga_p"))*(1/2)*(1+$A$83)*(uc_enf*M$99+(uc_ado-uc_enf)*M$102))
+(M$3="couple")*(1.5+uc_enf*M$99+(uc_ado-uc_enf)*M$102)</f>
        <v>2.1</v>
      </c>
      <c r="N84" s="333">
        <f>(N$3="isolé")*(1
+(N$13="solo")*(uc_enf*N$99+(uc_ado-uc_enf)*N$102)
+(N$13="pg")*(uc_enf*N$99+(uc_ado-uc_enf)*N$102)
+(N$13="png")*0
+(OR(N$13="ga_m",N$13="ga_p"))*(1/2)*(1+$A$83)*(uc_enf*N$99+(uc_ado-uc_enf)*N$102))
+(N$3="couple")*(1.5+uc_enf*N$99+(uc_ado-uc_enf)*N$102)</f>
        <v>2.1</v>
      </c>
      <c r="O84" s="333">
        <f>(O$3="isolé")*(1
+(O$13="solo")*(uc_enf*O$99+(uc_ado-uc_enf)*O$102)
+(O$13="pg")*(uc_enf*O$99+(uc_ado-uc_enf)*O$102)
+(O$13="png")*0
+(OR(O$13="ga_m",O$13="ga_p"))*(1/2)*(1+$A$83)*(uc_enf*O$99+(uc_ado-uc_enf)*O$102))
+(O$3="couple")*(1.5+uc_enf*O$99+(uc_ado-uc_enf)*O$102)</f>
        <v>2.1</v>
      </c>
      <c r="P84" s="333">
        <f>(P$3="isolé")*(1
+(P$13="solo")*(uc_enf*P$99+(uc_ado-uc_enf)*P$102)
+(P$13="pg")*(uc_enf*P$99+(uc_ado-uc_enf)*P$102)
+(P$13="png")*0
+(OR(P$13="ga_m",P$13="ga_p"))*(1/2)*(1+$A$83)*(uc_enf*P$99+(uc_ado-uc_enf)*P$102))
+(P$3="couple")*(1.5+uc_enf*P$99+(uc_ado-uc_enf)*P$102)</f>
        <v>2.1</v>
      </c>
      <c r="R84" s="333">
        <f>(R$3="isolé")*(1
+(R$13="solo")*(uc_enf*R$99+(uc_ado-uc_enf)*R$102)
+(R$13="pg")*(uc_enf*R$99+(uc_ado-uc_enf)*R$102)
+(R$13="png")*0
+(OR(R$13="ga_m",R$13="ga_p"))*(1/2)*(1+$A$83)*(uc_enf*R$99+(uc_ado-uc_enf)*R$102))
+(R$3="couple")*(1.5+uc_enf*R$99+(uc_ado-uc_enf)*R$102)</f>
        <v>2.4</v>
      </c>
      <c r="S84" s="333">
        <f>(S$3="isolé")*(1
+(S$13="solo")*(uc_enf*S$99+(uc_ado-uc_enf)*S$102)
+(S$13="pg")*(uc_enf*S$99+(uc_ado-uc_enf)*S$102)
+(S$13="png")*0
+(OR(S$13="ga_m",S$13="ga_p"))*(1/2)*(1+$A$83)*(uc_enf*S$99+(uc_ado-uc_enf)*S$102))
+(S$3="couple")*(1.5+uc_enf*S$99+(uc_ado-uc_enf)*S$102)</f>
        <v>2.4</v>
      </c>
      <c r="T84" s="333">
        <f>(T$3="isolé")*(1
+(T$13="solo")*(uc_enf*T$99+(uc_ado-uc_enf)*T$102)
+(T$13="pg")*(uc_enf*T$99+(uc_ado-uc_enf)*T$102)
+(T$13="png")*0
+(OR(T$13="ga_m",T$13="ga_p"))*(1/2)*(1+$A$83)*(uc_enf*T$99+(uc_ado-uc_enf)*T$102))
+(T$3="couple")*(1.5+uc_enf*T$99+(uc_ado-uc_enf)*T$102)</f>
        <v>2.4</v>
      </c>
      <c r="U84" s="333">
        <f>(U$3="isolé")*(1
+(U$13="solo")*(uc_enf*U$99+(uc_ado-uc_enf)*U$102)
+(U$13="pg")*(uc_enf*U$99+(uc_ado-uc_enf)*U$102)
+(U$13="png")*0
+(OR(U$13="ga_m",U$13="ga_p"))*(1/2)*(1+$A$83)*(uc_enf*U$99+(uc_ado-uc_enf)*U$102))
+(U$3="couple")*(1.5+uc_enf*U$99+(uc_ado-uc_enf)*U$102)</f>
        <v>2.4</v>
      </c>
    </row>
    <row r="85" spans="1:21" ht="13" x14ac:dyDescent="0.3">
      <c r="A85" s="221" t="s">
        <v>513</v>
      </c>
      <c r="B85" s="231"/>
      <c r="C85" s="215">
        <f>C79/C84</f>
        <v>770.00376666666671</v>
      </c>
      <c r="D85" s="215">
        <f>D79/D84</f>
        <v>1038.7145409068432</v>
      </c>
      <c r="E85" s="215">
        <f>E79/E84</f>
        <v>1310.6244474407351</v>
      </c>
      <c r="F85" s="215">
        <f>F79/F84</f>
        <v>1595.6406816666665</v>
      </c>
      <c r="H85" s="215">
        <f>H79/H84</f>
        <v>757.94871111111104</v>
      </c>
      <c r="I85" s="215">
        <f>I79/I84</f>
        <v>982.89845483333306</v>
      </c>
      <c r="J85" s="215">
        <f>J79/J84</f>
        <v>1215.6340796804857</v>
      </c>
      <c r="K85" s="215">
        <f>K79/K84</f>
        <v>1432.953376388889</v>
      </c>
      <c r="M85" s="215">
        <f>M79/M84</f>
        <v>786.55174722857134</v>
      </c>
      <c r="N85" s="215">
        <f>N79/N84</f>
        <v>977.50658470476162</v>
      </c>
      <c r="O85" s="215">
        <f>O79/O84</f>
        <v>1188.9628806392423</v>
      </c>
      <c r="P85" s="215">
        <f>P79/P84</f>
        <v>1333.5255040393895</v>
      </c>
      <c r="R85" s="215">
        <f>R79/R84</f>
        <v>874.28043908333359</v>
      </c>
      <c r="S85" s="215">
        <f>S79/S84</f>
        <v>1039.1968218750001</v>
      </c>
      <c r="T85" s="215">
        <f>T79/T84</f>
        <v>1237.1670088728624</v>
      </c>
      <c r="U85" s="215">
        <f>U79/U84</f>
        <v>1302.4982226572104</v>
      </c>
    </row>
    <row r="86" spans="1:21" ht="13" x14ac:dyDescent="0.3">
      <c r="A86" s="444"/>
      <c r="B86" s="441"/>
      <c r="C86" s="438"/>
      <c r="D86" s="438"/>
      <c r="E86" s="438"/>
      <c r="F86" s="438"/>
      <c r="H86" s="438"/>
      <c r="I86" s="438"/>
      <c r="J86" s="438"/>
      <c r="K86" s="438"/>
      <c r="M86" s="438"/>
      <c r="N86" s="438"/>
      <c r="O86" s="438"/>
      <c r="P86" s="438"/>
      <c r="R86" s="438"/>
      <c r="S86" s="438"/>
      <c r="T86" s="438"/>
      <c r="U86" s="438"/>
    </row>
    <row r="87" spans="1:21" s="272" customFormat="1" x14ac:dyDescent="0.25">
      <c r="A87" s="220" t="s">
        <v>486</v>
      </c>
      <c r="B87" s="233"/>
      <c r="C87" s="333">
        <f>(C$3="isolé")*(1
+(C$13="solo")*(1+1/3)*(uc_enf*C$99+(uc_ado-uc_enf)*C$102)
+(C$13="pg")*(3/4)*(1+1/3)*(uc_enf*C$99+(uc_ado-uc_enf)*C$102)
+(C$13="png")*(1/4)*(1+1/3)*(uc_enf*C$99+(uc_ado-uc_enf)*C$102)
+(OR(C$13="ga_m",C$13="ga_p"))*(1/2)*(1+1/3)*(uc_enf*C$99+(uc_ado-uc_enf)*C$102))
+(C$3="couple")*(1.5+uc_enf*C$99+(uc_ado-uc_enf)*C$102)</f>
        <v>1.5</v>
      </c>
      <c r="D87" s="333">
        <f>(D$3="isolé")*(1
+(D$13="solo")*(1+1/3)*(uc_enf*D$99+(uc_ado-uc_enf)*D$102)
+(D$13="pg")*(3/4)*(1+1/3)*(uc_enf*D$99+(uc_ado-uc_enf)*D$102)
+(D$13="png")*(1/4)*(1+1/3)*(uc_enf*D$99+(uc_ado-uc_enf)*D$102)
+(OR(D$13="ga_m",D$13="ga_p"))*(1/2)*(1+1/3)*(uc_enf*D$99+(uc_ado-uc_enf)*D$102))
+(D$3="couple")*(1.5+uc_enf*D$99+(uc_ado-uc_enf)*D$102)</f>
        <v>1.5</v>
      </c>
      <c r="E87" s="333">
        <f>(E$3="isolé")*(1
+(E$13="solo")*(1+1/3)*(uc_enf*E$99+(uc_ado-uc_enf)*E$102)
+(E$13="pg")*(3/4)*(1+1/3)*(uc_enf*E$99+(uc_ado-uc_enf)*E$102)
+(E$13="png")*(1/4)*(1+1/3)*(uc_enf*E$99+(uc_ado-uc_enf)*E$102)
+(OR(E$13="ga_m",E$13="ga_p"))*(1/2)*(1+1/3)*(uc_enf*E$99+(uc_ado-uc_enf)*E$102))
+(E$3="couple")*(1.5+uc_enf*E$99+(uc_ado-uc_enf)*E$102)</f>
        <v>1.5</v>
      </c>
      <c r="F87" s="333">
        <f>(F$3="isolé")*(1
+(F$13="solo")*(1+1/3)*(uc_enf*F$99+(uc_ado-uc_enf)*F$102)
+(F$13="pg")*(3/4)*(1+1/3)*(uc_enf*F$99+(uc_ado-uc_enf)*F$102)
+(F$13="png")*(1/4)*(1+1/3)*(uc_enf*F$99+(uc_ado-uc_enf)*F$102)
+(OR(F$13="ga_m",F$13="ga_p"))*(1/2)*(1+1/3)*(uc_enf*F$99+(uc_ado-uc_enf)*F$102))
+(F$3="couple")*(1.5+uc_enf*F$99+(uc_ado-uc_enf)*F$102)</f>
        <v>1.5</v>
      </c>
      <c r="H87" s="333">
        <f>(H$3="isolé")*(1
+(H$13="solo")*(1+1/3)*(uc_enf*H$99+(uc_ado-uc_enf)*H$102)
+(H$13="pg")*(3/4)*(1+1/3)*(uc_enf*H$99+(uc_ado-uc_enf)*H$102)
+(H$13="png")*(1/4)*(1+1/3)*(uc_enf*H$99+(uc_ado-uc_enf)*H$102)
+(OR(H$13="ga_m",H$13="ga_p"))*(1/2)*(1+1/3)*(uc_enf*H$99+(uc_ado-uc_enf)*H$102))
+(H$3="couple")*(1.5+uc_enf*H$99+(uc_ado-uc_enf)*H$102)</f>
        <v>1.8</v>
      </c>
      <c r="I87" s="333">
        <f>(I$3="isolé")*(1
+(I$13="solo")*(1+1/3)*(uc_enf*I$99+(uc_ado-uc_enf)*I$102)
+(I$13="pg")*(3/4)*(1+1/3)*(uc_enf*I$99+(uc_ado-uc_enf)*I$102)
+(I$13="png")*(1/4)*(1+1/3)*(uc_enf*I$99+(uc_ado-uc_enf)*I$102)
+(OR(I$13="ga_m",I$13="ga_p"))*(1/2)*(1+1/3)*(uc_enf*I$99+(uc_ado-uc_enf)*I$102))
+(I$3="couple")*(1.5+uc_enf*I$99+(uc_ado-uc_enf)*I$102)</f>
        <v>1.8</v>
      </c>
      <c r="J87" s="333">
        <f>(J$3="isolé")*(1
+(J$13="solo")*(1+1/3)*(uc_enf*J$99+(uc_ado-uc_enf)*J$102)
+(J$13="pg")*(3/4)*(1+1/3)*(uc_enf*J$99+(uc_ado-uc_enf)*J$102)
+(J$13="png")*(1/4)*(1+1/3)*(uc_enf*J$99+(uc_ado-uc_enf)*J$102)
+(OR(J$13="ga_m",J$13="ga_p"))*(1/2)*(1+1/3)*(uc_enf*J$99+(uc_ado-uc_enf)*J$102))
+(J$3="couple")*(1.5+uc_enf*J$99+(uc_ado-uc_enf)*J$102)</f>
        <v>1.8</v>
      </c>
      <c r="K87" s="333">
        <f>(K$3="isolé")*(1
+(K$13="solo")*(1+1/3)*(uc_enf*K$99+(uc_ado-uc_enf)*K$102)
+(K$13="pg")*(3/4)*(1+1/3)*(uc_enf*K$99+(uc_ado-uc_enf)*K$102)
+(K$13="png")*(1/4)*(1+1/3)*(uc_enf*K$99+(uc_ado-uc_enf)*K$102)
+(OR(K$13="ga_m",K$13="ga_p"))*(1/2)*(1+1/3)*(uc_enf*K$99+(uc_ado-uc_enf)*K$102))
+(K$3="couple")*(1.5+uc_enf*K$99+(uc_ado-uc_enf)*K$102)</f>
        <v>1.8</v>
      </c>
      <c r="M87" s="333">
        <f>(M$3="isolé")*(1
+(M$13="solo")*(1+1/3)*(uc_enf*M$99+(uc_ado-uc_enf)*M$102)
+(M$13="pg")*(3/4)*(1+1/3)*(uc_enf*M$99+(uc_ado-uc_enf)*M$102)
+(M$13="png")*(1/4)*(1+1/3)*(uc_enf*M$99+(uc_ado-uc_enf)*M$102)
+(OR(M$13="ga_m",M$13="ga_p"))*(1/2)*(1+1/3)*(uc_enf*M$99+(uc_ado-uc_enf)*M$102))
+(M$3="couple")*(1.5+uc_enf*M$99+(uc_ado-uc_enf)*M$102)</f>
        <v>2.1</v>
      </c>
      <c r="N87" s="333">
        <f>(N$3="isolé")*(1
+(N$13="solo")*(1+1/3)*(uc_enf*N$99+(uc_ado-uc_enf)*N$102)
+(N$13="pg")*(3/4)*(1+1/3)*(uc_enf*N$99+(uc_ado-uc_enf)*N$102)
+(N$13="png")*(1/4)*(1+1/3)*(uc_enf*N$99+(uc_ado-uc_enf)*N$102)
+(OR(N$13="ga_m",N$13="ga_p"))*(1/2)*(1+1/3)*(uc_enf*N$99+(uc_ado-uc_enf)*N$102))
+(N$3="couple")*(1.5+uc_enf*N$99+(uc_ado-uc_enf)*N$102)</f>
        <v>2.1</v>
      </c>
      <c r="O87" s="333">
        <f>(O$3="isolé")*(1
+(O$13="solo")*(1+1/3)*(uc_enf*O$99+(uc_ado-uc_enf)*O$102)
+(O$13="pg")*(3/4)*(1+1/3)*(uc_enf*O$99+(uc_ado-uc_enf)*O$102)
+(O$13="png")*(1/4)*(1+1/3)*(uc_enf*O$99+(uc_ado-uc_enf)*O$102)
+(OR(O$13="ga_m",O$13="ga_p"))*(1/2)*(1+1/3)*(uc_enf*O$99+(uc_ado-uc_enf)*O$102))
+(O$3="couple")*(1.5+uc_enf*O$99+(uc_ado-uc_enf)*O$102)</f>
        <v>2.1</v>
      </c>
      <c r="P87" s="333">
        <f>(P$3="isolé")*(1
+(P$13="solo")*(1+1/3)*(uc_enf*P$99+(uc_ado-uc_enf)*P$102)
+(P$13="pg")*(3/4)*(1+1/3)*(uc_enf*P$99+(uc_ado-uc_enf)*P$102)
+(P$13="png")*(1/4)*(1+1/3)*(uc_enf*P$99+(uc_ado-uc_enf)*P$102)
+(OR(P$13="ga_m",P$13="ga_p"))*(1/2)*(1+1/3)*(uc_enf*P$99+(uc_ado-uc_enf)*P$102))
+(P$3="couple")*(1.5+uc_enf*P$99+(uc_ado-uc_enf)*P$102)</f>
        <v>2.1</v>
      </c>
      <c r="R87" s="333">
        <f>(R$3="isolé")*(1
+(R$13="solo")*(1+1/3)*(uc_enf*R$99+(uc_ado-uc_enf)*R$102)
+(R$13="pg")*(3/4)*(1+1/3)*(uc_enf*R$99+(uc_ado-uc_enf)*R$102)
+(R$13="png")*(1/4)*(1+1/3)*(uc_enf*R$99+(uc_ado-uc_enf)*R$102)
+(OR(R$13="ga_m",R$13="ga_p"))*(1/2)*(1+1/3)*(uc_enf*R$99+(uc_ado-uc_enf)*R$102))
+(R$3="couple")*(1.5+uc_enf*R$99+(uc_ado-uc_enf)*R$102)</f>
        <v>2.4</v>
      </c>
      <c r="S87" s="333">
        <f>(S$3="isolé")*(1
+(S$13="solo")*(1+1/3)*(uc_enf*S$99+(uc_ado-uc_enf)*S$102)
+(S$13="pg")*(3/4)*(1+1/3)*(uc_enf*S$99+(uc_ado-uc_enf)*S$102)
+(S$13="png")*(1/4)*(1+1/3)*(uc_enf*S$99+(uc_ado-uc_enf)*S$102)
+(OR(S$13="ga_m",S$13="ga_p"))*(1/2)*(1+1/3)*(uc_enf*S$99+(uc_ado-uc_enf)*S$102))
+(S$3="couple")*(1.5+uc_enf*S$99+(uc_ado-uc_enf)*S$102)</f>
        <v>2.4</v>
      </c>
      <c r="T87" s="333">
        <f>(T$3="isolé")*(1
+(T$13="solo")*(1+1/3)*(uc_enf*T$99+(uc_ado-uc_enf)*T$102)
+(T$13="pg")*(3/4)*(1+1/3)*(uc_enf*T$99+(uc_ado-uc_enf)*T$102)
+(T$13="png")*(1/4)*(1+1/3)*(uc_enf*T$99+(uc_ado-uc_enf)*T$102)
+(OR(T$13="ga_m",T$13="ga_p"))*(1/2)*(1+1/3)*(uc_enf*T$99+(uc_ado-uc_enf)*T$102))
+(T$3="couple")*(1.5+uc_enf*T$99+(uc_ado-uc_enf)*T$102)</f>
        <v>2.4</v>
      </c>
      <c r="U87" s="333">
        <f>(U$3="isolé")*(1
+(U$13="solo")*(1+1/3)*(uc_enf*U$99+(uc_ado-uc_enf)*U$102)
+(U$13="pg")*(3/4)*(1+1/3)*(uc_enf*U$99+(uc_ado-uc_enf)*U$102)
+(U$13="png")*(1/4)*(1+1/3)*(uc_enf*U$99+(uc_ado-uc_enf)*U$102)
+(OR(U$13="ga_m",U$13="ga_p"))*(1/2)*(1+1/3)*(uc_enf*U$99+(uc_ado-uc_enf)*U$102))
+(U$3="couple")*(1.5+uc_enf*U$99+(uc_ado-uc_enf)*U$102)</f>
        <v>2.4</v>
      </c>
    </row>
    <row r="88" spans="1:21" s="272" customFormat="1" ht="13" x14ac:dyDescent="0.3">
      <c r="A88" s="221" t="s">
        <v>514</v>
      </c>
      <c r="B88" s="231"/>
      <c r="C88" s="215">
        <f>C79/C87</f>
        <v>770.00376666666671</v>
      </c>
      <c r="D88" s="215">
        <f>D79/D87</f>
        <v>1038.7145409068432</v>
      </c>
      <c r="E88" s="215">
        <f>E79/E87</f>
        <v>1310.6244474407351</v>
      </c>
      <c r="F88" s="215">
        <f>F79/F87</f>
        <v>1595.6406816666665</v>
      </c>
      <c r="H88" s="215">
        <f>H79/H87</f>
        <v>757.94871111111104</v>
      </c>
      <c r="I88" s="215">
        <f>I79/I87</f>
        <v>982.89845483333306</v>
      </c>
      <c r="J88" s="215">
        <f>J79/J87</f>
        <v>1215.6340796804857</v>
      </c>
      <c r="K88" s="215">
        <f>K79/K87</f>
        <v>1432.953376388889</v>
      </c>
      <c r="M88" s="215">
        <f>M79/M87</f>
        <v>786.55174722857134</v>
      </c>
      <c r="N88" s="215">
        <f>N79/N87</f>
        <v>977.50658470476162</v>
      </c>
      <c r="O88" s="215">
        <f>O79/O87</f>
        <v>1188.9628806392423</v>
      </c>
      <c r="P88" s="215">
        <f>P79/P87</f>
        <v>1333.5255040393895</v>
      </c>
      <c r="R88" s="215">
        <f>R79/R87</f>
        <v>874.28043908333359</v>
      </c>
      <c r="S88" s="215">
        <f>S79/S87</f>
        <v>1039.1968218750001</v>
      </c>
      <c r="T88" s="215">
        <f>T79/T87</f>
        <v>1237.1670088728624</v>
      </c>
      <c r="U88" s="215">
        <f>U79/U87</f>
        <v>1302.4982226572104</v>
      </c>
    </row>
    <row r="89" spans="1:21" s="272" customFormat="1" ht="13" x14ac:dyDescent="0.3">
      <c r="A89" s="447"/>
      <c r="B89" s="448"/>
      <c r="C89" s="449"/>
      <c r="D89" s="449"/>
      <c r="E89" s="449"/>
      <c r="F89" s="449"/>
      <c r="H89" s="449"/>
      <c r="I89" s="449"/>
      <c r="J89" s="449"/>
      <c r="K89" s="449"/>
      <c r="M89" s="449"/>
      <c r="N89" s="449"/>
      <c r="O89" s="449"/>
      <c r="P89" s="449"/>
      <c r="R89" s="449"/>
      <c r="S89" s="449"/>
      <c r="T89" s="449"/>
      <c r="U89" s="449"/>
    </row>
    <row r="90" spans="1:21" s="272" customFormat="1" x14ac:dyDescent="0.25">
      <c r="A90" s="220" t="s">
        <v>448</v>
      </c>
      <c r="B90" s="233"/>
      <c r="C90" s="218">
        <f>C155+C160-C161+C169-C66</f>
        <v>0</v>
      </c>
      <c r="D90" s="218">
        <f>D155+D160-D161+D169-D66</f>
        <v>0</v>
      </c>
      <c r="E90" s="218">
        <f>E155+E160-E161+E169-E66</f>
        <v>0</v>
      </c>
      <c r="F90" s="218">
        <f>F155+F160-F161+F169-F66</f>
        <v>0</v>
      </c>
      <c r="H90" s="218">
        <f>H155+H160-H161+H169-H66</f>
        <v>0</v>
      </c>
      <c r="I90" s="218">
        <f>I155+I160-I161+I169-I66</f>
        <v>0</v>
      </c>
      <c r="J90" s="218">
        <f>J155+J160-J161+J169-J66</f>
        <v>0</v>
      </c>
      <c r="K90" s="218">
        <f>K155+K160-K161+K169-K66</f>
        <v>0</v>
      </c>
      <c r="M90" s="218">
        <f>M155+M160-M161+M169-M66</f>
        <v>0</v>
      </c>
      <c r="N90" s="218">
        <f>N155+N160-N161+N169-N66</f>
        <v>0</v>
      </c>
      <c r="O90" s="218">
        <f>O155+O160-O161+O169-O66</f>
        <v>0</v>
      </c>
      <c r="P90" s="218">
        <f>P155+P160-P161+P169-P66</f>
        <v>0</v>
      </c>
      <c r="R90" s="218">
        <f>R155+R160-R161+R169-R66</f>
        <v>0</v>
      </c>
      <c r="S90" s="218">
        <f>S155+S160-S161+S169-S66</f>
        <v>0</v>
      </c>
      <c r="T90" s="218">
        <f>T155+T160-T161+T169-T66</f>
        <v>0</v>
      </c>
      <c r="U90" s="218">
        <f>U155+U160-U161+U169-U66</f>
        <v>0</v>
      </c>
    </row>
    <row r="91" spans="1:21" x14ac:dyDescent="0.25">
      <c r="A91" s="225" t="s">
        <v>393</v>
      </c>
      <c r="B91" s="234"/>
      <c r="C91" s="213">
        <f>C79-C90</f>
        <v>1155.0056500000001</v>
      </c>
      <c r="D91" s="213">
        <f>D79-D90</f>
        <v>1558.0718113602647</v>
      </c>
      <c r="E91" s="213">
        <f>E79-E90</f>
        <v>1965.9366711611028</v>
      </c>
      <c r="F91" s="213">
        <f>F79-F90</f>
        <v>2393.4610224999997</v>
      </c>
      <c r="H91" s="213">
        <f>H79-H90</f>
        <v>1364.3076799999999</v>
      </c>
      <c r="I91" s="213">
        <f>I79-I90</f>
        <v>1769.2172186999996</v>
      </c>
      <c r="J91" s="213">
        <f>J79-J90</f>
        <v>2188.1413434248743</v>
      </c>
      <c r="K91" s="213">
        <f>K79-K90</f>
        <v>2579.3160775000001</v>
      </c>
      <c r="M91" s="213">
        <f>M79-M90</f>
        <v>1651.75866918</v>
      </c>
      <c r="N91" s="213">
        <f>N79-N90</f>
        <v>2052.7638278799996</v>
      </c>
      <c r="O91" s="213">
        <f>O79-O90</f>
        <v>2496.8220493424087</v>
      </c>
      <c r="P91" s="213">
        <f>P79-P90</f>
        <v>2800.4035584827179</v>
      </c>
      <c r="R91" s="213">
        <f>R79-R90</f>
        <v>2098.2730538000005</v>
      </c>
      <c r="S91" s="213">
        <f>S79-S90</f>
        <v>2494.0723724999998</v>
      </c>
      <c r="T91" s="213">
        <f>T79-T90</f>
        <v>2969.2008212948699</v>
      </c>
      <c r="U91" s="213">
        <f>U79-U90</f>
        <v>3125.9957343773049</v>
      </c>
    </row>
    <row r="92" spans="1:21" ht="13" x14ac:dyDescent="0.3">
      <c r="A92" s="221" t="s">
        <v>386</v>
      </c>
      <c r="B92" s="231"/>
      <c r="C92" s="215">
        <f>C91/C87</f>
        <v>770.00376666666671</v>
      </c>
      <c r="D92" s="215">
        <f>D91/D87</f>
        <v>1038.7145409068432</v>
      </c>
      <c r="E92" s="215">
        <f>E91/E87</f>
        <v>1310.6244474407351</v>
      </c>
      <c r="F92" s="215">
        <f>F91/F87</f>
        <v>1595.6406816666665</v>
      </c>
      <c r="H92" s="215">
        <f>H91/H87</f>
        <v>757.94871111111104</v>
      </c>
      <c r="I92" s="215">
        <f>I91/I87</f>
        <v>982.89845483333306</v>
      </c>
      <c r="J92" s="215">
        <f>J91/J87</f>
        <v>1215.6340796804857</v>
      </c>
      <c r="K92" s="215">
        <f>K91/K87</f>
        <v>1432.953376388889</v>
      </c>
      <c r="M92" s="215">
        <f>M91/M87</f>
        <v>786.55174722857134</v>
      </c>
      <c r="N92" s="215">
        <f>N91/N87</f>
        <v>977.50658470476162</v>
      </c>
      <c r="O92" s="215">
        <f>O91/O87</f>
        <v>1188.9628806392423</v>
      </c>
      <c r="P92" s="215">
        <f>P91/P87</f>
        <v>1333.5255040393895</v>
      </c>
      <c r="R92" s="215">
        <f>R91/R87</f>
        <v>874.28043908333359</v>
      </c>
      <c r="S92" s="215">
        <f>S91/S87</f>
        <v>1039.1968218750001</v>
      </c>
      <c r="T92" s="215">
        <f>T91/T87</f>
        <v>1237.1670088728624</v>
      </c>
      <c r="U92" s="215">
        <f>U91/U87</f>
        <v>1302.4982226572104</v>
      </c>
    </row>
    <row r="93" spans="1:21" s="210" customFormat="1" ht="13" x14ac:dyDescent="0.3">
      <c r="A93" s="89"/>
      <c r="B93" s="268"/>
      <c r="C93" s="280"/>
      <c r="D93" s="280"/>
      <c r="E93" s="280"/>
      <c r="F93" s="280"/>
      <c r="H93" s="280"/>
      <c r="I93" s="280"/>
      <c r="J93" s="280"/>
      <c r="K93" s="280"/>
      <c r="M93" s="280"/>
      <c r="N93" s="280"/>
      <c r="O93" s="280"/>
      <c r="P93" s="280"/>
      <c r="R93" s="280"/>
      <c r="S93" s="280"/>
      <c r="T93" s="280"/>
      <c r="U93" s="280"/>
    </row>
    <row r="94" spans="1:21" s="210" customFormat="1" ht="13" x14ac:dyDescent="0.3">
      <c r="A94" s="281" t="s">
        <v>392</v>
      </c>
      <c r="B94" s="281"/>
      <c r="C94" s="195"/>
      <c r="D94" s="195"/>
      <c r="E94" s="195"/>
      <c r="F94" s="195"/>
      <c r="H94" s="195"/>
      <c r="I94" s="195"/>
      <c r="J94" s="195"/>
      <c r="K94" s="195"/>
      <c r="M94" s="195"/>
      <c r="N94" s="195"/>
      <c r="O94" s="195"/>
      <c r="P94" s="195"/>
      <c r="R94" s="195"/>
      <c r="S94" s="195"/>
      <c r="T94" s="195"/>
      <c r="U94" s="195"/>
    </row>
    <row r="95" spans="1:21" ht="13.5" thickBot="1" x14ac:dyDescent="0.35">
      <c r="A95" s="295" t="s">
        <v>395</v>
      </c>
    </row>
    <row r="96" spans="1:21" x14ac:dyDescent="0.25">
      <c r="A96" s="117" t="s">
        <v>108</v>
      </c>
      <c r="B96" s="118"/>
      <c r="C96" s="267">
        <f>(COUNTIFS(C$4:C$9,"&gt;=0",C$4:C$9,"&lt;18")+C$10)</f>
        <v>0</v>
      </c>
      <c r="D96" s="267">
        <f>(COUNTIFS(D$4:D$9,"&gt;=0",D$4:D$9,"&lt;18")+D$10)</f>
        <v>0</v>
      </c>
      <c r="E96" s="267">
        <f>(COUNTIFS(E$4:E$9,"&gt;=0",E$4:E$9,"&lt;18")+E$10)</f>
        <v>0</v>
      </c>
      <c r="F96" s="267">
        <f>(COUNTIFS(F$4:F$9,"&gt;=0",F$4:F$9,"&lt;18")+F$10)</f>
        <v>0</v>
      </c>
      <c r="H96" s="267">
        <f>(COUNTIFS(H$4:H$9,"&gt;=0",H$4:H$9,"&lt;18")+H$10)</f>
        <v>1</v>
      </c>
      <c r="I96" s="267">
        <f>(COUNTIFS(I$4:I$9,"&gt;=0",I$4:I$9,"&lt;18")+I$10)</f>
        <v>1</v>
      </c>
      <c r="J96" s="267">
        <f>(COUNTIFS(J$4:J$9,"&gt;=0",J$4:J$9,"&lt;18")+J$10)</f>
        <v>1</v>
      </c>
      <c r="K96" s="267">
        <f>(COUNTIFS(K$4:K$9,"&gt;=0",K$4:K$9,"&lt;18")+K$10)</f>
        <v>1</v>
      </c>
      <c r="M96" s="267">
        <f>(COUNTIFS(M$4:M$9,"&gt;=0",M$4:M$9,"&lt;18")+M$10)</f>
        <v>2</v>
      </c>
      <c r="N96" s="267">
        <f>(COUNTIFS(N$4:N$9,"&gt;=0",N$4:N$9,"&lt;18")+N$10)</f>
        <v>2</v>
      </c>
      <c r="O96" s="267">
        <f>(COUNTIFS(O$4:O$9,"&gt;=0",O$4:O$9,"&lt;18")+O$10)</f>
        <v>2</v>
      </c>
      <c r="P96" s="267">
        <f>(COUNTIFS(P$4:P$9,"&gt;=0",P$4:P$9,"&lt;18")+P$10)</f>
        <v>2</v>
      </c>
      <c r="R96" s="267">
        <f>(COUNTIFS(R$4:R$9,"&gt;=0",R$4:R$9,"&lt;18")+R$10)</f>
        <v>3</v>
      </c>
      <c r="S96" s="267">
        <f>(COUNTIFS(S$4:S$9,"&gt;=0",S$4:S$9,"&lt;18")+S$10)</f>
        <v>3</v>
      </c>
      <c r="T96" s="267">
        <f>(COUNTIFS(T$4:T$9,"&gt;=0",T$4:T$9,"&lt;18")+T$10)</f>
        <v>3</v>
      </c>
      <c r="U96" s="267">
        <f>(COUNTIFS(U$4:U$9,"&gt;=0",U$4:U$9,"&lt;18")+U$10)</f>
        <v>3</v>
      </c>
    </row>
    <row r="97" spans="1:21" x14ac:dyDescent="0.25">
      <c r="A97" s="116" t="s">
        <v>109</v>
      </c>
      <c r="B97" s="4"/>
      <c r="C97" s="83">
        <f>COUNTIFS(C$4:C$9,"&gt;=0",C$4:C$9,"&lt;20")</f>
        <v>0</v>
      </c>
      <c r="D97" s="83">
        <f>COUNTIFS(D$4:D$9,"&gt;=0",D$4:D$9,"&lt;20")</f>
        <v>0</v>
      </c>
      <c r="E97" s="83">
        <f>COUNTIFS(E$4:E$9,"&gt;=0",E$4:E$9,"&lt;20")</f>
        <v>0</v>
      </c>
      <c r="F97" s="83">
        <f>COUNTIFS(F$4:F$9,"&gt;=0",F$4:F$9,"&lt;20")</f>
        <v>0</v>
      </c>
      <c r="H97" s="83">
        <f>COUNTIFS(H$4:H$9,"&gt;=0",H$4:H$9,"&lt;20")</f>
        <v>1</v>
      </c>
      <c r="I97" s="83">
        <f>COUNTIFS(I$4:I$9,"&gt;=0",I$4:I$9,"&lt;20")</f>
        <v>1</v>
      </c>
      <c r="J97" s="83">
        <f>COUNTIFS(J$4:J$9,"&gt;=0",J$4:J$9,"&lt;20")</f>
        <v>1</v>
      </c>
      <c r="K97" s="83">
        <f>COUNTIFS(K$4:K$9,"&gt;=0",K$4:K$9,"&lt;20")</f>
        <v>1</v>
      </c>
      <c r="M97" s="83">
        <f>COUNTIFS(M$4:M$9,"&gt;=0",M$4:M$9,"&lt;20")</f>
        <v>2</v>
      </c>
      <c r="N97" s="83">
        <f>COUNTIFS(N$4:N$9,"&gt;=0",N$4:N$9,"&lt;20")</f>
        <v>2</v>
      </c>
      <c r="O97" s="83">
        <f>COUNTIFS(O$4:O$9,"&gt;=0",O$4:O$9,"&lt;20")</f>
        <v>2</v>
      </c>
      <c r="P97" s="83">
        <f>COUNTIFS(P$4:P$9,"&gt;=0",P$4:P$9,"&lt;20")</f>
        <v>2</v>
      </c>
      <c r="R97" s="83">
        <f>COUNTIFS(R$4:R$9,"&gt;=0",R$4:R$9,"&lt;20")</f>
        <v>3</v>
      </c>
      <c r="S97" s="83">
        <f>COUNTIFS(S$4:S$9,"&gt;=0",S$4:S$9,"&lt;20")</f>
        <v>3</v>
      </c>
      <c r="T97" s="83">
        <f>COUNTIFS(T$4:T$9,"&gt;=0",T$4:T$9,"&lt;20")</f>
        <v>3</v>
      </c>
      <c r="U97" s="83">
        <f>COUNTIFS(U$4:U$9,"&gt;=0",U$4:U$9,"&lt;20")</f>
        <v>3</v>
      </c>
    </row>
    <row r="98" spans="1:21" x14ac:dyDescent="0.25">
      <c r="A98" s="116" t="s">
        <v>131</v>
      </c>
      <c r="B98" s="4"/>
      <c r="C98" s="83">
        <f>COUNTIFS(C$4:C$9,"&gt;=0",C$4:C$9,"&lt;21")</f>
        <v>0</v>
      </c>
      <c r="D98" s="83">
        <f>COUNTIFS(D$4:D$9,"&gt;=0",D$4:D$9,"&lt;21")</f>
        <v>0</v>
      </c>
      <c r="E98" s="83">
        <f>COUNTIFS(E$4:E$9,"&gt;=0",E$4:E$9,"&lt;21")</f>
        <v>0</v>
      </c>
      <c r="F98" s="83">
        <f>COUNTIFS(F$4:F$9,"&gt;=0",F$4:F$9,"&lt;21")</f>
        <v>0</v>
      </c>
      <c r="H98" s="83">
        <f>COUNTIFS(H$4:H$9,"&gt;=0",H$4:H$9,"&lt;21")</f>
        <v>1</v>
      </c>
      <c r="I98" s="83">
        <f>COUNTIFS(I$4:I$9,"&gt;=0",I$4:I$9,"&lt;21")</f>
        <v>1</v>
      </c>
      <c r="J98" s="83">
        <f>COUNTIFS(J$4:J$9,"&gt;=0",J$4:J$9,"&lt;21")</f>
        <v>1</v>
      </c>
      <c r="K98" s="83">
        <f>COUNTIFS(K$4:K$9,"&gt;=0",K$4:K$9,"&lt;21")</f>
        <v>1</v>
      </c>
      <c r="M98" s="83">
        <f>COUNTIFS(M$4:M$9,"&gt;=0",M$4:M$9,"&lt;21")</f>
        <v>2</v>
      </c>
      <c r="N98" s="83">
        <f>COUNTIFS(N$4:N$9,"&gt;=0",N$4:N$9,"&lt;21")</f>
        <v>2</v>
      </c>
      <c r="O98" s="83">
        <f>COUNTIFS(O$4:O$9,"&gt;=0",O$4:O$9,"&lt;21")</f>
        <v>2</v>
      </c>
      <c r="P98" s="83">
        <f>COUNTIFS(P$4:P$9,"&gt;=0",P$4:P$9,"&lt;21")</f>
        <v>2</v>
      </c>
      <c r="R98" s="83">
        <f>COUNTIFS(R$4:R$9,"&gt;=0",R$4:R$9,"&lt;21")</f>
        <v>3</v>
      </c>
      <c r="S98" s="83">
        <f>COUNTIFS(S$4:S$9,"&gt;=0",S$4:S$9,"&lt;21")</f>
        <v>3</v>
      </c>
      <c r="T98" s="83">
        <f>COUNTIFS(T$4:T$9,"&gt;=0",T$4:T$9,"&lt;21")</f>
        <v>3</v>
      </c>
      <c r="U98" s="83">
        <f>COUNTIFS(U$4:U$9,"&gt;=0",U$4:U$9,"&lt;21")</f>
        <v>3</v>
      </c>
    </row>
    <row r="99" spans="1:21" x14ac:dyDescent="0.25">
      <c r="A99" s="116" t="s">
        <v>110</v>
      </c>
      <c r="B99" s="4"/>
      <c r="C99" s="83">
        <f>COUNTIFS(C$4:C$9,"&gt;=0",C$4:C$9,"&lt;25")</f>
        <v>0</v>
      </c>
      <c r="D99" s="83">
        <f>COUNTIFS(D$4:D$9,"&gt;=0",D$4:D$9,"&lt;25")</f>
        <v>0</v>
      </c>
      <c r="E99" s="83">
        <f>COUNTIFS(E$4:E$9,"&gt;=0",E$4:E$9,"&lt;25")</f>
        <v>0</v>
      </c>
      <c r="F99" s="83">
        <f>COUNTIFS(F$4:F$9,"&gt;=0",F$4:F$9,"&lt;25")</f>
        <v>0</v>
      </c>
      <c r="H99" s="83">
        <f>COUNTIFS(H$4:H$9,"&gt;=0",H$4:H$9,"&lt;25")</f>
        <v>1</v>
      </c>
      <c r="I99" s="83">
        <f>COUNTIFS(I$4:I$9,"&gt;=0",I$4:I$9,"&lt;25")</f>
        <v>1</v>
      </c>
      <c r="J99" s="83">
        <f>COUNTIFS(J$4:J$9,"&gt;=0",J$4:J$9,"&lt;25")</f>
        <v>1</v>
      </c>
      <c r="K99" s="83">
        <f>COUNTIFS(K$4:K$9,"&gt;=0",K$4:K$9,"&lt;25")</f>
        <v>1</v>
      </c>
      <c r="M99" s="83">
        <f>COUNTIFS(M$4:M$9,"&gt;=0",M$4:M$9,"&lt;25")</f>
        <v>2</v>
      </c>
      <c r="N99" s="83">
        <f>COUNTIFS(N$4:N$9,"&gt;=0",N$4:N$9,"&lt;25")</f>
        <v>2</v>
      </c>
      <c r="O99" s="83">
        <f>COUNTIFS(O$4:O$9,"&gt;=0",O$4:O$9,"&lt;25")</f>
        <v>2</v>
      </c>
      <c r="P99" s="83">
        <f>COUNTIFS(P$4:P$9,"&gt;=0",P$4:P$9,"&lt;25")</f>
        <v>2</v>
      </c>
      <c r="R99" s="83">
        <f>COUNTIFS(R$4:R$9,"&gt;=0",R$4:R$9,"&lt;25")</f>
        <v>3</v>
      </c>
      <c r="S99" s="83">
        <f>COUNTIFS(S$4:S$9,"&gt;=0",S$4:S$9,"&lt;25")</f>
        <v>3</v>
      </c>
      <c r="T99" s="83">
        <f>COUNTIFS(T$4:T$9,"&gt;=0",T$4:T$9,"&lt;25")</f>
        <v>3</v>
      </c>
      <c r="U99" s="83">
        <f>COUNTIFS(U$4:U$9,"&gt;=0",U$4:U$9,"&lt;25")</f>
        <v>3</v>
      </c>
    </row>
    <row r="100" spans="1:21" x14ac:dyDescent="0.25">
      <c r="A100" s="116" t="s">
        <v>48</v>
      </c>
      <c r="B100" s="4"/>
      <c r="C100" s="83">
        <f>COUNTIFS(C$4:C$9,"&gt;=0",C$4:C$9,"&lt;3")</f>
        <v>0</v>
      </c>
      <c r="D100" s="83">
        <f>COUNTIFS(D$4:D$9,"&gt;=0",D$4:D$9,"&lt;3")</f>
        <v>0</v>
      </c>
      <c r="E100" s="83">
        <f>COUNTIFS(E$4:E$9,"&gt;=0",E$4:E$9,"&lt;3")</f>
        <v>0</v>
      </c>
      <c r="F100" s="83">
        <f>COUNTIFS(F$4:F$9,"&gt;=0",F$4:F$9,"&lt;3")</f>
        <v>0</v>
      </c>
      <c r="H100" s="83">
        <f>COUNTIFS(H$4:H$9,"&gt;=0",H$4:H$9,"&lt;3")</f>
        <v>0</v>
      </c>
      <c r="I100" s="83">
        <f>COUNTIFS(I$4:I$9,"&gt;=0",I$4:I$9,"&lt;3")</f>
        <v>0</v>
      </c>
      <c r="J100" s="83">
        <f>COUNTIFS(J$4:J$9,"&gt;=0",J$4:J$9,"&lt;3")</f>
        <v>0</v>
      </c>
      <c r="K100" s="83">
        <f>COUNTIFS(K$4:K$9,"&gt;=0",K$4:K$9,"&lt;3")</f>
        <v>0</v>
      </c>
      <c r="M100" s="83">
        <f>COUNTIFS(M$4:M$9,"&gt;=0",M$4:M$9,"&lt;3")</f>
        <v>0</v>
      </c>
      <c r="N100" s="83">
        <f>COUNTIFS(N$4:N$9,"&gt;=0",N$4:N$9,"&lt;3")</f>
        <v>0</v>
      </c>
      <c r="O100" s="83">
        <f>COUNTIFS(O$4:O$9,"&gt;=0",O$4:O$9,"&lt;3")</f>
        <v>0</v>
      </c>
      <c r="P100" s="83">
        <f>COUNTIFS(P$4:P$9,"&gt;=0",P$4:P$9,"&lt;3")</f>
        <v>0</v>
      </c>
      <c r="R100" s="83">
        <f>COUNTIFS(R$4:R$9,"&gt;=0",R$4:R$9,"&lt;3")</f>
        <v>0</v>
      </c>
      <c r="S100" s="83">
        <f>COUNTIFS(S$4:S$9,"&gt;=0",S$4:S$9,"&lt;3")</f>
        <v>0</v>
      </c>
      <c r="T100" s="83">
        <f>COUNTIFS(T$4:T$9,"&gt;=0",T$4:T$9,"&lt;3")</f>
        <v>0</v>
      </c>
      <c r="U100" s="83">
        <f>COUNTIFS(U$4:U$9,"&gt;=0",U$4:U$9,"&lt;3")</f>
        <v>0</v>
      </c>
    </row>
    <row r="101" spans="1:21" x14ac:dyDescent="0.25">
      <c r="A101" s="116" t="s">
        <v>111</v>
      </c>
      <c r="B101" s="4"/>
      <c r="C101" s="83">
        <f>COUNTIFS(C$4:C$9,"&gt;=14",C$4:C$9,"&lt;20")</f>
        <v>0</v>
      </c>
      <c r="D101" s="83">
        <f>COUNTIFS(D$4:D$9,"&gt;=14",D$4:D$9,"&lt;20")</f>
        <v>0</v>
      </c>
      <c r="E101" s="83">
        <f>COUNTIFS(E$4:E$9,"&gt;=14",E$4:E$9,"&lt;20")</f>
        <v>0</v>
      </c>
      <c r="F101" s="83">
        <f>COUNTIFS(F$4:F$9,"&gt;=14",F$4:F$9,"&lt;20")</f>
        <v>0</v>
      </c>
      <c r="H101" s="83">
        <f>COUNTIFS(H$4:H$9,"&gt;=14",H$4:H$9,"&lt;20")</f>
        <v>0</v>
      </c>
      <c r="I101" s="83">
        <f>COUNTIFS(I$4:I$9,"&gt;=14",I$4:I$9,"&lt;20")</f>
        <v>0</v>
      </c>
      <c r="J101" s="83">
        <f>COUNTIFS(J$4:J$9,"&gt;=14",J$4:J$9,"&lt;20")</f>
        <v>0</v>
      </c>
      <c r="K101" s="83">
        <f>COUNTIFS(K$4:K$9,"&gt;=14",K$4:K$9,"&lt;20")</f>
        <v>0</v>
      </c>
      <c r="M101" s="83">
        <f>COUNTIFS(M$4:M$9,"&gt;=14",M$4:M$9,"&lt;20")</f>
        <v>0</v>
      </c>
      <c r="N101" s="83">
        <f>COUNTIFS(N$4:N$9,"&gt;=14",N$4:N$9,"&lt;20")</f>
        <v>0</v>
      </c>
      <c r="O101" s="83">
        <f>COUNTIFS(O$4:O$9,"&gt;=14",O$4:O$9,"&lt;20")</f>
        <v>0</v>
      </c>
      <c r="P101" s="83">
        <f>COUNTIFS(P$4:P$9,"&gt;=14",P$4:P$9,"&lt;20")</f>
        <v>0</v>
      </c>
      <c r="R101" s="83">
        <f>COUNTIFS(R$4:R$9,"&gt;=14",R$4:R$9,"&lt;20")</f>
        <v>0</v>
      </c>
      <c r="S101" s="83">
        <f>COUNTIFS(S$4:S$9,"&gt;=14",S$4:S$9,"&lt;20")</f>
        <v>0</v>
      </c>
      <c r="T101" s="83">
        <f>COUNTIFS(T$4:T$9,"&gt;=14",T$4:T$9,"&lt;20")</f>
        <v>0</v>
      </c>
      <c r="U101" s="83">
        <f>COUNTIFS(U$4:U$9,"&gt;=14",U$4:U$9,"&lt;20")</f>
        <v>0</v>
      </c>
    </row>
    <row r="102" spans="1:21" x14ac:dyDescent="0.25">
      <c r="A102" s="275" t="s">
        <v>159</v>
      </c>
      <c r="B102" s="4"/>
      <c r="C102" s="83">
        <f t="shared" ref="C102:U102" si="26">COUNTIFS(C$4:C$9,"&gt;=14",C$4:C$9,"&lt;25")</f>
        <v>0</v>
      </c>
      <c r="D102" s="83">
        <f t="shared" si="26"/>
        <v>0</v>
      </c>
      <c r="E102" s="83">
        <f t="shared" si="26"/>
        <v>0</v>
      </c>
      <c r="F102" s="83">
        <f t="shared" si="26"/>
        <v>0</v>
      </c>
      <c r="H102" s="83">
        <f t="shared" si="26"/>
        <v>0</v>
      </c>
      <c r="I102" s="83">
        <f t="shared" si="26"/>
        <v>0</v>
      </c>
      <c r="J102" s="83">
        <f t="shared" si="26"/>
        <v>0</v>
      </c>
      <c r="K102" s="83">
        <f t="shared" si="26"/>
        <v>0</v>
      </c>
      <c r="M102" s="83">
        <f t="shared" si="26"/>
        <v>0</v>
      </c>
      <c r="N102" s="83">
        <f t="shared" si="26"/>
        <v>0</v>
      </c>
      <c r="O102" s="83">
        <f t="shared" si="26"/>
        <v>0</v>
      </c>
      <c r="P102" s="83">
        <f t="shared" si="26"/>
        <v>0</v>
      </c>
      <c r="R102" s="83">
        <f t="shared" si="26"/>
        <v>0</v>
      </c>
      <c r="S102" s="83">
        <f t="shared" si="26"/>
        <v>0</v>
      </c>
      <c r="T102" s="83">
        <f t="shared" si="26"/>
        <v>0</v>
      </c>
      <c r="U102" s="83">
        <f t="shared" si="26"/>
        <v>0</v>
      </c>
    </row>
    <row r="103" spans="1:21" x14ac:dyDescent="0.25">
      <c r="A103" s="116" t="s">
        <v>137</v>
      </c>
      <c r="B103" s="4"/>
      <c r="C103" s="83">
        <f>COUNTIFS(C$4:C$9,"&gt;=11",C$4:C$9,"&lt;15")</f>
        <v>0</v>
      </c>
      <c r="D103" s="83">
        <f>COUNTIFS(D$4:D$9,"&gt;=11",D$4:D$9,"&lt;15")</f>
        <v>0</v>
      </c>
      <c r="E103" s="83">
        <f>COUNTIFS(E$4:E$9,"&gt;=11",E$4:E$9,"&lt;15")</f>
        <v>0</v>
      </c>
      <c r="F103" s="83">
        <f>COUNTIFS(F$4:F$9,"&gt;=11",F$4:F$9,"&lt;15")</f>
        <v>0</v>
      </c>
      <c r="H103" s="83">
        <f>COUNTIFS(H$4:H$9,"&gt;=11",H$4:H$9,"&lt;15")</f>
        <v>0</v>
      </c>
      <c r="I103" s="83">
        <f>COUNTIFS(I$4:I$9,"&gt;=11",I$4:I$9,"&lt;15")</f>
        <v>0</v>
      </c>
      <c r="J103" s="83">
        <f>COUNTIFS(J$4:J$9,"&gt;=11",J$4:J$9,"&lt;15")</f>
        <v>0</v>
      </c>
      <c r="K103" s="83">
        <f>COUNTIFS(K$4:K$9,"&gt;=11",K$4:K$9,"&lt;15")</f>
        <v>0</v>
      </c>
      <c r="M103" s="83">
        <f>COUNTIFS(M$4:M$9,"&gt;=11",M$4:M$9,"&lt;15")</f>
        <v>0</v>
      </c>
      <c r="N103" s="83">
        <f>COUNTIFS(N$4:N$9,"&gt;=11",N$4:N$9,"&lt;15")</f>
        <v>0</v>
      </c>
      <c r="O103" s="83">
        <f>COUNTIFS(O$4:O$9,"&gt;=11",O$4:O$9,"&lt;15")</f>
        <v>0</v>
      </c>
      <c r="P103" s="83">
        <f>COUNTIFS(P$4:P$9,"&gt;=11",P$4:P$9,"&lt;15")</f>
        <v>0</v>
      </c>
      <c r="R103" s="83">
        <f>COUNTIFS(R$4:R$9,"&gt;=11",R$4:R$9,"&lt;15")</f>
        <v>0</v>
      </c>
      <c r="S103" s="83">
        <f>COUNTIFS(S$4:S$9,"&gt;=11",S$4:S$9,"&lt;15")</f>
        <v>0</v>
      </c>
      <c r="T103" s="83">
        <f>COUNTIFS(T$4:T$9,"&gt;=11",T$4:T$9,"&lt;15")</f>
        <v>0</v>
      </c>
      <c r="U103" s="83">
        <f>COUNTIFS(U$4:U$9,"&gt;=11",U$4:U$9,"&lt;15")</f>
        <v>0</v>
      </c>
    </row>
    <row r="104" spans="1:21" ht="13" thickBot="1" x14ac:dyDescent="0.3">
      <c r="A104" s="119" t="s">
        <v>138</v>
      </c>
      <c r="B104" s="120"/>
      <c r="C104" s="84">
        <f>COUNTIFS(C$4:C$9,"&gt;=15",C$4:C$9,"&lt;18")</f>
        <v>0</v>
      </c>
      <c r="D104" s="84">
        <f>COUNTIFS(D$4:D$9,"&gt;=15",D$4:D$9,"&lt;18")</f>
        <v>0</v>
      </c>
      <c r="E104" s="84">
        <f>COUNTIFS(E$4:E$9,"&gt;=15",E$4:E$9,"&lt;18")</f>
        <v>0</v>
      </c>
      <c r="F104" s="84">
        <f>COUNTIFS(F$4:F$9,"&gt;=15",F$4:F$9,"&lt;18")</f>
        <v>0</v>
      </c>
      <c r="H104" s="84">
        <f>COUNTIFS(H$4:H$9,"&gt;=15",H$4:H$9,"&lt;18")</f>
        <v>0</v>
      </c>
      <c r="I104" s="84">
        <f>COUNTIFS(I$4:I$9,"&gt;=15",I$4:I$9,"&lt;18")</f>
        <v>0</v>
      </c>
      <c r="J104" s="84">
        <f>COUNTIFS(J$4:J$9,"&gt;=15",J$4:J$9,"&lt;18")</f>
        <v>0</v>
      </c>
      <c r="K104" s="84">
        <f>COUNTIFS(K$4:K$9,"&gt;=15",K$4:K$9,"&lt;18")</f>
        <v>0</v>
      </c>
      <c r="M104" s="84">
        <f>COUNTIFS(M$4:M$9,"&gt;=15",M$4:M$9,"&lt;18")</f>
        <v>0</v>
      </c>
      <c r="N104" s="84">
        <f>COUNTIFS(N$4:N$9,"&gt;=15",N$4:N$9,"&lt;18")</f>
        <v>0</v>
      </c>
      <c r="O104" s="84">
        <f>COUNTIFS(O$4:O$9,"&gt;=15",O$4:O$9,"&lt;18")</f>
        <v>0</v>
      </c>
      <c r="P104" s="84">
        <f>COUNTIFS(P$4:P$9,"&gt;=15",P$4:P$9,"&lt;18")</f>
        <v>0</v>
      </c>
      <c r="R104" s="84">
        <f>COUNTIFS(R$4:R$9,"&gt;=15",R$4:R$9,"&lt;18")</f>
        <v>0</v>
      </c>
      <c r="S104" s="84">
        <f>COUNTIFS(S$4:S$9,"&gt;=15",S$4:S$9,"&lt;18")</f>
        <v>0</v>
      </c>
      <c r="T104" s="84">
        <f>COUNTIFS(T$4:T$9,"&gt;=15",T$4:T$9,"&lt;18")</f>
        <v>0</v>
      </c>
      <c r="U104" s="84">
        <f>COUNTIFS(U$4:U$9,"&gt;=15",U$4:U$9,"&lt;18")</f>
        <v>0</v>
      </c>
    </row>
    <row r="105" spans="1:21" x14ac:dyDescent="0.25">
      <c r="A105" s="302"/>
      <c r="B105" s="302"/>
      <c r="C105" s="327"/>
      <c r="D105" s="327"/>
      <c r="E105" s="327"/>
      <c r="F105" s="327"/>
      <c r="H105" s="327"/>
      <c r="I105" s="327"/>
      <c r="J105" s="327"/>
      <c r="K105" s="327"/>
      <c r="M105" s="327"/>
      <c r="N105" s="327"/>
      <c r="O105" s="327"/>
      <c r="P105" s="327"/>
      <c r="R105" s="327"/>
      <c r="S105" s="327"/>
      <c r="T105" s="327"/>
      <c r="U105" s="327"/>
    </row>
    <row r="106" spans="1:21" ht="13.5" thickBot="1" x14ac:dyDescent="0.35">
      <c r="A106" s="295" t="s">
        <v>419</v>
      </c>
      <c r="B106" s="331"/>
    </row>
    <row r="107" spans="1:21" x14ac:dyDescent="0.25">
      <c r="A107" s="190" t="s">
        <v>336</v>
      </c>
      <c r="B107" s="186"/>
      <c r="C107" s="267"/>
      <c r="D107" s="267"/>
      <c r="E107" s="267"/>
      <c r="F107" s="267"/>
      <c r="G107" s="10"/>
      <c r="H107" s="267"/>
      <c r="I107" s="267"/>
      <c r="J107" s="267"/>
      <c r="K107" s="267"/>
      <c r="L107" s="10"/>
      <c r="M107" s="267"/>
      <c r="N107" s="267"/>
      <c r="O107" s="267"/>
      <c r="P107" s="267"/>
      <c r="Q107" s="10"/>
      <c r="R107" s="267"/>
      <c r="S107" s="267"/>
      <c r="T107" s="267"/>
      <c r="U107" s="267"/>
    </row>
    <row r="108" spans="1:21" x14ac:dyDescent="0.25">
      <c r="A108" s="275" t="s">
        <v>337</v>
      </c>
      <c r="B108" s="10"/>
      <c r="C108" s="299">
        <f>C47/smic</f>
        <v>0</v>
      </c>
      <c r="D108" s="299">
        <f>D47/smic</f>
        <v>0</v>
      </c>
      <c r="E108" s="299">
        <f>E47/smic</f>
        <v>0</v>
      </c>
      <c r="F108" s="299">
        <f>F47/smic</f>
        <v>0</v>
      </c>
      <c r="G108" s="10"/>
      <c r="H108" s="299">
        <f>H47/smic</f>
        <v>0</v>
      </c>
      <c r="I108" s="299">
        <f>I47/smic</f>
        <v>0</v>
      </c>
      <c r="J108" s="299">
        <f>J47/smic</f>
        <v>0</v>
      </c>
      <c r="K108" s="299">
        <f>K47/smic</f>
        <v>0</v>
      </c>
      <c r="L108" s="10"/>
      <c r="M108" s="299">
        <f>M47/smic</f>
        <v>0</v>
      </c>
      <c r="N108" s="299">
        <f>N47/smic</f>
        <v>0</v>
      </c>
      <c r="O108" s="299">
        <f>O47/smic</f>
        <v>0</v>
      </c>
      <c r="P108" s="299">
        <f>P47/smic</f>
        <v>0</v>
      </c>
      <c r="Q108" s="10"/>
      <c r="R108" s="299">
        <f>R47/smic</f>
        <v>0</v>
      </c>
      <c r="S108" s="299">
        <f>S47/smic</f>
        <v>0</v>
      </c>
      <c r="T108" s="299">
        <f>T47/smic</f>
        <v>0</v>
      </c>
      <c r="U108" s="299">
        <f>U47/smic</f>
        <v>0</v>
      </c>
    </row>
    <row r="109" spans="1:21" x14ac:dyDescent="0.25">
      <c r="A109" s="275" t="s">
        <v>338</v>
      </c>
      <c r="B109" s="10"/>
      <c r="C109" s="196">
        <f>(1+assiette_csgcrds*(crds+tx_csgimp)/(1-tx_cotsal))*C47*12</f>
        <v>0</v>
      </c>
      <c r="D109" s="196">
        <f>(1+assiette_csgcrds*(crds+tx_csgimp)/(1-tx_cotsal))*D47*12</f>
        <v>0</v>
      </c>
      <c r="E109" s="196">
        <f>(1+assiette_csgcrds*(crds+tx_csgimp)/(1-tx_cotsal))*E47*12</f>
        <v>0</v>
      </c>
      <c r="F109" s="196">
        <f>(1+assiette_csgcrds*(crds+tx_csgimp)/(1-tx_cotsal))*F47*12</f>
        <v>0</v>
      </c>
      <c r="G109" s="10"/>
      <c r="H109" s="196">
        <f>(1+assiette_csgcrds*(crds+tx_csgimp)/(1-tx_cotsal))*H47*12</f>
        <v>0</v>
      </c>
      <c r="I109" s="196">
        <f>(1+assiette_csgcrds*(crds+tx_csgimp)/(1-tx_cotsal))*I47*12</f>
        <v>0</v>
      </c>
      <c r="J109" s="196">
        <f>(1+assiette_csgcrds*(crds+tx_csgimp)/(1-tx_cotsal))*J47*12</f>
        <v>0</v>
      </c>
      <c r="K109" s="196">
        <f>(1+assiette_csgcrds*(crds+tx_csgimp)/(1-tx_cotsal))*K47*12</f>
        <v>0</v>
      </c>
      <c r="L109" s="10"/>
      <c r="M109" s="196">
        <f>(1+assiette_csgcrds*(crds+tx_csgimp)/(1-tx_cotsal))*M47*12</f>
        <v>0</v>
      </c>
      <c r="N109" s="196">
        <f>(1+assiette_csgcrds*(crds+tx_csgimp)/(1-tx_cotsal))*N47*12</f>
        <v>0</v>
      </c>
      <c r="O109" s="196">
        <f>(1+assiette_csgcrds*(crds+tx_csgimp)/(1-tx_cotsal))*O47*12</f>
        <v>0</v>
      </c>
      <c r="P109" s="196">
        <f>(1+assiette_csgcrds*(crds+tx_csgimp)/(1-tx_cotsal))*P47*12</f>
        <v>0</v>
      </c>
      <c r="Q109" s="10"/>
      <c r="R109" s="196">
        <f>(1+assiette_csgcrds*(crds+tx_csgimp)/(1-tx_cotsal))*R47*12</f>
        <v>0</v>
      </c>
      <c r="S109" s="196">
        <f>(1+assiette_csgcrds*(crds+tx_csgimp)/(1-tx_cotsal))*S47*12</f>
        <v>0</v>
      </c>
      <c r="T109" s="196">
        <f>(1+assiette_csgcrds*(crds+tx_csgimp)/(1-tx_cotsal))*T47*12</f>
        <v>0</v>
      </c>
      <c r="U109" s="196">
        <f>(1+assiette_csgcrds*(crds+tx_csgimp)/(1-tx_cotsal))*U47*12</f>
        <v>0</v>
      </c>
    </row>
    <row r="110" spans="1:21" x14ac:dyDescent="0.25">
      <c r="A110" s="275" t="s">
        <v>339</v>
      </c>
      <c r="B110" s="10"/>
      <c r="C110" s="197">
        <f t="shared" ref="C110:F110" si="27">C109/(261*1.4)</f>
        <v>0</v>
      </c>
      <c r="D110" s="197">
        <f t="shared" si="27"/>
        <v>0</v>
      </c>
      <c r="E110" s="197">
        <f t="shared" si="27"/>
        <v>0</v>
      </c>
      <c r="F110" s="197">
        <f t="shared" si="27"/>
        <v>0</v>
      </c>
      <c r="G110" s="10"/>
      <c r="H110" s="197">
        <f t="shared" ref="H110:K110" si="28">H109/(261*1.4)</f>
        <v>0</v>
      </c>
      <c r="I110" s="197">
        <f t="shared" si="28"/>
        <v>0</v>
      </c>
      <c r="J110" s="197">
        <f t="shared" si="28"/>
        <v>0</v>
      </c>
      <c r="K110" s="197">
        <f t="shared" si="28"/>
        <v>0</v>
      </c>
      <c r="L110" s="10"/>
      <c r="M110" s="197">
        <f t="shared" ref="M110:P110" si="29">M109/(261*1.4)</f>
        <v>0</v>
      </c>
      <c r="N110" s="197">
        <f t="shared" si="29"/>
        <v>0</v>
      </c>
      <c r="O110" s="197">
        <f t="shared" si="29"/>
        <v>0</v>
      </c>
      <c r="P110" s="197">
        <f t="shared" si="29"/>
        <v>0</v>
      </c>
      <c r="Q110" s="10"/>
      <c r="R110" s="197">
        <f t="shared" ref="R110:U110" si="30">R109/(261*1.4)</f>
        <v>0</v>
      </c>
      <c r="S110" s="197">
        <f t="shared" si="30"/>
        <v>0</v>
      </c>
      <c r="T110" s="197">
        <f t="shared" si="30"/>
        <v>0</v>
      </c>
      <c r="U110" s="197">
        <f t="shared" si="30"/>
        <v>0</v>
      </c>
    </row>
    <row r="111" spans="1:21" x14ac:dyDescent="0.25">
      <c r="A111" s="191" t="s">
        <v>341</v>
      </c>
      <c r="B111" s="192"/>
      <c r="C111" s="198">
        <f t="shared" ref="C111:F111" si="31">30*MIN(75%*C110,MAX(29.26*C108,40.4%*C110+12*C108,57%*C110))</f>
        <v>0</v>
      </c>
      <c r="D111" s="198">
        <f t="shared" si="31"/>
        <v>0</v>
      </c>
      <c r="E111" s="198">
        <f t="shared" si="31"/>
        <v>0</v>
      </c>
      <c r="F111" s="198">
        <f t="shared" si="31"/>
        <v>0</v>
      </c>
      <c r="H111" s="198">
        <f t="shared" ref="H111:K111" si="32">30*MIN(75%*H110,MAX(29.26*H108,40.4%*H110+12*H108,57%*H110))</f>
        <v>0</v>
      </c>
      <c r="I111" s="198">
        <f t="shared" si="32"/>
        <v>0</v>
      </c>
      <c r="J111" s="198">
        <f t="shared" si="32"/>
        <v>0</v>
      </c>
      <c r="K111" s="198">
        <f t="shared" si="32"/>
        <v>0</v>
      </c>
      <c r="M111" s="198">
        <f t="shared" ref="M111:P111" si="33">30*MIN(75%*M110,MAX(29.26*M108,40.4%*M110+12*M108,57%*M110))</f>
        <v>0</v>
      </c>
      <c r="N111" s="198">
        <f t="shared" si="33"/>
        <v>0</v>
      </c>
      <c r="O111" s="198">
        <f t="shared" si="33"/>
        <v>0</v>
      </c>
      <c r="P111" s="198">
        <f t="shared" si="33"/>
        <v>0</v>
      </c>
      <c r="R111" s="198">
        <f t="shared" ref="R111:U111" si="34">30*MIN(75%*R110,MAX(29.26*R108,40.4%*R110+12*R108,57%*R110))</f>
        <v>0</v>
      </c>
      <c r="S111" s="198">
        <f t="shared" si="34"/>
        <v>0</v>
      </c>
      <c r="T111" s="198">
        <f t="shared" si="34"/>
        <v>0</v>
      </c>
      <c r="U111" s="198">
        <f t="shared" si="34"/>
        <v>0</v>
      </c>
    </row>
    <row r="112" spans="1:21" x14ac:dyDescent="0.25">
      <c r="A112" s="274" t="s">
        <v>340</v>
      </c>
      <c r="C112" s="199"/>
      <c r="D112" s="199"/>
      <c r="E112" s="199"/>
      <c r="F112" s="199"/>
      <c r="G112" s="10"/>
      <c r="H112" s="199"/>
      <c r="I112" s="199"/>
      <c r="J112" s="199"/>
      <c r="K112" s="199"/>
      <c r="L112" s="10"/>
      <c r="M112" s="199"/>
      <c r="N112" s="199"/>
      <c r="O112" s="199"/>
      <c r="P112" s="199"/>
      <c r="Q112" s="10"/>
      <c r="R112" s="199"/>
      <c r="S112" s="199"/>
      <c r="T112" s="199"/>
      <c r="U112" s="199"/>
    </row>
    <row r="113" spans="1:21" x14ac:dyDescent="0.25">
      <c r="A113" s="275" t="s">
        <v>337</v>
      </c>
      <c r="B113" s="10"/>
      <c r="C113" s="299">
        <f>C50/smic</f>
        <v>0</v>
      </c>
      <c r="D113" s="299">
        <f>D50/smic</f>
        <v>0</v>
      </c>
      <c r="E113" s="299">
        <f>E50/smic</f>
        <v>0</v>
      </c>
      <c r="F113" s="299">
        <f>F50/smic</f>
        <v>0</v>
      </c>
      <c r="G113" s="10"/>
      <c r="H113" s="299">
        <f>H50/smic</f>
        <v>0</v>
      </c>
      <c r="I113" s="299">
        <f>I50/smic</f>
        <v>0</v>
      </c>
      <c r="J113" s="299">
        <f>J50/smic</f>
        <v>0</v>
      </c>
      <c r="K113" s="299">
        <f>K50/smic</f>
        <v>0</v>
      </c>
      <c r="L113" s="10"/>
      <c r="M113" s="299">
        <f>M50/smic</f>
        <v>0</v>
      </c>
      <c r="N113" s="299">
        <f>N50/smic</f>
        <v>0</v>
      </c>
      <c r="O113" s="299">
        <f>O50/smic</f>
        <v>0</v>
      </c>
      <c r="P113" s="299">
        <f>P50/smic</f>
        <v>0</v>
      </c>
      <c r="Q113" s="10"/>
      <c r="R113" s="299">
        <f>R50/smic</f>
        <v>0</v>
      </c>
      <c r="S113" s="299">
        <f>S50/smic</f>
        <v>0</v>
      </c>
      <c r="T113" s="299">
        <f>T50/smic</f>
        <v>0</v>
      </c>
      <c r="U113" s="299">
        <f>U50/smic</f>
        <v>0</v>
      </c>
    </row>
    <row r="114" spans="1:21" x14ac:dyDescent="0.25">
      <c r="A114" s="275" t="s">
        <v>338</v>
      </c>
      <c r="B114" s="10"/>
      <c r="C114" s="196">
        <f>(1+assiette_csgcrds*(crds+tx_csgimp)/(1-tx_cotsal))*C50*12</f>
        <v>0</v>
      </c>
      <c r="D114" s="196">
        <f>(1+assiette_csgcrds*(crds+tx_csgimp)/(1-tx_cotsal))*D50*12</f>
        <v>0</v>
      </c>
      <c r="E114" s="196">
        <f>(1+assiette_csgcrds*(crds+tx_csgimp)/(1-tx_cotsal))*E50*12</f>
        <v>0</v>
      </c>
      <c r="F114" s="196">
        <f>(1+assiette_csgcrds*(crds+tx_csgimp)/(1-tx_cotsal))*F50*12</f>
        <v>0</v>
      </c>
      <c r="G114" s="10"/>
      <c r="H114" s="196">
        <f>(1+assiette_csgcrds*(crds+tx_csgimp)/(1-tx_cotsal))*H50*12</f>
        <v>0</v>
      </c>
      <c r="I114" s="196">
        <f>(1+assiette_csgcrds*(crds+tx_csgimp)/(1-tx_cotsal))*I50*12</f>
        <v>0</v>
      </c>
      <c r="J114" s="196">
        <f>(1+assiette_csgcrds*(crds+tx_csgimp)/(1-tx_cotsal))*J50*12</f>
        <v>0</v>
      </c>
      <c r="K114" s="196">
        <f>(1+assiette_csgcrds*(crds+tx_csgimp)/(1-tx_cotsal))*K50*12</f>
        <v>0</v>
      </c>
      <c r="L114" s="10"/>
      <c r="M114" s="196">
        <f>(1+assiette_csgcrds*(crds+tx_csgimp)/(1-tx_cotsal))*M50*12</f>
        <v>0</v>
      </c>
      <c r="N114" s="196">
        <f>(1+assiette_csgcrds*(crds+tx_csgimp)/(1-tx_cotsal))*N50*12</f>
        <v>0</v>
      </c>
      <c r="O114" s="196">
        <f>(1+assiette_csgcrds*(crds+tx_csgimp)/(1-tx_cotsal))*O50*12</f>
        <v>0</v>
      </c>
      <c r="P114" s="196">
        <f>(1+assiette_csgcrds*(crds+tx_csgimp)/(1-tx_cotsal))*P50*12</f>
        <v>0</v>
      </c>
      <c r="Q114" s="10"/>
      <c r="R114" s="196">
        <f>(1+assiette_csgcrds*(crds+tx_csgimp)/(1-tx_cotsal))*R50*12</f>
        <v>0</v>
      </c>
      <c r="S114" s="196">
        <f>(1+assiette_csgcrds*(crds+tx_csgimp)/(1-tx_cotsal))*S50*12</f>
        <v>0</v>
      </c>
      <c r="T114" s="196">
        <f>(1+assiette_csgcrds*(crds+tx_csgimp)/(1-tx_cotsal))*T50*12</f>
        <v>0</v>
      </c>
      <c r="U114" s="196">
        <f>(1+assiette_csgcrds*(crds+tx_csgimp)/(1-tx_cotsal))*U50*12</f>
        <v>0</v>
      </c>
    </row>
    <row r="115" spans="1:21" x14ac:dyDescent="0.25">
      <c r="A115" s="275" t="s">
        <v>339</v>
      </c>
      <c r="B115" s="10"/>
      <c r="C115" s="197">
        <f t="shared" ref="C115:F115" si="35">C114/(261*1.4)</f>
        <v>0</v>
      </c>
      <c r="D115" s="197">
        <f t="shared" si="35"/>
        <v>0</v>
      </c>
      <c r="E115" s="197">
        <f t="shared" si="35"/>
        <v>0</v>
      </c>
      <c r="F115" s="197">
        <f t="shared" si="35"/>
        <v>0</v>
      </c>
      <c r="G115" s="10"/>
      <c r="H115" s="197">
        <f t="shared" ref="H115:K115" si="36">H114/(261*1.4)</f>
        <v>0</v>
      </c>
      <c r="I115" s="197">
        <f t="shared" si="36"/>
        <v>0</v>
      </c>
      <c r="J115" s="197">
        <f t="shared" si="36"/>
        <v>0</v>
      </c>
      <c r="K115" s="197">
        <f t="shared" si="36"/>
        <v>0</v>
      </c>
      <c r="L115" s="10"/>
      <c r="M115" s="197">
        <f t="shared" ref="M115:P115" si="37">M114/(261*1.4)</f>
        <v>0</v>
      </c>
      <c r="N115" s="197">
        <f t="shared" si="37"/>
        <v>0</v>
      </c>
      <c r="O115" s="197">
        <f t="shared" si="37"/>
        <v>0</v>
      </c>
      <c r="P115" s="197">
        <f t="shared" si="37"/>
        <v>0</v>
      </c>
      <c r="Q115" s="10"/>
      <c r="R115" s="197">
        <f t="shared" ref="R115:U115" si="38">R114/(261*1.4)</f>
        <v>0</v>
      </c>
      <c r="S115" s="197">
        <f t="shared" si="38"/>
        <v>0</v>
      </c>
      <c r="T115" s="197">
        <f t="shared" si="38"/>
        <v>0</v>
      </c>
      <c r="U115" s="197">
        <f t="shared" si="38"/>
        <v>0</v>
      </c>
    </row>
    <row r="116" spans="1:21" ht="13" thickBot="1" x14ac:dyDescent="0.3">
      <c r="A116" s="193" t="s">
        <v>342</v>
      </c>
      <c r="B116" s="194"/>
      <c r="C116" s="200">
        <f t="shared" ref="C116:F116" si="39">30*MIN(75%*C115,MAX(29.26*C113,40.4%*C115+12*C113,57%*C115))</f>
        <v>0</v>
      </c>
      <c r="D116" s="200">
        <f t="shared" si="39"/>
        <v>0</v>
      </c>
      <c r="E116" s="200">
        <f t="shared" si="39"/>
        <v>0</v>
      </c>
      <c r="F116" s="200">
        <f t="shared" si="39"/>
        <v>0</v>
      </c>
      <c r="G116" s="10"/>
      <c r="H116" s="200">
        <f t="shared" ref="H116:K116" si="40">30*MIN(75%*H115,MAX(29.26*H113,40.4%*H115+12*H113,57%*H115))</f>
        <v>0</v>
      </c>
      <c r="I116" s="200">
        <f t="shared" si="40"/>
        <v>0</v>
      </c>
      <c r="J116" s="200">
        <f t="shared" si="40"/>
        <v>0</v>
      </c>
      <c r="K116" s="200">
        <f t="shared" si="40"/>
        <v>0</v>
      </c>
      <c r="L116" s="10"/>
      <c r="M116" s="200">
        <f t="shared" ref="M116:P116" si="41">30*MIN(75%*M115,MAX(29.26*M113,40.4%*M115+12*M113,57%*M115))</f>
        <v>0</v>
      </c>
      <c r="N116" s="200">
        <f t="shared" si="41"/>
        <v>0</v>
      </c>
      <c r="O116" s="200">
        <f t="shared" si="41"/>
        <v>0</v>
      </c>
      <c r="P116" s="200">
        <f t="shared" si="41"/>
        <v>0</v>
      </c>
      <c r="Q116" s="10"/>
      <c r="R116" s="200">
        <f t="shared" ref="R116:U116" si="42">30*MIN(75%*R115,MAX(29.26*R113,40.4%*R115+12*R113,57%*R115))</f>
        <v>0</v>
      </c>
      <c r="S116" s="200">
        <f t="shared" si="42"/>
        <v>0</v>
      </c>
      <c r="T116" s="200">
        <f t="shared" si="42"/>
        <v>0</v>
      </c>
      <c r="U116" s="200">
        <f t="shared" si="42"/>
        <v>0</v>
      </c>
    </row>
    <row r="117" spans="1:21" x14ac:dyDescent="0.25">
      <c r="A117" s="10"/>
      <c r="B117" s="10"/>
      <c r="C117" s="296"/>
      <c r="D117" s="296"/>
      <c r="E117" s="296"/>
      <c r="F117" s="296"/>
      <c r="G117" s="10"/>
      <c r="H117" s="296"/>
      <c r="I117" s="296"/>
      <c r="J117" s="296"/>
      <c r="K117" s="296"/>
      <c r="L117" s="10"/>
      <c r="M117" s="296"/>
      <c r="N117" s="296"/>
      <c r="O117" s="296"/>
      <c r="P117" s="296"/>
      <c r="Q117" s="10"/>
      <c r="R117" s="296"/>
      <c r="S117" s="296"/>
      <c r="T117" s="296"/>
      <c r="U117" s="296"/>
    </row>
    <row r="118" spans="1:21" ht="13.5" thickBot="1" x14ac:dyDescent="0.35">
      <c r="A118" s="295" t="s">
        <v>415</v>
      </c>
      <c r="B118" s="10"/>
      <c r="C118" s="296"/>
      <c r="D118" s="296"/>
      <c r="E118" s="296"/>
      <c r="F118" s="296"/>
      <c r="G118" s="10"/>
      <c r="H118" s="296"/>
      <c r="I118" s="296"/>
      <c r="J118" s="296"/>
      <c r="K118" s="296"/>
      <c r="L118" s="10"/>
      <c r="M118" s="296"/>
      <c r="N118" s="296"/>
      <c r="O118" s="296"/>
      <c r="P118" s="296"/>
      <c r="Q118" s="10"/>
      <c r="R118" s="296"/>
      <c r="S118" s="296"/>
      <c r="T118" s="296"/>
      <c r="U118" s="296"/>
    </row>
    <row r="119" spans="1:21" ht="13" thickBot="1" x14ac:dyDescent="0.3">
      <c r="A119" s="330" t="s">
        <v>485</v>
      </c>
      <c r="B119" s="329"/>
      <c r="C119" s="347">
        <f>MAX(0,Coef_n_2*C$58-MAX(irpp_min_reduc_fp,MIN(irpp_max_reduc_fp,irpp_taux_reduc_fp*Coef_n_2*C$58)))
+MAX(0,12*C$52-MAX(irpp_min_reduc_pens,MIN(irpp_max_reduc_pens,irpp_taux_reduc_pens*12*C$52)))
 -12*C$53</f>
        <v>0</v>
      </c>
      <c r="D119" s="347">
        <f>MAX(0,Coef_n_2*D$58-MAX(irpp_min_reduc_fp,MIN(irpp_max_reduc_fp,irpp_taux_reduc_fp*Coef_n_2*D$58)))
+MAX(0,12*D$52-MAX(irpp_min_reduc_pens,MIN(irpp_max_reduc_pens,irpp_taux_reduc_pens*12*D$52)))
 -12*D$53</f>
        <v>7105.035193964849</v>
      </c>
      <c r="E119" s="347">
        <f>MAX(0,Coef_n_2*E$58-MAX(irpp_min_reduc_fp,MIN(irpp_max_reduc_fp,irpp_taux_reduc_fp*Coef_n_2*E$58)))
+MAX(0,12*E$52-MAX(irpp_min_reduc_pens,MIN(irpp_max_reduc_pens,irpp_taux_reduc_pens*12*E$52)))
 -12*E$53</f>
        <v>14210.070387929698</v>
      </c>
      <c r="F119" s="347">
        <f>MAX(0,Coef_n_2*F$58-MAX(irpp_min_reduc_fp,MIN(irpp_max_reduc_fp,irpp_taux_reduc_fp*Coef_n_2*F$58)))
+MAX(0,12*F$52-MAX(irpp_min_reduc_pens,MIN(irpp_max_reduc_pens,irpp_taux_reduc_pens*12*F$52)))
 -12*F$53</f>
        <v>21315.10558189455</v>
      </c>
      <c r="G119" s="10"/>
      <c r="H119" s="347">
        <f>MAX(0,Coef_n_2*H$58-MAX(irpp_min_reduc_fp,MIN(irpp_max_reduc_fp,irpp_taux_reduc_fp*Coef_n_2*H$58)))
+MAX(0,12*H$52-MAX(irpp_min_reduc_pens,MIN(irpp_max_reduc_pens,irpp_taux_reduc_pens*12*H$52)))
 -12*H$53</f>
        <v>0</v>
      </c>
      <c r="I119" s="347">
        <f>MAX(0,Coef_n_2*I$58-MAX(irpp_min_reduc_fp,MIN(irpp_max_reduc_fp,irpp_taux_reduc_fp*Coef_n_2*I$58)))
+MAX(0,12*I$52-MAX(irpp_min_reduc_pens,MIN(irpp_max_reduc_pens,irpp_taux_reduc_pens*12*I$52)))
 -12*I$53</f>
        <v>7105.035193964849</v>
      </c>
      <c r="J119" s="347">
        <f>MAX(0,Coef_n_2*J$58-MAX(irpp_min_reduc_fp,MIN(irpp_max_reduc_fp,irpp_taux_reduc_fp*Coef_n_2*J$58)))
+MAX(0,12*J$52-MAX(irpp_min_reduc_pens,MIN(irpp_max_reduc_pens,irpp_taux_reduc_pens*12*J$52)))
 -12*J$53</f>
        <v>14210.070387929698</v>
      </c>
      <c r="K119" s="347">
        <f>MAX(0,Coef_n_2*K$58-MAX(irpp_min_reduc_fp,MIN(irpp_max_reduc_fp,irpp_taux_reduc_fp*Coef_n_2*K$58)))
+MAX(0,12*K$52-MAX(irpp_min_reduc_pens,MIN(irpp_max_reduc_pens,irpp_taux_reduc_pens*12*K$52)))
 -12*K$53</f>
        <v>21315.10558189455</v>
      </c>
      <c r="L119" s="10"/>
      <c r="M119" s="347">
        <f>MAX(0,Coef_n_2*M$58-MAX(irpp_min_reduc_fp,MIN(irpp_max_reduc_fp,irpp_taux_reduc_fp*Coef_n_2*M$58)))
+MAX(0,12*M$52-MAX(irpp_min_reduc_pens,MIN(irpp_max_reduc_pens,irpp_taux_reduc_pens*12*M$52)))
 -12*M$53</f>
        <v>0</v>
      </c>
      <c r="N119" s="347">
        <f>MAX(0,Coef_n_2*N$58-MAX(irpp_min_reduc_fp,MIN(irpp_max_reduc_fp,irpp_taux_reduc_fp*Coef_n_2*N$58)))
+MAX(0,12*N$52-MAX(irpp_min_reduc_pens,MIN(irpp_max_reduc_pens,irpp_taux_reduc_pens*12*N$52)))
 -12*N$53</f>
        <v>7105.035193964849</v>
      </c>
      <c r="O119" s="347">
        <f>MAX(0,Coef_n_2*O$58-MAX(irpp_min_reduc_fp,MIN(irpp_max_reduc_fp,irpp_taux_reduc_fp*Coef_n_2*O$58)))
+MAX(0,12*O$52-MAX(irpp_min_reduc_pens,MIN(irpp_max_reduc_pens,irpp_taux_reduc_pens*12*O$52)))
 -12*O$53</f>
        <v>14210.070387929698</v>
      </c>
      <c r="P119" s="347">
        <f>MAX(0,Coef_n_2*P$58-MAX(irpp_min_reduc_fp,MIN(irpp_max_reduc_fp,irpp_taux_reduc_fp*Coef_n_2*P$58)))
+MAX(0,12*P$52-MAX(irpp_min_reduc_pens,MIN(irpp_max_reduc_pens,irpp_taux_reduc_pens*12*P$52)))
 -12*P$53</f>
        <v>21315.10558189455</v>
      </c>
      <c r="Q119" s="10"/>
      <c r="R119" s="347">
        <f>MAX(0,Coef_n_2*R$58-MAX(irpp_min_reduc_fp,MIN(irpp_max_reduc_fp,irpp_taux_reduc_fp*Coef_n_2*R$58)))
+MAX(0,12*R$52-MAX(irpp_min_reduc_pens,MIN(irpp_max_reduc_pens,irpp_taux_reduc_pens*12*R$52)))
 -12*R$53</f>
        <v>0</v>
      </c>
      <c r="S119" s="347">
        <f>MAX(0,Coef_n_2*S$58-MAX(irpp_min_reduc_fp,MIN(irpp_max_reduc_fp,irpp_taux_reduc_fp*Coef_n_2*S$58)))
+MAX(0,12*S$52-MAX(irpp_min_reduc_pens,MIN(irpp_max_reduc_pens,irpp_taux_reduc_pens*12*S$52)))
 -12*S$53</f>
        <v>7105.035193964849</v>
      </c>
      <c r="T119" s="347">
        <f>MAX(0,Coef_n_2*T$58-MAX(irpp_min_reduc_fp,MIN(irpp_max_reduc_fp,irpp_taux_reduc_fp*Coef_n_2*T$58)))
+MAX(0,12*T$52-MAX(irpp_min_reduc_pens,MIN(irpp_max_reduc_pens,irpp_taux_reduc_pens*12*T$52)))
 -12*T$53</f>
        <v>14210.070387929698</v>
      </c>
      <c r="U119" s="347">
        <f>MAX(0,Coef_n_2*U$58-MAX(irpp_min_reduc_fp,MIN(irpp_max_reduc_fp,irpp_taux_reduc_fp*Coef_n_2*U$58)))
+MAX(0,12*U$52-MAX(irpp_min_reduc_pens,MIN(irpp_max_reduc_pens,irpp_taux_reduc_pens*12*U$52)))
 -12*U$53</f>
        <v>21315.10558189455</v>
      </c>
    </row>
    <row r="120" spans="1:21" x14ac:dyDescent="0.25">
      <c r="A120" s="10"/>
      <c r="B120" s="10"/>
      <c r="C120" s="296"/>
      <c r="D120" s="296"/>
      <c r="E120" s="296"/>
      <c r="F120" s="296"/>
      <c r="G120" s="10"/>
      <c r="H120" s="296"/>
      <c r="I120" s="296"/>
      <c r="J120" s="296"/>
      <c r="K120" s="296"/>
      <c r="L120" s="10"/>
      <c r="M120" s="296"/>
      <c r="N120" s="296"/>
      <c r="O120" s="296"/>
      <c r="P120" s="296"/>
      <c r="Q120" s="10"/>
      <c r="R120" s="296"/>
      <c r="S120" s="296"/>
      <c r="T120" s="296"/>
      <c r="U120" s="296"/>
    </row>
    <row r="121" spans="1:21" ht="13.5" thickBot="1" x14ac:dyDescent="0.35">
      <c r="A121" s="295" t="s">
        <v>484</v>
      </c>
      <c r="B121" s="10"/>
      <c r="C121" s="296"/>
      <c r="D121" s="296"/>
      <c r="E121" s="296"/>
      <c r="F121" s="296"/>
      <c r="G121" s="10"/>
      <c r="H121" s="296"/>
      <c r="I121" s="296"/>
      <c r="J121" s="296"/>
      <c r="K121" s="296"/>
      <c r="L121" s="10"/>
      <c r="M121" s="296"/>
      <c r="N121" s="296"/>
      <c r="O121" s="296"/>
      <c r="P121" s="296"/>
      <c r="Q121" s="10"/>
      <c r="R121" s="296"/>
      <c r="S121" s="296"/>
      <c r="T121" s="296"/>
      <c r="U121" s="296"/>
    </row>
    <row r="122" spans="1:21" ht="13" thickBot="1" x14ac:dyDescent="0.3">
      <c r="A122" s="430" t="s">
        <v>495</v>
      </c>
      <c r="B122" s="329"/>
      <c r="C122" s="431">
        <f>(C$13&lt;&gt;"png")*C$97</f>
        <v>0</v>
      </c>
      <c r="D122" s="431">
        <f>(D$13&lt;&gt;"png")*D$97</f>
        <v>0</v>
      </c>
      <c r="E122" s="431">
        <f>(E$13&lt;&gt;"png")*E$97</f>
        <v>0</v>
      </c>
      <c r="F122" s="431">
        <f>(F$13&lt;&gt;"png")*F$97</f>
        <v>0</v>
      </c>
      <c r="G122" s="10"/>
      <c r="H122" s="431">
        <f>(H$13&lt;&gt;"png")*H$97</f>
        <v>1</v>
      </c>
      <c r="I122" s="431">
        <f>(I$13&lt;&gt;"png")*I$97</f>
        <v>1</v>
      </c>
      <c r="J122" s="431">
        <f>(J$13&lt;&gt;"png")*J$97</f>
        <v>1</v>
      </c>
      <c r="K122" s="431">
        <f>(K$13&lt;&gt;"png")*K$97</f>
        <v>1</v>
      </c>
      <c r="L122" s="10"/>
      <c r="M122" s="431">
        <f>(M$13&lt;&gt;"png")*M$97</f>
        <v>2</v>
      </c>
      <c r="N122" s="431">
        <f>(N$13&lt;&gt;"png")*N$97</f>
        <v>2</v>
      </c>
      <c r="O122" s="431">
        <f>(O$13&lt;&gt;"png")*O$97</f>
        <v>2</v>
      </c>
      <c r="P122" s="431">
        <f>(P$13&lt;&gt;"png")*P$97</f>
        <v>2</v>
      </c>
      <c r="Q122" s="10"/>
      <c r="R122" s="431">
        <f>(R$13&lt;&gt;"png")*R$97</f>
        <v>3</v>
      </c>
      <c r="S122" s="431">
        <f>(S$13&lt;&gt;"png")*S$97</f>
        <v>3</v>
      </c>
      <c r="T122" s="431">
        <f>(T$13&lt;&gt;"png")*T$97</f>
        <v>3</v>
      </c>
      <c r="U122" s="431">
        <f>(U$13&lt;&gt;"png")*U$97</f>
        <v>3</v>
      </c>
    </row>
    <row r="123" spans="1:21" ht="13" thickBot="1" x14ac:dyDescent="0.3">
      <c r="A123" s="430" t="s">
        <v>497</v>
      </c>
      <c r="B123" s="329"/>
      <c r="C123" s="431">
        <f>(C$13&lt;&gt;"png")*C$98</f>
        <v>0</v>
      </c>
      <c r="D123" s="431">
        <f>(D$13&lt;&gt;"png")*D$98</f>
        <v>0</v>
      </c>
      <c r="E123" s="431">
        <f>(E$13&lt;&gt;"png")*E$98</f>
        <v>0</v>
      </c>
      <c r="F123" s="431">
        <f>(F$13&lt;&gt;"png")*F$98</f>
        <v>0</v>
      </c>
      <c r="G123" s="10"/>
      <c r="H123" s="431">
        <f>(H$13&lt;&gt;"png")*H$98</f>
        <v>1</v>
      </c>
      <c r="I123" s="431">
        <f>(I$13&lt;&gt;"png")*I$98</f>
        <v>1</v>
      </c>
      <c r="J123" s="431">
        <f>(J$13&lt;&gt;"png")*J$98</f>
        <v>1</v>
      </c>
      <c r="K123" s="431">
        <f>(K$13&lt;&gt;"png")*K$98</f>
        <v>1</v>
      </c>
      <c r="L123" s="10"/>
      <c r="M123" s="431">
        <f>(M$13&lt;&gt;"png")*M$98</f>
        <v>2</v>
      </c>
      <c r="N123" s="431">
        <f>(N$13&lt;&gt;"png")*N$98</f>
        <v>2</v>
      </c>
      <c r="O123" s="431">
        <f>(O$13&lt;&gt;"png")*O$98</f>
        <v>2</v>
      </c>
      <c r="P123" s="431">
        <f>(P$13&lt;&gt;"png")*P$98</f>
        <v>2</v>
      </c>
      <c r="Q123" s="10"/>
      <c r="R123" s="431">
        <f>(R$13&lt;&gt;"png")*R$98</f>
        <v>3</v>
      </c>
      <c r="S123" s="431">
        <f>(S$13&lt;&gt;"png")*S$98</f>
        <v>3</v>
      </c>
      <c r="T123" s="431">
        <f>(T$13&lt;&gt;"png")*T$98</f>
        <v>3</v>
      </c>
      <c r="U123" s="431">
        <f>(U$13&lt;&gt;"png")*U$98</f>
        <v>3</v>
      </c>
    </row>
    <row r="124" spans="1:21" x14ac:dyDescent="0.25">
      <c r="A124" s="10"/>
      <c r="B124" s="5"/>
      <c r="C124" s="184"/>
      <c r="D124" s="184"/>
      <c r="E124" s="184"/>
      <c r="F124" s="184"/>
      <c r="H124" s="184"/>
      <c r="I124" s="184"/>
      <c r="J124" s="184"/>
      <c r="K124" s="184"/>
      <c r="M124" s="184"/>
      <c r="N124" s="184"/>
      <c r="O124" s="184"/>
      <c r="P124" s="184"/>
      <c r="R124" s="184"/>
      <c r="S124" s="184"/>
      <c r="T124" s="184"/>
      <c r="U124" s="184"/>
    </row>
    <row r="125" spans="1:21" ht="13" x14ac:dyDescent="0.3">
      <c r="A125" s="295" t="s">
        <v>128</v>
      </c>
    </row>
    <row r="126" spans="1:21" ht="13.5" thickBot="1" x14ac:dyDescent="0.35">
      <c r="A126" s="295"/>
    </row>
    <row r="127" spans="1:21" x14ac:dyDescent="0.25">
      <c r="A127" s="117" t="s">
        <v>90</v>
      </c>
      <c r="B127" s="121"/>
      <c r="C127" s="123">
        <f>IF(C$122=2,af_2,0)+IF(C$122=3,af_3,0)+IF(C$122=4,af_4,0)+IF(C$122=5,af_5,0)+IF(C$122=6,af_6,0)</f>
        <v>0</v>
      </c>
      <c r="D127" s="123">
        <f>IF(D$122=2,af_2,0)+IF(D$122=3,af_3,0)+IF(D$122=4,af_4,0)+IF(D$122=5,af_5,0)+IF(D$122=6,af_6,0)</f>
        <v>0</v>
      </c>
      <c r="E127" s="123">
        <f>IF(E$122=2,af_2,0)+IF(E$122=3,af_3,0)+IF(E$122=4,af_4,0)+IF(E$122=5,af_5,0)+IF(E$122=6,af_6,0)</f>
        <v>0</v>
      </c>
      <c r="F127" s="123">
        <f>IF(F$122=2,af_2,0)+IF(F$122=3,af_3,0)+IF(F$122=4,af_4,0)+IF(F$122=5,af_5,0)+IF(F$122=6,af_6,0)</f>
        <v>0</v>
      </c>
      <c r="H127" s="123">
        <f>IF(H$122=2,af_2,0)+IF(H$122=3,af_3,0)+IF(H$122=4,af_4,0)+IF(H$122=5,af_5,0)+IF(H$122=6,af_6,0)</f>
        <v>0</v>
      </c>
      <c r="I127" s="123">
        <f>IF(I$122=2,af_2,0)+IF(I$122=3,af_3,0)+IF(I$122=4,af_4,0)+IF(I$122=5,af_5,0)+IF(I$122=6,af_6,0)</f>
        <v>0</v>
      </c>
      <c r="J127" s="123">
        <f>IF(J$122=2,af_2,0)+IF(J$122=3,af_3,0)+IF(J$122=4,af_4,0)+IF(J$122=5,af_5,0)+IF(J$122=6,af_6,0)</f>
        <v>0</v>
      </c>
      <c r="K127" s="123">
        <f>IF(K$122=2,af_2,0)+IF(K$122=3,af_3,0)+IF(K$122=4,af_4,0)+IF(K$122=5,af_5,0)+IF(K$122=6,af_6,0)</f>
        <v>0</v>
      </c>
      <c r="M127" s="123">
        <f>IF(M$122=2,af_2,0)+IF(M$122=3,af_3,0)+IF(M$122=4,af_4,0)+IF(M$122=5,af_5,0)+IF(M$122=6,af_6,0)</f>
        <v>148.51449599999998</v>
      </c>
      <c r="N127" s="123">
        <f>IF(N$122=2,af_2,0)+IF(N$122=3,af_3,0)+IF(N$122=4,af_4,0)+IF(N$122=5,af_5,0)+IF(N$122=6,af_6,0)</f>
        <v>148.51449599999998</v>
      </c>
      <c r="O127" s="123">
        <f>IF(O$122=2,af_2,0)+IF(O$122=3,af_3,0)+IF(O$122=4,af_4,0)+IF(O$122=5,af_5,0)+IF(O$122=6,af_6,0)</f>
        <v>148.51449599999998</v>
      </c>
      <c r="P127" s="123">
        <f>IF(P$122=2,af_2,0)+IF(P$122=3,af_3,0)+IF(P$122=4,af_4,0)+IF(P$122=5,af_5,0)+IF(P$122=6,af_6,0)</f>
        <v>148.51449599999998</v>
      </c>
      <c r="R127" s="123">
        <f>IF(R$122=2,af_2,0)+IF(R$122=3,af_3,0)+IF(R$122=4,af_4,0)+IF(R$122=5,af_5,0)+IF(R$122=6,af_6,0)</f>
        <v>338.79869399999995</v>
      </c>
      <c r="S127" s="123">
        <f>IF(S$122=2,af_2,0)+IF(S$122=3,af_3,0)+IF(S$122=4,af_4,0)+IF(S$122=5,af_5,0)+IF(S$122=6,af_6,0)</f>
        <v>338.79869399999995</v>
      </c>
      <c r="T127" s="123">
        <f>IF(T$122=2,af_2,0)+IF(T$122=3,af_3,0)+IF(T$122=4,af_4,0)+IF(T$122=5,af_5,0)+IF(T$122=6,af_6,0)</f>
        <v>338.79869399999995</v>
      </c>
      <c r="U127" s="123">
        <f>IF(U$122=2,af_2,0)+IF(U$122=3,af_3,0)+IF(U$122=4,af_4,0)+IF(U$122=5,af_5,0)+IF(U$122=6,af_6,0)</f>
        <v>338.79869399999995</v>
      </c>
    </row>
    <row r="128" spans="1:21" x14ac:dyDescent="0.25">
      <c r="A128" s="116" t="s">
        <v>91</v>
      </c>
      <c r="B128" s="5"/>
      <c r="C128" s="85">
        <f>(C$122&gt;=3)*C101*af_majo_âge+(C$122=2)*(MIN(C4,C5)&gt;=14)*af_majo_âge</f>
        <v>0</v>
      </c>
      <c r="D128" s="85">
        <f>(D$122&gt;=3)*D101*af_majo_âge+(D$122=2)*(MIN(D4,D5)&gt;=14)*af_majo_âge</f>
        <v>0</v>
      </c>
      <c r="E128" s="85">
        <f>(E$122&gt;=3)*E101*af_majo_âge+(E$122=2)*(MIN(E4,E5)&gt;=14)*af_majo_âge</f>
        <v>0</v>
      </c>
      <c r="F128" s="85">
        <f>(F$122&gt;=3)*F101*af_majo_âge+(F$122=2)*(MIN(F4,F5)&gt;=14)*af_majo_âge</f>
        <v>0</v>
      </c>
      <c r="H128" s="85">
        <f>(H$122&gt;=3)*H101*af_majo_âge+(H$122=2)*(MIN(H4,H5)&gt;=14)*af_majo_âge</f>
        <v>0</v>
      </c>
      <c r="I128" s="85">
        <f>(I$122&gt;=3)*I101*af_majo_âge+(I$122=2)*(MIN(I4,I5)&gt;=14)*af_majo_âge</f>
        <v>0</v>
      </c>
      <c r="J128" s="85">
        <f>(J$122&gt;=3)*J101*af_majo_âge+(J$122=2)*(MIN(J4,J5)&gt;=14)*af_majo_âge</f>
        <v>0</v>
      </c>
      <c r="K128" s="85">
        <f>(K$122&gt;=3)*K101*af_majo_âge+(K$122=2)*(MIN(K4,K5)&gt;=14)*af_majo_âge</f>
        <v>0</v>
      </c>
      <c r="M128" s="85">
        <f>(M$122&gt;=3)*M101*af_majo_âge+(M$122=2)*(MIN(M4,M5)&gt;=14)*af_majo_âge</f>
        <v>0</v>
      </c>
      <c r="N128" s="85">
        <f>(N$122&gt;=3)*N101*af_majo_âge+(N$122=2)*(MIN(N4,N5)&gt;=14)*af_majo_âge</f>
        <v>0</v>
      </c>
      <c r="O128" s="85">
        <f>(O$122&gt;=3)*O101*af_majo_âge+(O$122=2)*(MIN(O4,O5)&gt;=14)*af_majo_âge</f>
        <v>0</v>
      </c>
      <c r="P128" s="85">
        <f>(P$122&gt;=3)*P101*af_majo_âge+(P$122=2)*(MIN(P4,P5)&gt;=14)*af_majo_âge</f>
        <v>0</v>
      </c>
      <c r="R128" s="85">
        <f>(R$122&gt;=3)*R101*af_majo_âge+(R$122=2)*(MIN(R4,R5)&gt;=14)*af_majo_âge</f>
        <v>0</v>
      </c>
      <c r="S128" s="85">
        <f>(S$122&gt;=3)*S101*af_majo_âge+(S$122=2)*(MIN(S4,S5)&gt;=14)*af_majo_âge</f>
        <v>0</v>
      </c>
      <c r="T128" s="85">
        <f>(T$122&gt;=3)*T101*af_majo_âge+(T$122=2)*(MIN(T4,T5)&gt;=14)*af_majo_âge</f>
        <v>0</v>
      </c>
      <c r="U128" s="85">
        <f>(U$122&gt;=3)*U101*af_majo_âge+(U$122=2)*(MIN(U4,U5)&gt;=14)*af_majo_âge</f>
        <v>0</v>
      </c>
    </row>
    <row r="129" spans="1:21" x14ac:dyDescent="0.25">
      <c r="A129" s="116" t="s">
        <v>124</v>
      </c>
      <c r="B129" s="5"/>
      <c r="C129" s="85">
        <f>(C$122=C$123-1)*(C$123&gt;=3)*af_forfait</f>
        <v>0</v>
      </c>
      <c r="D129" s="85">
        <f>(D$122=D$123-1)*(D$123&gt;=3)*af_forfait</f>
        <v>0</v>
      </c>
      <c r="E129" s="85">
        <f>(E$122=E$123-1)*(E$123&gt;=3)*af_forfait</f>
        <v>0</v>
      </c>
      <c r="F129" s="85">
        <f>(F$122=F$123-1)*(F$123&gt;=3)*af_forfait</f>
        <v>0</v>
      </c>
      <c r="H129" s="85">
        <f>(H$122=H$123-1)*(H$123&gt;=3)*af_forfait</f>
        <v>0</v>
      </c>
      <c r="I129" s="85">
        <f>(I$122=I$123-1)*(I$123&gt;=3)*af_forfait</f>
        <v>0</v>
      </c>
      <c r="J129" s="85">
        <f>(J$122=J$123-1)*(J$123&gt;=3)*af_forfait</f>
        <v>0</v>
      </c>
      <c r="K129" s="85">
        <f>(K$122=K$123-1)*(K$123&gt;=3)*af_forfait</f>
        <v>0</v>
      </c>
      <c r="M129" s="85">
        <f>(M$122=M$123-1)*(M$123&gt;=3)*af_forfait</f>
        <v>0</v>
      </c>
      <c r="N129" s="85">
        <f>(N$122=N$123-1)*(N$123&gt;=3)*af_forfait</f>
        <v>0</v>
      </c>
      <c r="O129" s="85">
        <f>(O$122=O$123-1)*(O$123&gt;=3)*af_forfait</f>
        <v>0</v>
      </c>
      <c r="P129" s="85">
        <f>(P$122=P$123-1)*(P$123&gt;=3)*af_forfait</f>
        <v>0</v>
      </c>
      <c r="R129" s="85">
        <f>(R$122=R$123-1)*(R$123&gt;=3)*af_forfait</f>
        <v>0</v>
      </c>
      <c r="S129" s="85">
        <f>(S$122=S$123-1)*(S$123&gt;=3)*af_forfait</f>
        <v>0</v>
      </c>
      <c r="T129" s="85">
        <f>(T$122=T$123-1)*(T$123&gt;=3)*af_forfait</f>
        <v>0</v>
      </c>
      <c r="U129" s="85">
        <f>(U$122=U$123-1)*(U$123&gt;=3)*af_forfait</f>
        <v>0</v>
      </c>
    </row>
    <row r="130" spans="1:21" x14ac:dyDescent="0.25">
      <c r="A130" s="116" t="s">
        <v>129</v>
      </c>
      <c r="B130" s="5"/>
      <c r="C130" s="85">
        <f>(af_plaf1+MAX(0,C$122-2)*af_plaf_suppl_enf)</f>
        <v>74966</v>
      </c>
      <c r="D130" s="85">
        <f>(af_plaf1+MAX(0,D$122-2)*af_plaf_suppl_enf)</f>
        <v>74966</v>
      </c>
      <c r="E130" s="85">
        <f>(af_plaf1+MAX(0,E$122-2)*af_plaf_suppl_enf)</f>
        <v>74966</v>
      </c>
      <c r="F130" s="85">
        <f>(af_plaf1+MAX(0,F$122-2)*af_plaf_suppl_enf)</f>
        <v>74966</v>
      </c>
      <c r="H130" s="85">
        <f>(af_plaf1+MAX(0,H$122-2)*af_plaf_suppl_enf)</f>
        <v>74966</v>
      </c>
      <c r="I130" s="85">
        <f>(af_plaf1+MAX(0,I$122-2)*af_plaf_suppl_enf)</f>
        <v>74966</v>
      </c>
      <c r="J130" s="85">
        <f>(af_plaf1+MAX(0,J$122-2)*af_plaf_suppl_enf)</f>
        <v>74966</v>
      </c>
      <c r="K130" s="85">
        <f>(af_plaf1+MAX(0,K$122-2)*af_plaf_suppl_enf)</f>
        <v>74966</v>
      </c>
      <c r="M130" s="85">
        <f>(af_plaf1+MAX(0,M$122-2)*af_plaf_suppl_enf)</f>
        <v>74966</v>
      </c>
      <c r="N130" s="85">
        <f>(af_plaf1+MAX(0,N$122-2)*af_plaf_suppl_enf)</f>
        <v>74966</v>
      </c>
      <c r="O130" s="85">
        <f>(af_plaf1+MAX(0,O$122-2)*af_plaf_suppl_enf)</f>
        <v>74966</v>
      </c>
      <c r="P130" s="85">
        <f>(af_plaf1+MAX(0,P$122-2)*af_plaf_suppl_enf)</f>
        <v>74966</v>
      </c>
      <c r="R130" s="85">
        <f>(af_plaf1+MAX(0,R$122-2)*af_plaf_suppl_enf)</f>
        <v>81212</v>
      </c>
      <c r="S130" s="85">
        <f>(af_plaf1+MAX(0,S$122-2)*af_plaf_suppl_enf)</f>
        <v>81212</v>
      </c>
      <c r="T130" s="85">
        <f>(af_plaf1+MAX(0,T$122-2)*af_plaf_suppl_enf)</f>
        <v>81212</v>
      </c>
      <c r="U130" s="85">
        <f>(af_plaf1+MAX(0,U$122-2)*af_plaf_suppl_enf)</f>
        <v>81212</v>
      </c>
    </row>
    <row r="131" spans="1:21" x14ac:dyDescent="0.25">
      <c r="A131" s="116" t="s">
        <v>130</v>
      </c>
      <c r="B131" s="5"/>
      <c r="C131" s="85">
        <f>(af_plaf2+MAX(0,C$122-2)*af_plaf_suppl_enf)</f>
        <v>99922</v>
      </c>
      <c r="D131" s="85">
        <f>(af_plaf2+MAX(0,D$122-2)*af_plaf_suppl_enf)</f>
        <v>99922</v>
      </c>
      <c r="E131" s="85">
        <f>(af_plaf2+MAX(0,E$122-2)*af_plaf_suppl_enf)</f>
        <v>99922</v>
      </c>
      <c r="F131" s="85">
        <f>(af_plaf2+MAX(0,F$122-2)*af_plaf_suppl_enf)</f>
        <v>99922</v>
      </c>
      <c r="H131" s="85">
        <f>(af_plaf2+MAX(0,H$122-2)*af_plaf_suppl_enf)</f>
        <v>99922</v>
      </c>
      <c r="I131" s="85">
        <f>(af_plaf2+MAX(0,I$122-2)*af_plaf_suppl_enf)</f>
        <v>99922</v>
      </c>
      <c r="J131" s="85">
        <f>(af_plaf2+MAX(0,J$122-2)*af_plaf_suppl_enf)</f>
        <v>99922</v>
      </c>
      <c r="K131" s="85">
        <f>(af_plaf2+MAX(0,K$122-2)*af_plaf_suppl_enf)</f>
        <v>99922</v>
      </c>
      <c r="M131" s="85">
        <f>(af_plaf2+MAX(0,M$122-2)*af_plaf_suppl_enf)</f>
        <v>99922</v>
      </c>
      <c r="N131" s="85">
        <f>(af_plaf2+MAX(0,N$122-2)*af_plaf_suppl_enf)</f>
        <v>99922</v>
      </c>
      <c r="O131" s="85">
        <f>(af_plaf2+MAX(0,O$122-2)*af_plaf_suppl_enf)</f>
        <v>99922</v>
      </c>
      <c r="P131" s="85">
        <f>(af_plaf2+MAX(0,P$122-2)*af_plaf_suppl_enf)</f>
        <v>99922</v>
      </c>
      <c r="R131" s="85">
        <f>(af_plaf2+MAX(0,R$122-2)*af_plaf_suppl_enf)</f>
        <v>106168</v>
      </c>
      <c r="S131" s="85">
        <f>(af_plaf2+MAX(0,S$122-2)*af_plaf_suppl_enf)</f>
        <v>106168</v>
      </c>
      <c r="T131" s="85">
        <f>(af_plaf2+MAX(0,T$122-2)*af_plaf_suppl_enf)</f>
        <v>106168</v>
      </c>
      <c r="U131" s="85">
        <f>(af_plaf2+MAX(0,U$122-2)*af_plaf_suppl_enf)</f>
        <v>106168</v>
      </c>
    </row>
    <row r="132" spans="1:21" ht="13" thickBot="1" x14ac:dyDescent="0.3">
      <c r="A132" s="119" t="s">
        <v>140</v>
      </c>
      <c r="B132" s="122"/>
      <c r="C132" s="124">
        <f>(C$119&gt;C130)*(IF(C$119&gt;C131,(IF((C$119-C131&lt;(C127*0.25)),(C127*0.25+C131-C$119),0)),IF(C$119&gt;C130,IF(C$119-C130&lt;(C127*0.5),(C130+C127*0.5-C$119),0))))</f>
        <v>0</v>
      </c>
      <c r="D132" s="124">
        <f>(D$119&gt;D130)*(IF(D$119&gt;D131,(IF((D$119-D131&lt;(D127*0.25)),(D127*0.25+D131-D$119),0)),IF(D$119&gt;D130,IF(D$119-D130&lt;(D127*0.5),(D130+D127*0.5-D$119),0))))</f>
        <v>0</v>
      </c>
      <c r="E132" s="124">
        <f>(E$119&gt;E130)*(IF(E$119&gt;E131,(IF((E$119-E131&lt;(E127*0.25)),(E127*0.25+E131-E$119),0)),IF(E$119&gt;E130,IF(E$119-E130&lt;(E127*0.5),(E130+E127*0.5-E$119),0))))</f>
        <v>0</v>
      </c>
      <c r="F132" s="124">
        <f>(F$119&gt;F130)*(IF(F$119&gt;F131,(IF((F$119-F131&lt;(F127*0.25)),(F127*0.25+F131-F$119),0)),IF(F$119&gt;F130,IF(F$119-F130&lt;(F127*0.5),(F130+F127*0.5-F$119),0))))</f>
        <v>0</v>
      </c>
      <c r="H132" s="124">
        <f>(H$119&gt;H130)*(IF(H$119&gt;H131,(IF((H$119-H131&lt;(H127*0.25)),(H127*0.25+H131-H$119),0)),IF(H$119&gt;H130,IF(H$119-H130&lt;(H127*0.5),(H130+H127*0.5-H$119),0))))</f>
        <v>0</v>
      </c>
      <c r="I132" s="124">
        <f>(I$119&gt;I130)*(IF(I$119&gt;I131,(IF((I$119-I131&lt;(I127*0.25)),(I127*0.25+I131-I$119),0)),IF(I$119&gt;I130,IF(I$119-I130&lt;(I127*0.5),(I130+I127*0.5-I$119),0))))</f>
        <v>0</v>
      </c>
      <c r="J132" s="124">
        <f>(J$119&gt;J130)*(IF(J$119&gt;J131,(IF((J$119-J131&lt;(J127*0.25)),(J127*0.25+J131-J$119),0)),IF(J$119&gt;J130,IF(J$119-J130&lt;(J127*0.5),(J130+J127*0.5-J$119),0))))</f>
        <v>0</v>
      </c>
      <c r="K132" s="124">
        <f>(K$119&gt;K130)*(IF(K$119&gt;K131,(IF((K$119-K131&lt;(K127*0.25)),(K127*0.25+K131-K$119),0)),IF(K$119&gt;K130,IF(K$119-K130&lt;(K127*0.5),(K130+K127*0.5-K$119),0))))</f>
        <v>0</v>
      </c>
      <c r="M132" s="124">
        <f>(M$119&gt;M130)*(IF(M$119&gt;M131,(IF((M$119-M131&lt;(M127*0.25)),(M127*0.25+M131-M$119),0)),IF(M$119&gt;M130,IF(M$119-M130&lt;(M127*0.5),(M130+M127*0.5-M$119),0))))</f>
        <v>0</v>
      </c>
      <c r="N132" s="124">
        <f>(N$119&gt;N130)*(IF(N$119&gt;N131,(IF((N$119-N131&lt;(N127*0.25)),(N127*0.25+N131-N$119),0)),IF(N$119&gt;N130,IF(N$119-N130&lt;(N127*0.5),(N130+N127*0.5-N$119),0))))</f>
        <v>0</v>
      </c>
      <c r="O132" s="124">
        <f>(O$119&gt;O130)*(IF(O$119&gt;O131,(IF((O$119-O131&lt;(O127*0.25)),(O127*0.25+O131-O$119),0)),IF(O$119&gt;O130,IF(O$119-O130&lt;(O127*0.5),(O130+O127*0.5-O$119),0))))</f>
        <v>0</v>
      </c>
      <c r="P132" s="124">
        <f>(P$119&gt;P130)*(IF(P$119&gt;P131,(IF((P$119-P131&lt;(P127*0.25)),(P127*0.25+P131-P$119),0)),IF(P$119&gt;P130,IF(P$119-P130&lt;(P127*0.5),(P130+P127*0.5-P$119),0))))</f>
        <v>0</v>
      </c>
      <c r="R132" s="124">
        <f>(R$119&gt;R130)*(IF(R$119&gt;R131,(IF((R$119-R131&lt;(R127*0.25)),(R127*0.25+R131-R$119),0)),IF(R$119&gt;R130,IF(R$119-R130&lt;(R127*0.5),(R130+R127*0.5-R$119),0))))</f>
        <v>0</v>
      </c>
      <c r="S132" s="124">
        <f>(S$119&gt;S130)*(IF(S$119&gt;S131,(IF((S$119-S131&lt;(S127*0.25)),(S127*0.25+S131-S$119),0)),IF(S$119&gt;S130,IF(S$119-S130&lt;(S127*0.5),(S130+S127*0.5-S$119),0))))</f>
        <v>0</v>
      </c>
      <c r="T132" s="124">
        <f>(T$119&gt;T130)*(IF(T$119&gt;T131,(IF((T$119-T131&lt;(T127*0.25)),(T127*0.25+T131-T$119),0)),IF(T$119&gt;T130,IF(T$119-T130&lt;(T127*0.5),(T130+T127*0.5-T$119),0))))</f>
        <v>0</v>
      </c>
      <c r="U132" s="124">
        <f>(U$119&gt;U130)*(IF(U$119&gt;U131,(IF((U$119-U131&lt;(U127*0.25)),(U127*0.25+U131-U$119),0)),IF(U$119&gt;U130,IF(U$119-U130&lt;(U127*0.5),(U130+U127*0.5-U$119),0))))</f>
        <v>0</v>
      </c>
    </row>
    <row r="133" spans="1:21" x14ac:dyDescent="0.25">
      <c r="A133" s="4"/>
      <c r="B133" s="5"/>
      <c r="C133" s="201"/>
      <c r="D133" s="201"/>
      <c r="E133" s="201"/>
      <c r="F133" s="201"/>
      <c r="H133" s="201"/>
      <c r="I133" s="201"/>
      <c r="J133" s="201"/>
      <c r="K133" s="201"/>
      <c r="M133" s="201"/>
      <c r="N133" s="201"/>
      <c r="O133" s="201"/>
      <c r="P133" s="201"/>
      <c r="R133" s="201"/>
      <c r="S133" s="201"/>
      <c r="T133" s="201"/>
      <c r="U133" s="201"/>
    </row>
    <row r="134" spans="1:21" ht="13.5" thickBot="1" x14ac:dyDescent="0.35">
      <c r="A134" s="295" t="s">
        <v>85</v>
      </c>
      <c r="C134" s="201"/>
      <c r="D134" s="201"/>
      <c r="E134" s="201"/>
      <c r="F134" s="201"/>
      <c r="H134" s="201"/>
      <c r="I134" s="201"/>
      <c r="J134" s="201"/>
      <c r="K134" s="201"/>
      <c r="M134" s="201"/>
      <c r="N134" s="201"/>
      <c r="O134" s="201"/>
      <c r="P134" s="201"/>
      <c r="R134" s="201"/>
      <c r="S134" s="201"/>
      <c r="T134" s="201"/>
      <c r="U134" s="201"/>
    </row>
    <row r="135" spans="1:21" x14ac:dyDescent="0.25">
      <c r="A135" s="117" t="s">
        <v>120</v>
      </c>
      <c r="B135" s="121"/>
      <c r="C135" s="123">
        <f>IF(AND(C$122&gt;=3,C$100=0),1,0)*IF(OR(C$3="isolé",AND(Coef_n_2*C$38&gt;=cf_seuil_act,Coef_n_2*C$39&gt;=cf_seuil_act)),cf_plaf1_couple_biact_ou_iso_3_enf+(C$122-3)*cf_plaf1_sup_enf,cf_plaf1_couple_monoact_3_enf+(C$122-3)*cf_plaf1_sup_enf)</f>
        <v>0</v>
      </c>
      <c r="D135" s="123">
        <f>IF(AND(D$122&gt;=3,D$100=0),1,0)*IF(OR(D$3="isolé",AND(Coef_n_2*D$38&gt;=cf_seuil_act,Coef_n_2*D$39&gt;=cf_seuil_act)),cf_plaf1_couple_biact_ou_iso_3_enf+(D$122-3)*cf_plaf1_sup_enf,cf_plaf1_couple_monoact_3_enf+(D$122-3)*cf_plaf1_sup_enf)</f>
        <v>0</v>
      </c>
      <c r="E135" s="123">
        <f>IF(AND(E$122&gt;=3,E$100=0),1,0)*IF(OR(E$3="isolé",AND(Coef_n_2*E$38&gt;=cf_seuil_act,Coef_n_2*E$39&gt;=cf_seuil_act)),cf_plaf1_couple_biact_ou_iso_3_enf+(E$122-3)*cf_plaf1_sup_enf,cf_plaf1_couple_monoact_3_enf+(E$122-3)*cf_plaf1_sup_enf)</f>
        <v>0</v>
      </c>
      <c r="F135" s="123">
        <f>IF(AND(F$122&gt;=3,F$100=0),1,0)*IF(OR(F$3="isolé",AND(Coef_n_2*F$38&gt;=cf_seuil_act,Coef_n_2*F$39&gt;=cf_seuil_act)),cf_plaf1_couple_biact_ou_iso_3_enf+(F$122-3)*cf_plaf1_sup_enf,cf_plaf1_couple_monoact_3_enf+(F$122-3)*cf_plaf1_sup_enf)</f>
        <v>0</v>
      </c>
      <c r="H135" s="123">
        <f>IF(AND(H$122&gt;=3,H$100=0),1,0)*IF(OR(H$3="isolé",AND(Coef_n_2*H$38&gt;=cf_seuil_act,Coef_n_2*H$39&gt;=cf_seuil_act)),cf_plaf1_couple_biact_ou_iso_3_enf+(H$122-3)*cf_plaf1_sup_enf,cf_plaf1_couple_monoact_3_enf+(H$122-3)*cf_plaf1_sup_enf)</f>
        <v>0</v>
      </c>
      <c r="I135" s="123">
        <f>IF(AND(I$122&gt;=3,I$100=0),1,0)*IF(OR(I$3="isolé",AND(Coef_n_2*I$38&gt;=cf_seuil_act,Coef_n_2*I$39&gt;=cf_seuil_act)),cf_plaf1_couple_biact_ou_iso_3_enf+(I$122-3)*cf_plaf1_sup_enf,cf_plaf1_couple_monoact_3_enf+(I$122-3)*cf_plaf1_sup_enf)</f>
        <v>0</v>
      </c>
      <c r="J135" s="123">
        <f>IF(AND(J$122&gt;=3,J$100=0),1,0)*IF(OR(J$3="isolé",AND(Coef_n_2*J$38&gt;=cf_seuil_act,Coef_n_2*J$39&gt;=cf_seuil_act)),cf_plaf1_couple_biact_ou_iso_3_enf+(J$122-3)*cf_plaf1_sup_enf,cf_plaf1_couple_monoact_3_enf+(J$122-3)*cf_plaf1_sup_enf)</f>
        <v>0</v>
      </c>
      <c r="K135" s="123">
        <f>IF(AND(K$122&gt;=3,K$100=0),1,0)*IF(OR(K$3="isolé",AND(Coef_n_2*K$38&gt;=cf_seuil_act,Coef_n_2*K$39&gt;=cf_seuil_act)),cf_plaf1_couple_biact_ou_iso_3_enf+(K$122-3)*cf_plaf1_sup_enf,cf_plaf1_couple_monoact_3_enf+(K$122-3)*cf_plaf1_sup_enf)</f>
        <v>0</v>
      </c>
      <c r="M135" s="123">
        <f>IF(AND(M$122&gt;=3,M$100=0),1,0)*IF(OR(M$3="isolé",AND(Coef_n_2*M$38&gt;=cf_seuil_act,Coef_n_2*M$39&gt;=cf_seuil_act)),cf_plaf1_couple_biact_ou_iso_3_enf+(M$122-3)*cf_plaf1_sup_enf,cf_plaf1_couple_monoact_3_enf+(M$122-3)*cf_plaf1_sup_enf)</f>
        <v>0</v>
      </c>
      <c r="N135" s="123">
        <f>IF(AND(N$122&gt;=3,N$100=0),1,0)*IF(OR(N$3="isolé",AND(Coef_n_2*N$38&gt;=cf_seuil_act,Coef_n_2*N$39&gt;=cf_seuil_act)),cf_plaf1_couple_biact_ou_iso_3_enf+(N$122-3)*cf_plaf1_sup_enf,cf_plaf1_couple_monoact_3_enf+(N$122-3)*cf_plaf1_sup_enf)</f>
        <v>0</v>
      </c>
      <c r="O135" s="123">
        <f>IF(AND(O$122&gt;=3,O$100=0),1,0)*IF(OR(O$3="isolé",AND(Coef_n_2*O$38&gt;=cf_seuil_act,Coef_n_2*O$39&gt;=cf_seuil_act)),cf_plaf1_couple_biact_ou_iso_3_enf+(O$122-3)*cf_plaf1_sup_enf,cf_plaf1_couple_monoact_3_enf+(O$122-3)*cf_plaf1_sup_enf)</f>
        <v>0</v>
      </c>
      <c r="P135" s="123">
        <f>IF(AND(P$122&gt;=3,P$100=0),1,0)*IF(OR(P$3="isolé",AND(Coef_n_2*P$38&gt;=cf_seuil_act,Coef_n_2*P$39&gt;=cf_seuil_act)),cf_plaf1_couple_biact_ou_iso_3_enf+(P$122-3)*cf_plaf1_sup_enf,cf_plaf1_couple_monoact_3_enf+(P$122-3)*cf_plaf1_sup_enf)</f>
        <v>0</v>
      </c>
      <c r="R135" s="123">
        <f>IF(AND(R$122&gt;=3,R$100=0),1,0)*IF(OR(R$3="isolé",AND(Coef_n_2*R$38&gt;=cf_seuil_act,Coef_n_2*R$39&gt;=cf_seuil_act)),cf_plaf1_couple_biact_ou_iso_3_enf+(R$122-3)*cf_plaf1_sup_enf,cf_plaf1_couple_monoact_3_enf+(R$122-3)*cf_plaf1_sup_enf)</f>
        <v>20971</v>
      </c>
      <c r="S135" s="123">
        <f>IF(AND(S$122&gt;=3,S$100=0),1,0)*IF(OR(S$3="isolé",AND(Coef_n_2*S$38&gt;=cf_seuil_act,Coef_n_2*S$39&gt;=cf_seuil_act)),cf_plaf1_couple_biact_ou_iso_3_enf+(S$122-3)*cf_plaf1_sup_enf,cf_plaf1_couple_monoact_3_enf+(S$122-3)*cf_plaf1_sup_enf)</f>
        <v>20971</v>
      </c>
      <c r="T135" s="123">
        <f>IF(AND(T$122&gt;=3,T$100=0),1,0)*IF(OR(T$3="isolé",AND(Coef_n_2*T$38&gt;=cf_seuil_act,Coef_n_2*T$39&gt;=cf_seuil_act)),cf_plaf1_couple_biact_ou_iso_3_enf+(T$122-3)*cf_plaf1_sup_enf,cf_plaf1_couple_monoact_3_enf+(T$122-3)*cf_plaf1_sup_enf)</f>
        <v>20971</v>
      </c>
      <c r="U135" s="123">
        <f>IF(AND(U$122&gt;=3,U$100=0),1,0)*IF(OR(U$3="isolé",AND(Coef_n_2*U$38&gt;=cf_seuil_act,Coef_n_2*U$39&gt;=cf_seuil_act)),cf_plaf1_couple_biact_ou_iso_3_enf+(U$122-3)*cf_plaf1_sup_enf,cf_plaf1_couple_monoact_3_enf+(U$122-3)*cf_plaf1_sup_enf)</f>
        <v>20971</v>
      </c>
    </row>
    <row r="136" spans="1:21" x14ac:dyDescent="0.25">
      <c r="A136" s="116" t="s">
        <v>121</v>
      </c>
      <c r="B136" s="5"/>
      <c r="C136" s="85">
        <f>IF(AND(C$122&gt;=3,C$100=0),1,0)*IF(OR(C$3="isolé",AND(Coef_n_2*C$38&gt;=cf_seuil_act,Coef_n_2*C$39&gt;=cf_seuil_act)),cf_plaf2_couple_biact_ou_iso_3_enf+(C$122-3)*cf_plaf2_sup_enf,cf_plaf2_couple_monoact_3_enf+(C$122-3)*cf_plaf2_sup_enf)</f>
        <v>0</v>
      </c>
      <c r="D136" s="85">
        <f>IF(AND(D$122&gt;=3,D$100=0),1,0)*IF(OR(D$3="isolé",AND(Coef_n_2*D$38&gt;=cf_seuil_act,Coef_n_2*D$39&gt;=cf_seuil_act)),cf_plaf2_couple_biact_ou_iso_3_enf+(D$122-3)*cf_plaf2_sup_enf,cf_plaf2_couple_monoact_3_enf+(D$122-3)*cf_plaf2_sup_enf)</f>
        <v>0</v>
      </c>
      <c r="E136" s="85">
        <f>IF(AND(E$122&gt;=3,E$100=0),1,0)*IF(OR(E$3="isolé",AND(Coef_n_2*E$38&gt;=cf_seuil_act,Coef_n_2*E$39&gt;=cf_seuil_act)),cf_plaf2_couple_biact_ou_iso_3_enf+(E$122-3)*cf_plaf2_sup_enf,cf_plaf2_couple_monoact_3_enf+(E$122-3)*cf_plaf2_sup_enf)</f>
        <v>0</v>
      </c>
      <c r="F136" s="85">
        <f>IF(AND(F$122&gt;=3,F$100=0),1,0)*IF(OR(F$3="isolé",AND(Coef_n_2*F$38&gt;=cf_seuil_act,Coef_n_2*F$39&gt;=cf_seuil_act)),cf_plaf2_couple_biact_ou_iso_3_enf+(F$122-3)*cf_plaf2_sup_enf,cf_plaf2_couple_monoact_3_enf+(F$122-3)*cf_plaf2_sup_enf)</f>
        <v>0</v>
      </c>
      <c r="H136" s="85">
        <f>IF(AND(H$122&gt;=3,H$100=0),1,0)*IF(OR(H$3="isolé",AND(Coef_n_2*H$38&gt;=cf_seuil_act,Coef_n_2*H$39&gt;=cf_seuil_act)),cf_plaf2_couple_biact_ou_iso_3_enf+(H$122-3)*cf_plaf2_sup_enf,cf_plaf2_couple_monoact_3_enf+(H$122-3)*cf_plaf2_sup_enf)</f>
        <v>0</v>
      </c>
      <c r="I136" s="85">
        <f>IF(AND(I$122&gt;=3,I$100=0),1,0)*IF(OR(I$3="isolé",AND(Coef_n_2*I$38&gt;=cf_seuil_act,Coef_n_2*I$39&gt;=cf_seuil_act)),cf_plaf2_couple_biact_ou_iso_3_enf+(I$122-3)*cf_plaf2_sup_enf,cf_plaf2_couple_monoact_3_enf+(I$122-3)*cf_plaf2_sup_enf)</f>
        <v>0</v>
      </c>
      <c r="J136" s="85">
        <f>IF(AND(J$122&gt;=3,J$100=0),1,0)*IF(OR(J$3="isolé",AND(Coef_n_2*J$38&gt;=cf_seuil_act,Coef_n_2*J$39&gt;=cf_seuil_act)),cf_plaf2_couple_biact_ou_iso_3_enf+(J$122-3)*cf_plaf2_sup_enf,cf_plaf2_couple_monoact_3_enf+(J$122-3)*cf_plaf2_sup_enf)</f>
        <v>0</v>
      </c>
      <c r="K136" s="85">
        <f>IF(AND(K$122&gt;=3,K$100=0),1,0)*IF(OR(K$3="isolé",AND(Coef_n_2*K$38&gt;=cf_seuil_act,Coef_n_2*K$39&gt;=cf_seuil_act)),cf_plaf2_couple_biact_ou_iso_3_enf+(K$122-3)*cf_plaf2_sup_enf,cf_plaf2_couple_monoact_3_enf+(K$122-3)*cf_plaf2_sup_enf)</f>
        <v>0</v>
      </c>
      <c r="M136" s="85">
        <f>IF(AND(M$122&gt;=3,M$100=0),1,0)*IF(OR(M$3="isolé",AND(Coef_n_2*M$38&gt;=cf_seuil_act,Coef_n_2*M$39&gt;=cf_seuil_act)),cf_plaf2_couple_biact_ou_iso_3_enf+(M$122-3)*cf_plaf2_sup_enf,cf_plaf2_couple_monoact_3_enf+(M$122-3)*cf_plaf2_sup_enf)</f>
        <v>0</v>
      </c>
      <c r="N136" s="85">
        <f>IF(AND(N$122&gt;=3,N$100=0),1,0)*IF(OR(N$3="isolé",AND(Coef_n_2*N$38&gt;=cf_seuil_act,Coef_n_2*N$39&gt;=cf_seuil_act)),cf_plaf2_couple_biact_ou_iso_3_enf+(N$122-3)*cf_plaf2_sup_enf,cf_plaf2_couple_monoact_3_enf+(N$122-3)*cf_plaf2_sup_enf)</f>
        <v>0</v>
      </c>
      <c r="O136" s="85">
        <f>IF(AND(O$122&gt;=3,O$100=0),1,0)*IF(OR(O$3="isolé",AND(Coef_n_2*O$38&gt;=cf_seuil_act,Coef_n_2*O$39&gt;=cf_seuil_act)),cf_plaf2_couple_biact_ou_iso_3_enf+(O$122-3)*cf_plaf2_sup_enf,cf_plaf2_couple_monoact_3_enf+(O$122-3)*cf_plaf2_sup_enf)</f>
        <v>0</v>
      </c>
      <c r="P136" s="85">
        <f>IF(AND(P$122&gt;=3,P$100=0),1,0)*IF(OR(P$3="isolé",AND(Coef_n_2*P$38&gt;=cf_seuil_act,Coef_n_2*P$39&gt;=cf_seuil_act)),cf_plaf2_couple_biact_ou_iso_3_enf+(P$122-3)*cf_plaf2_sup_enf,cf_plaf2_couple_monoact_3_enf+(P$122-3)*cf_plaf2_sup_enf)</f>
        <v>0</v>
      </c>
      <c r="R136" s="85">
        <f>IF(AND(R$122&gt;=3,R$100=0),1,0)*IF(OR(R$3="isolé",AND(Coef_n_2*R$38&gt;=cf_seuil_act,Coef_n_2*R$39&gt;=cf_seuil_act)),cf_plaf2_couple_biact_ou_iso_3_enf+(R$122-3)*cf_plaf2_sup_enf,cf_plaf2_couple_monoact_3_enf+(R$122-3)*cf_plaf2_sup_enf)</f>
        <v>41933</v>
      </c>
      <c r="S136" s="85">
        <f>IF(AND(S$122&gt;=3,S$100=0),1,0)*IF(OR(S$3="isolé",AND(Coef_n_2*S$38&gt;=cf_seuil_act,Coef_n_2*S$39&gt;=cf_seuil_act)),cf_plaf2_couple_biact_ou_iso_3_enf+(S$122-3)*cf_plaf2_sup_enf,cf_plaf2_couple_monoact_3_enf+(S$122-3)*cf_plaf2_sup_enf)</f>
        <v>41933</v>
      </c>
      <c r="T136" s="85">
        <f>IF(AND(T$122&gt;=3,T$100=0),1,0)*IF(OR(T$3="isolé",AND(Coef_n_2*T$38&gt;=cf_seuil_act,Coef_n_2*T$39&gt;=cf_seuil_act)),cf_plaf2_couple_biact_ou_iso_3_enf+(T$122-3)*cf_plaf2_sup_enf,cf_plaf2_couple_monoact_3_enf+(T$122-3)*cf_plaf2_sup_enf)</f>
        <v>41933</v>
      </c>
      <c r="U136" s="85">
        <f>IF(AND(U$122&gt;=3,U$100=0),1,0)*IF(OR(U$3="isolé",AND(Coef_n_2*U$38&gt;=cf_seuil_act,Coef_n_2*U$39&gt;=cf_seuil_act)),cf_plaf2_couple_biact_ou_iso_3_enf+(U$122-3)*cf_plaf2_sup_enf,cf_plaf2_couple_monoact_3_enf+(U$122-3)*cf_plaf2_sup_enf)</f>
        <v>41933</v>
      </c>
    </row>
    <row r="137" spans="1:21" x14ac:dyDescent="0.25">
      <c r="A137" s="116" t="s">
        <v>132</v>
      </c>
      <c r="B137" s="5"/>
      <c r="C137" s="85">
        <f>(C$122&gt;=3)*(C$100=0)*(IF(C$119&lt;C$136,cf_base,IF(C$119&lt;C$136+12*cf_base,(C$136+12*cf_base-C$119)/12,0)))</f>
        <v>0</v>
      </c>
      <c r="D137" s="85">
        <f>(D$122&gt;=3)*(D$100=0)*(IF(D$119&lt;D$136,cf_base,IF(D$119&lt;D$136+12*cf_base,(D$136+12*cf_base-D$119)/12,0)))</f>
        <v>0</v>
      </c>
      <c r="E137" s="85">
        <f>(E$122&gt;=3)*(E$100=0)*(IF(E$119&lt;E$136,cf_base,IF(E$119&lt;E$136+12*cf_base,(E$136+12*cf_base-E$119)/12,0)))</f>
        <v>0</v>
      </c>
      <c r="F137" s="85">
        <f>(F$122&gt;=3)*(F$100=0)*(IF(F$119&lt;F$136,cf_base,IF(F$119&lt;F$136+12*cf_base,(F$136+12*cf_base-F$119)/12,0)))</f>
        <v>0</v>
      </c>
      <c r="H137" s="85">
        <f>(H$122&gt;=3)*(H$100=0)*(IF(H$119&lt;H$136,cf_base,IF(H$119&lt;H$136+12*cf_base,(H$136+12*cf_base-H$119)/12,0)))</f>
        <v>0</v>
      </c>
      <c r="I137" s="85">
        <f>(I$122&gt;=3)*(I$100=0)*(IF(I$119&lt;I$136,cf_base,IF(I$119&lt;I$136+12*cf_base,(I$136+12*cf_base-I$119)/12,0)))</f>
        <v>0</v>
      </c>
      <c r="J137" s="85">
        <f>(J$122&gt;=3)*(J$100=0)*(IF(J$119&lt;J$136,cf_base,IF(J$119&lt;J$136+12*cf_base,(J$136+12*cf_base-J$119)/12,0)))</f>
        <v>0</v>
      </c>
      <c r="K137" s="85">
        <f>(K$122&gt;=3)*(K$100=0)*(IF(K$119&lt;K$136,cf_base,IF(K$119&lt;K$136+12*cf_base,(K$136+12*cf_base-K$119)/12,0)))</f>
        <v>0</v>
      </c>
      <c r="M137" s="85">
        <f>(M$122&gt;=3)*(M$100=0)*(IF(M$119&lt;M$136,cf_base,IF(M$119&lt;M$136+12*cf_base,(M$136+12*cf_base-M$119)/12,0)))</f>
        <v>0</v>
      </c>
      <c r="N137" s="85">
        <f>(N$122&gt;=3)*(N$100=0)*(IF(N$119&lt;N$136,cf_base,IF(N$119&lt;N$136+12*cf_base,(N$136+12*cf_base-N$119)/12,0)))</f>
        <v>0</v>
      </c>
      <c r="O137" s="85">
        <f>(O$122&gt;=3)*(O$100=0)*(IF(O$119&lt;O$136,cf_base,IF(O$119&lt;O$136+12*cf_base,(O$136+12*cf_base-O$119)/12,0)))</f>
        <v>0</v>
      </c>
      <c r="P137" s="85">
        <f>(P$122&gt;=3)*(P$100=0)*(IF(P$119&lt;P$136,cf_base,IF(P$119&lt;P$136+12*cf_base,(P$136+12*cf_base-P$119)/12,0)))</f>
        <v>0</v>
      </c>
      <c r="R137" s="85">
        <f>(R$122&gt;=3)*(R$100=0)*(IF(R$119&lt;R$136,cf_base,IF(R$119&lt;R$136+12*cf_base,(R$136+12*cf_base-R$119)/12,0)))</f>
        <v>193.3008987</v>
      </c>
      <c r="S137" s="85">
        <f>(S$122&gt;=3)*(S$100=0)*(IF(S$119&lt;S$136,cf_base,IF(S$119&lt;S$136+12*cf_base,(S$136+12*cf_base-S$119)/12,0)))</f>
        <v>193.3008987</v>
      </c>
      <c r="T137" s="85">
        <f>(T$122&gt;=3)*(T$100=0)*(IF(T$119&lt;T$136,cf_base,IF(T$119&lt;T$136+12*cf_base,(T$136+12*cf_base-T$119)/12,0)))</f>
        <v>193.3008987</v>
      </c>
      <c r="U137" s="85">
        <f>(U$122&gt;=3)*(U$100=0)*(IF(U$119&lt;U$136,cf_base,IF(U$119&lt;U$136+12*cf_base,(U$136+12*cf_base-U$119)/12,0)))</f>
        <v>193.3008987</v>
      </c>
    </row>
    <row r="138" spans="1:21" ht="13" thickBot="1" x14ac:dyDescent="0.3">
      <c r="A138" s="119" t="s">
        <v>133</v>
      </c>
      <c r="B138" s="122"/>
      <c r="C138" s="124">
        <f>(C$123&gt;=3)*(C$100=0)*IF(C$119&lt;C135,cf_majoration,0)</f>
        <v>0</v>
      </c>
      <c r="D138" s="124">
        <f>(D$123&gt;=3)*(D$100=0)*IF(D$119&lt;D135,cf_majoration,0)</f>
        <v>0</v>
      </c>
      <c r="E138" s="124">
        <f>(E$123&gt;=3)*(E$100=0)*IF(E$119&lt;E135,cf_majoration,0)</f>
        <v>0</v>
      </c>
      <c r="F138" s="124">
        <f>(F$123&gt;=3)*(F$100=0)*IF(F$119&lt;F135,cf_majoration,0)</f>
        <v>0</v>
      </c>
      <c r="H138" s="124">
        <f>(H$123&gt;=3)*(H$100=0)*IF(H$119&lt;H135,cf_majoration,0)</f>
        <v>0</v>
      </c>
      <c r="I138" s="124">
        <f>(I$123&gt;=3)*(I$100=0)*IF(I$119&lt;I135,cf_majoration,0)</f>
        <v>0</v>
      </c>
      <c r="J138" s="124">
        <f>(J$123&gt;=3)*(J$100=0)*IF(J$119&lt;J135,cf_majoration,0)</f>
        <v>0</v>
      </c>
      <c r="K138" s="124">
        <f>(K$123&gt;=3)*(K$100=0)*IF(K$119&lt;K135,cf_majoration,0)</f>
        <v>0</v>
      </c>
      <c r="M138" s="124">
        <f>(M$123&gt;=3)*(M$100=0)*IF(M$119&lt;M135,cf_majoration,0)</f>
        <v>0</v>
      </c>
      <c r="N138" s="124">
        <f>(N$123&gt;=3)*(N$100=0)*IF(N$119&lt;N135,cf_majoration,0)</f>
        <v>0</v>
      </c>
      <c r="O138" s="124">
        <f>(O$123&gt;=3)*(O$100=0)*IF(O$119&lt;O135,cf_majoration,0)</f>
        <v>0</v>
      </c>
      <c r="P138" s="124">
        <f>(P$123&gt;=3)*(P$100=0)*IF(P$119&lt;P135,cf_majoration,0)</f>
        <v>0</v>
      </c>
      <c r="R138" s="124">
        <f>(R$123&gt;=3)*(R$100=0)*IF(R$119&lt;R135,cf_majoration,0)</f>
        <v>96.673654740000018</v>
      </c>
      <c r="S138" s="124">
        <f>(S$123&gt;=3)*(S$100=0)*IF(S$119&lt;S135,cf_majoration,0)</f>
        <v>96.673654740000018</v>
      </c>
      <c r="T138" s="124">
        <f>(T$123&gt;=3)*(T$100=0)*IF(T$119&lt;T135,cf_majoration,0)</f>
        <v>96.673654740000018</v>
      </c>
      <c r="U138" s="124">
        <f>(U$123&gt;=3)*(U$100=0)*IF(U$119&lt;U135,cf_majoration,0)</f>
        <v>0</v>
      </c>
    </row>
    <row r="139" spans="1:21" x14ac:dyDescent="0.25">
      <c r="B139" s="255"/>
      <c r="C139" s="201"/>
      <c r="D139" s="201"/>
      <c r="E139" s="201"/>
      <c r="F139" s="201"/>
      <c r="H139" s="201"/>
      <c r="I139" s="201"/>
      <c r="J139" s="201"/>
      <c r="K139" s="201"/>
      <c r="M139" s="201"/>
      <c r="N139" s="201"/>
      <c r="O139" s="201"/>
      <c r="P139" s="201"/>
      <c r="R139" s="201"/>
      <c r="S139" s="201"/>
      <c r="T139" s="201"/>
      <c r="U139" s="201"/>
    </row>
    <row r="140" spans="1:21" ht="13.5" thickBot="1" x14ac:dyDescent="0.35">
      <c r="A140" s="295" t="s">
        <v>86</v>
      </c>
      <c r="B140" s="255"/>
      <c r="C140" s="201"/>
      <c r="D140" s="201"/>
      <c r="E140" s="201"/>
      <c r="F140" s="201"/>
      <c r="H140" s="201"/>
      <c r="I140" s="201"/>
      <c r="J140" s="201"/>
      <c r="K140" s="201"/>
      <c r="M140" s="201"/>
      <c r="N140" s="201"/>
      <c r="O140" s="201"/>
      <c r="P140" s="201"/>
      <c r="R140" s="201"/>
      <c r="S140" s="201"/>
      <c r="T140" s="201"/>
      <c r="U140" s="201"/>
    </row>
    <row r="141" spans="1:21" x14ac:dyDescent="0.25">
      <c r="A141" s="117" t="s">
        <v>67</v>
      </c>
      <c r="B141" s="121"/>
      <c r="C141" s="123">
        <f>IF(C$122&gt;0,ars_plaf_1_enf+ars_plaf_sup_enf*(C$122-1),0)</f>
        <v>0</v>
      </c>
      <c r="D141" s="123">
        <f>IF(D$122&gt;0,ars_plaf_1_enf+ars_plaf_sup_enf*(D$122-1),0)</f>
        <v>0</v>
      </c>
      <c r="E141" s="123">
        <f>IF(E$122&gt;0,ars_plaf_1_enf+ars_plaf_sup_enf*(E$122-1),0)</f>
        <v>0</v>
      </c>
      <c r="F141" s="123">
        <f>IF(F$122&gt;0,ars_plaf_1_enf+ars_plaf_sup_enf*(F$122-1),0)</f>
        <v>0</v>
      </c>
      <c r="H141" s="123">
        <f>IF(H$122&gt;0,ars_plaf_1_enf+ars_plaf_sup_enf*(H$122-1),0)</f>
        <v>25775</v>
      </c>
      <c r="I141" s="123">
        <f>IF(I$122&gt;0,ars_plaf_1_enf+ars_plaf_sup_enf*(I$122-1),0)</f>
        <v>25775</v>
      </c>
      <c r="J141" s="123">
        <f>IF(J$122&gt;0,ars_plaf_1_enf+ars_plaf_sup_enf*(J$122-1),0)</f>
        <v>25775</v>
      </c>
      <c r="K141" s="123">
        <f>IF(K$122&gt;0,ars_plaf_1_enf+ars_plaf_sup_enf*(K$122-1),0)</f>
        <v>25775</v>
      </c>
      <c r="M141" s="123">
        <f>IF(M$122&gt;0,ars_plaf_1_enf+ars_plaf_sup_enf*(M$122-1),0)</f>
        <v>31723</v>
      </c>
      <c r="N141" s="123">
        <f>IF(N$122&gt;0,ars_plaf_1_enf+ars_plaf_sup_enf*(N$122-1),0)</f>
        <v>31723</v>
      </c>
      <c r="O141" s="123">
        <f>IF(O$122&gt;0,ars_plaf_1_enf+ars_plaf_sup_enf*(O$122-1),0)</f>
        <v>31723</v>
      </c>
      <c r="P141" s="123">
        <f>IF(P$122&gt;0,ars_plaf_1_enf+ars_plaf_sup_enf*(P$122-1),0)</f>
        <v>31723</v>
      </c>
      <c r="R141" s="123">
        <f>IF(R$122&gt;0,ars_plaf_1_enf+ars_plaf_sup_enf*(R$122-1),0)</f>
        <v>37671</v>
      </c>
      <c r="S141" s="123">
        <f>IF(S$122&gt;0,ars_plaf_1_enf+ars_plaf_sup_enf*(S$122-1),0)</f>
        <v>37671</v>
      </c>
      <c r="T141" s="123">
        <f>IF(T$122&gt;0,ars_plaf_1_enf+ars_plaf_sup_enf*(T$122-1),0)</f>
        <v>37671</v>
      </c>
      <c r="U141" s="123">
        <f>IF(U$122&gt;0,ars_plaf_1_enf+ars_plaf_sup_enf*(U$122-1),0)</f>
        <v>37671</v>
      </c>
    </row>
    <row r="142" spans="1:21" x14ac:dyDescent="0.25">
      <c r="A142" s="116" t="s">
        <v>82</v>
      </c>
      <c r="B142" s="255"/>
      <c r="C142" s="262">
        <f t="shared" ref="C142:U142" si="43">((6&lt;=C$4)*(C$4&lt;=10)*ars_6_10+(11&lt;=C$4)*(C$4&lt;=14)*ars_11_14+(15&lt;=C$4)*(C$4&lt;=18)*ars_15_18)+((6&lt;=C$5)*(C$5&lt;=10)*ars_6_10+(11&lt;=C$5)*(C$5&lt;=14)*ars_11_14+(15&lt;=C$5)*(C$5&lt;=18)*ars_15_18)+((6&lt;=C$6)*(C$6&lt;=10)*ars_6_10+(11&lt;=C$6)*(C$6&lt;=14)*ars_11_14+(15&lt;=C$6)*(C$6&lt;=18)*ars_15_18)+((6&lt;=C$7)*(C$7&lt;=10)*ars_6_10+(11&lt;=C$7)*(C$7&lt;=14)*ars_11_14+(15&lt;=C$7)*(C$7&lt;=18)*ars_15_18)+((6&lt;=C$8)*(C$8&lt;=10)*ars_6_10+(11&lt;=C$8)*(C$8&lt;=14)*ars_11_14+(15&lt;=C$8)*(C$8&lt;=18)*ars_15_18)+((6&lt;=C$9)*(C$9&lt;=10)*ars_6_10+(11&lt;=C$9)*(C$9&lt;=14)*ars_11_14+(15&lt;=C$9)*(C$9&lt;=18)*ars_15_18)</f>
        <v>0</v>
      </c>
      <c r="D142" s="262">
        <f t="shared" si="43"/>
        <v>0</v>
      </c>
      <c r="E142" s="262">
        <f t="shared" si="43"/>
        <v>0</v>
      </c>
      <c r="F142" s="262">
        <f t="shared" si="43"/>
        <v>0</v>
      </c>
      <c r="H142" s="262">
        <f t="shared" si="43"/>
        <v>0</v>
      </c>
      <c r="I142" s="262">
        <f t="shared" si="43"/>
        <v>0</v>
      </c>
      <c r="J142" s="262">
        <f t="shared" si="43"/>
        <v>0</v>
      </c>
      <c r="K142" s="262">
        <f t="shared" si="43"/>
        <v>0</v>
      </c>
      <c r="M142" s="262">
        <f t="shared" si="43"/>
        <v>416.39751816</v>
      </c>
      <c r="N142" s="262">
        <f t="shared" si="43"/>
        <v>416.39751816</v>
      </c>
      <c r="O142" s="262">
        <f t="shared" si="43"/>
        <v>416.39751816</v>
      </c>
      <c r="P142" s="262">
        <f t="shared" si="43"/>
        <v>416.39751816</v>
      </c>
      <c r="R142" s="262">
        <f t="shared" si="43"/>
        <v>832.79503632000001</v>
      </c>
      <c r="S142" s="262">
        <f t="shared" si="43"/>
        <v>832.79503632000001</v>
      </c>
      <c r="T142" s="262">
        <f t="shared" si="43"/>
        <v>832.79503632000001</v>
      </c>
      <c r="U142" s="262">
        <f t="shared" si="43"/>
        <v>832.79503632000001</v>
      </c>
    </row>
    <row r="143" spans="1:21" ht="13" thickBot="1" x14ac:dyDescent="0.3">
      <c r="A143" s="127" t="s">
        <v>81</v>
      </c>
      <c r="B143" s="292"/>
      <c r="C143" s="293">
        <f>IF(C$119&lt;C$141,C142,IF(C$119&lt;C$141+C$142,C$141+C$142-C$119,0))</f>
        <v>0</v>
      </c>
      <c r="D143" s="293">
        <f>IF(D$119&lt;D$141,D142,IF(D$119&lt;D$141+D$142,D$141+D$142-D$119,0))</f>
        <v>0</v>
      </c>
      <c r="E143" s="293">
        <f>IF(E$119&lt;E$141,E142,IF(E$119&lt;E$141+E$142,E$141+E$142-E$119,0))</f>
        <v>0</v>
      </c>
      <c r="F143" s="293">
        <f>IF(F$119&lt;F$141,F142,IF(F$119&lt;F$141+F$142,F$141+F$142-F$119,0))</f>
        <v>0</v>
      </c>
      <c r="H143" s="293">
        <f>IF(H$119&lt;H$141,H142,IF(H$119&lt;H$141+H$142,H$141+H$142-H$119,0))</f>
        <v>0</v>
      </c>
      <c r="I143" s="293">
        <f>IF(I$119&lt;I$141,I142,IF(I$119&lt;I$141+I$142,I$141+I$142-I$119,0))</f>
        <v>0</v>
      </c>
      <c r="J143" s="293">
        <f>IF(J$119&lt;J$141,J142,IF(J$119&lt;J$141+J$142,J$141+J$142-J$119,0))</f>
        <v>0</v>
      </c>
      <c r="K143" s="293">
        <f>IF(K$119&lt;K$141,K142,IF(K$119&lt;K$141+K$142,K$141+K$142-K$119,0))</f>
        <v>0</v>
      </c>
      <c r="M143" s="293">
        <f>IF(M$119&lt;M$141,M142,IF(M$119&lt;M$141+M$142,M$141+M$142-M$119,0))</f>
        <v>416.39751816</v>
      </c>
      <c r="N143" s="293">
        <f>IF(N$119&lt;N$141,N142,IF(N$119&lt;N$141+N$142,N$141+N$142-N$119,0))</f>
        <v>416.39751816</v>
      </c>
      <c r="O143" s="293">
        <f>IF(O$119&lt;O$141,O142,IF(O$119&lt;O$141+O$142,O$141+O$142-O$119,0))</f>
        <v>416.39751816</v>
      </c>
      <c r="P143" s="293">
        <f>IF(P$119&lt;P$141,P142,IF(P$119&lt;P$141+P$142,P$141+P$142-P$119,0))</f>
        <v>416.39751816</v>
      </c>
      <c r="R143" s="293">
        <f>IF(R$119&lt;R$141,R142,IF(R$119&lt;R$141+R$142,R$141+R$142-R$119,0))</f>
        <v>832.79503632000001</v>
      </c>
      <c r="S143" s="293">
        <f>IF(S$119&lt;S$141,S142,IF(S$119&lt;S$141+S$142,S$141+S$142-S$119,0))</f>
        <v>832.79503632000001</v>
      </c>
      <c r="T143" s="293">
        <f>IF(T$119&lt;T$141,T142,IF(T$119&lt;T$141+T$142,T$141+T$142-T$119,0))</f>
        <v>832.79503632000001</v>
      </c>
      <c r="U143" s="293">
        <f>IF(U$119&lt;U$141,U142,IF(U$119&lt;U$141+U$142,U$141+U$142-U$119,0))</f>
        <v>832.79503632000001</v>
      </c>
    </row>
    <row r="145" spans="1:21" ht="12.65" customHeight="1" thickBot="1" x14ac:dyDescent="0.35">
      <c r="A145" s="295" t="s">
        <v>87</v>
      </c>
      <c r="B145" s="255"/>
      <c r="C145" s="201"/>
      <c r="D145" s="201"/>
      <c r="E145" s="201"/>
      <c r="F145" s="201"/>
      <c r="H145" s="201"/>
      <c r="I145" s="201"/>
      <c r="J145" s="201"/>
      <c r="K145" s="201"/>
      <c r="M145" s="201"/>
      <c r="N145" s="201"/>
      <c r="O145" s="201"/>
      <c r="P145" s="201"/>
      <c r="R145" s="201"/>
      <c r="S145" s="201"/>
      <c r="T145" s="201"/>
      <c r="U145" s="201"/>
    </row>
    <row r="146" spans="1:21" ht="12.65" customHeight="1" x14ac:dyDescent="0.25">
      <c r="A146" s="117" t="s">
        <v>123</v>
      </c>
      <c r="B146" s="121"/>
      <c r="C146" s="123">
        <f>IF(C$100&gt;0,1,0)*IF(OR(C$3="isolé",AND(Coef_n_2*C$38&gt;=cf_seuil_act,Coef_n_2*C$39&gt;=cf_seuil_act)),(C$122=1)*ab_plaf1_couple_biact_ou_iso_1_enf+(C$122&gt;1)*(ab_plaf1_couple_biact_ou_iso_2_enf+(C$122-2)*ab_plaf1_sup_enf),(C$122=1)*ab_plaf1_couple_monoact_1_enf+(C$122&gt;1)*(ab_plaf1_couple_monact_2_enf+(C$122-2)*ab_plaf1_sup_enf))</f>
        <v>0</v>
      </c>
      <c r="D146" s="123">
        <f>IF(D$100&gt;0,1,0)*IF(OR(D$3="isolé",AND(Coef_n_2*D$38&gt;=cf_seuil_act,Coef_n_2*D$39&gt;=cf_seuil_act)),(D$122=1)*ab_plaf1_couple_biact_ou_iso_1_enf+(D$122&gt;1)*(ab_plaf1_couple_biact_ou_iso_2_enf+(D$122-2)*ab_plaf1_sup_enf),(D$122=1)*ab_plaf1_couple_monoact_1_enf+(D$122&gt;1)*(ab_plaf1_couple_monact_2_enf+(D$122-2)*ab_plaf1_sup_enf))</f>
        <v>0</v>
      </c>
      <c r="E146" s="123">
        <f>IF(E$100&gt;0,1,0)*IF(OR(E$3="isolé",AND(Coef_n_2*E$38&gt;=cf_seuil_act,Coef_n_2*E$39&gt;=cf_seuil_act)),(E$122=1)*ab_plaf1_couple_biact_ou_iso_1_enf+(E$122&gt;1)*(ab_plaf1_couple_biact_ou_iso_2_enf+(E$122-2)*ab_plaf1_sup_enf),(E$122=1)*ab_plaf1_couple_monoact_1_enf+(E$122&gt;1)*(ab_plaf1_couple_monact_2_enf+(E$122-2)*ab_plaf1_sup_enf))</f>
        <v>0</v>
      </c>
      <c r="F146" s="123">
        <f>IF(F$100&gt;0,1,0)*IF(OR(F$3="isolé",AND(Coef_n_2*F$38&gt;=cf_seuil_act,Coef_n_2*F$39&gt;=cf_seuil_act)),(F$122=1)*ab_plaf1_couple_biact_ou_iso_1_enf+(F$122&gt;1)*(ab_plaf1_couple_biact_ou_iso_2_enf+(F$122-2)*ab_plaf1_sup_enf),(F$122=1)*ab_plaf1_couple_monoact_1_enf+(F$122&gt;1)*(ab_plaf1_couple_monact_2_enf+(F$122-2)*ab_plaf1_sup_enf))</f>
        <v>0</v>
      </c>
      <c r="H146" s="123">
        <f>IF(H$100&gt;0,1,0)*IF(OR(H$3="isolé",AND(Coef_n_2*H$38&gt;=cf_seuil_act,Coef_n_2*H$39&gt;=cf_seuil_act)),(H$122=1)*ab_plaf1_couple_biact_ou_iso_1_enf+(H$122&gt;1)*(ab_plaf1_couple_biact_ou_iso_2_enf+(H$122-2)*ab_plaf1_sup_enf),(H$122=1)*ab_plaf1_couple_monoact_1_enf+(H$122&gt;1)*(ab_plaf1_couple_monact_2_enf+(H$122-2)*ab_plaf1_sup_enf))</f>
        <v>0</v>
      </c>
      <c r="I146" s="123">
        <f>IF(I$100&gt;0,1,0)*IF(OR(I$3="isolé",AND(Coef_n_2*I$38&gt;=cf_seuil_act,Coef_n_2*I$39&gt;=cf_seuil_act)),(I$122=1)*ab_plaf1_couple_biact_ou_iso_1_enf+(I$122&gt;1)*(ab_plaf1_couple_biact_ou_iso_2_enf+(I$122-2)*ab_plaf1_sup_enf),(I$122=1)*ab_plaf1_couple_monoact_1_enf+(I$122&gt;1)*(ab_plaf1_couple_monact_2_enf+(I$122-2)*ab_plaf1_sup_enf))</f>
        <v>0</v>
      </c>
      <c r="J146" s="123">
        <f>IF(J$100&gt;0,1,0)*IF(OR(J$3="isolé",AND(Coef_n_2*J$38&gt;=cf_seuil_act,Coef_n_2*J$39&gt;=cf_seuil_act)),(J$122=1)*ab_plaf1_couple_biact_ou_iso_1_enf+(J$122&gt;1)*(ab_plaf1_couple_biact_ou_iso_2_enf+(J$122-2)*ab_plaf1_sup_enf),(J$122=1)*ab_plaf1_couple_monoact_1_enf+(J$122&gt;1)*(ab_plaf1_couple_monact_2_enf+(J$122-2)*ab_plaf1_sup_enf))</f>
        <v>0</v>
      </c>
      <c r="K146" s="123">
        <f>IF(K$100&gt;0,1,0)*IF(OR(K$3="isolé",AND(Coef_n_2*K$38&gt;=cf_seuil_act,Coef_n_2*K$39&gt;=cf_seuil_act)),(K$122=1)*ab_plaf1_couple_biact_ou_iso_1_enf+(K$122&gt;1)*(ab_plaf1_couple_biact_ou_iso_2_enf+(K$122-2)*ab_plaf1_sup_enf),(K$122=1)*ab_plaf1_couple_monoact_1_enf+(K$122&gt;1)*(ab_plaf1_couple_monact_2_enf+(K$122-2)*ab_plaf1_sup_enf))</f>
        <v>0</v>
      </c>
      <c r="M146" s="123">
        <f>IF(M$100&gt;0,1,0)*IF(OR(M$3="isolé",AND(Coef_n_2*M$38&gt;=cf_seuil_act,Coef_n_2*M$39&gt;=cf_seuil_act)),(M$122=1)*ab_plaf1_couple_biact_ou_iso_1_enf+(M$122&gt;1)*(ab_plaf1_couple_biact_ou_iso_2_enf+(M$122-2)*ab_plaf1_sup_enf),(M$122=1)*ab_plaf1_couple_monoact_1_enf+(M$122&gt;1)*(ab_plaf1_couple_monact_2_enf+(M$122-2)*ab_plaf1_sup_enf))</f>
        <v>0</v>
      </c>
      <c r="N146" s="123">
        <f>IF(N$100&gt;0,1,0)*IF(OR(N$3="isolé",AND(Coef_n_2*N$38&gt;=cf_seuil_act,Coef_n_2*N$39&gt;=cf_seuil_act)),(N$122=1)*ab_plaf1_couple_biact_ou_iso_1_enf+(N$122&gt;1)*(ab_plaf1_couple_biact_ou_iso_2_enf+(N$122-2)*ab_plaf1_sup_enf),(N$122=1)*ab_plaf1_couple_monoact_1_enf+(N$122&gt;1)*(ab_plaf1_couple_monact_2_enf+(N$122-2)*ab_plaf1_sup_enf))</f>
        <v>0</v>
      </c>
      <c r="O146" s="123">
        <f>IF(O$100&gt;0,1,0)*IF(OR(O$3="isolé",AND(Coef_n_2*O$38&gt;=cf_seuil_act,Coef_n_2*O$39&gt;=cf_seuil_act)),(O$122=1)*ab_plaf1_couple_biact_ou_iso_1_enf+(O$122&gt;1)*(ab_plaf1_couple_biact_ou_iso_2_enf+(O$122-2)*ab_plaf1_sup_enf),(O$122=1)*ab_plaf1_couple_monoact_1_enf+(O$122&gt;1)*(ab_plaf1_couple_monact_2_enf+(O$122-2)*ab_plaf1_sup_enf))</f>
        <v>0</v>
      </c>
      <c r="P146" s="123">
        <f>IF(P$100&gt;0,1,0)*IF(OR(P$3="isolé",AND(Coef_n_2*P$38&gt;=cf_seuil_act,Coef_n_2*P$39&gt;=cf_seuil_act)),(P$122=1)*ab_plaf1_couple_biact_ou_iso_1_enf+(P$122&gt;1)*(ab_plaf1_couple_biact_ou_iso_2_enf+(P$122-2)*ab_plaf1_sup_enf),(P$122=1)*ab_plaf1_couple_monoact_1_enf+(P$122&gt;1)*(ab_plaf1_couple_monact_2_enf+(P$122-2)*ab_plaf1_sup_enf))</f>
        <v>0</v>
      </c>
      <c r="R146" s="123">
        <f>IF(R$100&gt;0,1,0)*IF(OR(R$3="isolé",AND(Coef_n_2*R$38&gt;=cf_seuil_act,Coef_n_2*R$39&gt;=cf_seuil_act)),(R$122=1)*ab_plaf1_couple_biact_ou_iso_1_enf+(R$122&gt;1)*(ab_plaf1_couple_biact_ou_iso_2_enf+(R$122-2)*ab_plaf1_sup_enf),(R$122=1)*ab_plaf1_couple_monoact_1_enf+(R$122&gt;1)*(ab_plaf1_couple_monact_2_enf+(R$122-2)*ab_plaf1_sup_enf))</f>
        <v>0</v>
      </c>
      <c r="S146" s="123">
        <f>IF(S$100&gt;0,1,0)*IF(OR(S$3="isolé",AND(Coef_n_2*S$38&gt;=cf_seuil_act,Coef_n_2*S$39&gt;=cf_seuil_act)),(S$122=1)*ab_plaf1_couple_biact_ou_iso_1_enf+(S$122&gt;1)*(ab_plaf1_couple_biact_ou_iso_2_enf+(S$122-2)*ab_plaf1_sup_enf),(S$122=1)*ab_plaf1_couple_monoact_1_enf+(S$122&gt;1)*(ab_plaf1_couple_monact_2_enf+(S$122-2)*ab_plaf1_sup_enf))</f>
        <v>0</v>
      </c>
      <c r="T146" s="123">
        <f>IF(T$100&gt;0,1,0)*IF(OR(T$3="isolé",AND(Coef_n_2*T$38&gt;=cf_seuil_act,Coef_n_2*T$39&gt;=cf_seuil_act)),(T$122=1)*ab_plaf1_couple_biact_ou_iso_1_enf+(T$122&gt;1)*(ab_plaf1_couple_biact_ou_iso_2_enf+(T$122-2)*ab_plaf1_sup_enf),(T$122=1)*ab_plaf1_couple_monoact_1_enf+(T$122&gt;1)*(ab_plaf1_couple_monact_2_enf+(T$122-2)*ab_plaf1_sup_enf))</f>
        <v>0</v>
      </c>
      <c r="U146" s="123">
        <f>IF(U$100&gt;0,1,0)*IF(OR(U$3="isolé",AND(Coef_n_2*U$38&gt;=cf_seuil_act,Coef_n_2*U$39&gt;=cf_seuil_act)),(U$122=1)*ab_plaf1_couple_biact_ou_iso_1_enf+(U$122&gt;1)*(ab_plaf1_couple_biact_ou_iso_2_enf+(U$122-2)*ab_plaf1_sup_enf),(U$122=1)*ab_plaf1_couple_monoact_1_enf+(U$122&gt;1)*(ab_plaf1_couple_monact_2_enf+(U$122-2)*ab_plaf1_sup_enf))</f>
        <v>0</v>
      </c>
    </row>
    <row r="147" spans="1:21" ht="12.65" customHeight="1" thickBot="1" x14ac:dyDescent="0.3">
      <c r="A147" s="119" t="s">
        <v>122</v>
      </c>
      <c r="B147" s="122"/>
      <c r="C147" s="124">
        <f>IF(C$100&gt;0,1,0)*IF(OR(C$3="isolé",AND(Coef_n_2*C$38&gt;=cf_seuil_act,Coef_n_2*C$39&gt;=cf_seuil_act)),(C$122=1)*ab_plaf2_couple_biact_ou_iso_1_enf+(C$122&gt;1)*(ab_plaf2_couple_biact_ou_iso_2_enf+(C$122-2)*ab_plaf2_sup_enf),(C$122=1)*ab_plaf2_couple_monoact_1_enf+(C$122&gt;1)*(ab_plaf2_couple_monact_2_enf+(C$122-2)*ab_plaf2_sup_enf))</f>
        <v>0</v>
      </c>
      <c r="D147" s="124">
        <f>IF(D$100&gt;0,1,0)*IF(OR(D$3="isolé",AND(Coef_n_2*D$38&gt;=cf_seuil_act,Coef_n_2*D$39&gt;=cf_seuil_act)),(D$122=1)*ab_plaf2_couple_biact_ou_iso_1_enf+(D$122&gt;1)*(ab_plaf2_couple_biact_ou_iso_2_enf+(D$122-2)*ab_plaf2_sup_enf),(D$122=1)*ab_plaf2_couple_monoact_1_enf+(D$122&gt;1)*(ab_plaf2_couple_monact_2_enf+(D$122-2)*ab_plaf2_sup_enf))</f>
        <v>0</v>
      </c>
      <c r="E147" s="124">
        <f>IF(E$100&gt;0,1,0)*IF(OR(E$3="isolé",AND(Coef_n_2*E$38&gt;=cf_seuil_act,Coef_n_2*E$39&gt;=cf_seuil_act)),(E$122=1)*ab_plaf2_couple_biact_ou_iso_1_enf+(E$122&gt;1)*(ab_plaf2_couple_biact_ou_iso_2_enf+(E$122-2)*ab_plaf2_sup_enf),(E$122=1)*ab_plaf2_couple_monoact_1_enf+(E$122&gt;1)*(ab_plaf2_couple_monact_2_enf+(E$122-2)*ab_plaf2_sup_enf))</f>
        <v>0</v>
      </c>
      <c r="F147" s="124">
        <f>IF(F$100&gt;0,1,0)*IF(OR(F$3="isolé",AND(Coef_n_2*F$38&gt;=cf_seuil_act,Coef_n_2*F$39&gt;=cf_seuil_act)),(F$122=1)*ab_plaf2_couple_biact_ou_iso_1_enf+(F$122&gt;1)*(ab_plaf2_couple_biact_ou_iso_2_enf+(F$122-2)*ab_plaf2_sup_enf),(F$122=1)*ab_plaf2_couple_monoact_1_enf+(F$122&gt;1)*(ab_plaf2_couple_monact_2_enf+(F$122-2)*ab_plaf2_sup_enf))</f>
        <v>0</v>
      </c>
      <c r="H147" s="124">
        <f>IF(H$100&gt;0,1,0)*IF(OR(H$3="isolé",AND(Coef_n_2*H$38&gt;=cf_seuil_act,Coef_n_2*H$39&gt;=cf_seuil_act)),(H$122=1)*ab_plaf2_couple_biact_ou_iso_1_enf+(H$122&gt;1)*(ab_plaf2_couple_biact_ou_iso_2_enf+(H$122-2)*ab_plaf2_sup_enf),(H$122=1)*ab_plaf2_couple_monoact_1_enf+(H$122&gt;1)*(ab_plaf2_couple_monact_2_enf+(H$122-2)*ab_plaf2_sup_enf))</f>
        <v>0</v>
      </c>
      <c r="I147" s="124">
        <f>IF(I$100&gt;0,1,0)*IF(OR(I$3="isolé",AND(Coef_n_2*I$38&gt;=cf_seuil_act,Coef_n_2*I$39&gt;=cf_seuil_act)),(I$122=1)*ab_plaf2_couple_biact_ou_iso_1_enf+(I$122&gt;1)*(ab_plaf2_couple_biact_ou_iso_2_enf+(I$122-2)*ab_plaf2_sup_enf),(I$122=1)*ab_plaf2_couple_monoact_1_enf+(I$122&gt;1)*(ab_plaf2_couple_monact_2_enf+(I$122-2)*ab_plaf2_sup_enf))</f>
        <v>0</v>
      </c>
      <c r="J147" s="124">
        <f>IF(J$100&gt;0,1,0)*IF(OR(J$3="isolé",AND(Coef_n_2*J$38&gt;=cf_seuil_act,Coef_n_2*J$39&gt;=cf_seuil_act)),(J$122=1)*ab_plaf2_couple_biact_ou_iso_1_enf+(J$122&gt;1)*(ab_plaf2_couple_biact_ou_iso_2_enf+(J$122-2)*ab_plaf2_sup_enf),(J$122=1)*ab_plaf2_couple_monoact_1_enf+(J$122&gt;1)*(ab_plaf2_couple_monact_2_enf+(J$122-2)*ab_plaf2_sup_enf))</f>
        <v>0</v>
      </c>
      <c r="K147" s="124">
        <f>IF(K$100&gt;0,1,0)*IF(OR(K$3="isolé",AND(Coef_n_2*K$38&gt;=cf_seuil_act,Coef_n_2*K$39&gt;=cf_seuil_act)),(K$122=1)*ab_plaf2_couple_biact_ou_iso_1_enf+(K$122&gt;1)*(ab_plaf2_couple_biact_ou_iso_2_enf+(K$122-2)*ab_plaf2_sup_enf),(K$122=1)*ab_plaf2_couple_monoact_1_enf+(K$122&gt;1)*(ab_plaf2_couple_monact_2_enf+(K$122-2)*ab_plaf2_sup_enf))</f>
        <v>0</v>
      </c>
      <c r="M147" s="124">
        <f>IF(M$100&gt;0,1,0)*IF(OR(M$3="isolé",AND(Coef_n_2*M$38&gt;=cf_seuil_act,Coef_n_2*M$39&gt;=cf_seuil_act)),(M$122=1)*ab_plaf2_couple_biact_ou_iso_1_enf+(M$122&gt;1)*(ab_plaf2_couple_biact_ou_iso_2_enf+(M$122-2)*ab_plaf2_sup_enf),(M$122=1)*ab_plaf2_couple_monoact_1_enf+(M$122&gt;1)*(ab_plaf2_couple_monact_2_enf+(M$122-2)*ab_plaf2_sup_enf))</f>
        <v>0</v>
      </c>
      <c r="N147" s="124">
        <f>IF(N$100&gt;0,1,0)*IF(OR(N$3="isolé",AND(Coef_n_2*N$38&gt;=cf_seuil_act,Coef_n_2*N$39&gt;=cf_seuil_act)),(N$122=1)*ab_plaf2_couple_biact_ou_iso_1_enf+(N$122&gt;1)*(ab_plaf2_couple_biact_ou_iso_2_enf+(N$122-2)*ab_plaf2_sup_enf),(N$122=1)*ab_plaf2_couple_monoact_1_enf+(N$122&gt;1)*(ab_plaf2_couple_monact_2_enf+(N$122-2)*ab_plaf2_sup_enf))</f>
        <v>0</v>
      </c>
      <c r="O147" s="124">
        <f>IF(O$100&gt;0,1,0)*IF(OR(O$3="isolé",AND(Coef_n_2*O$38&gt;=cf_seuil_act,Coef_n_2*O$39&gt;=cf_seuil_act)),(O$122=1)*ab_plaf2_couple_biact_ou_iso_1_enf+(O$122&gt;1)*(ab_plaf2_couple_biact_ou_iso_2_enf+(O$122-2)*ab_plaf2_sup_enf),(O$122=1)*ab_plaf2_couple_monoact_1_enf+(O$122&gt;1)*(ab_plaf2_couple_monact_2_enf+(O$122-2)*ab_plaf2_sup_enf))</f>
        <v>0</v>
      </c>
      <c r="P147" s="124">
        <f>IF(P$100&gt;0,1,0)*IF(OR(P$3="isolé",AND(Coef_n_2*P$38&gt;=cf_seuil_act,Coef_n_2*P$39&gt;=cf_seuil_act)),(P$122=1)*ab_plaf2_couple_biact_ou_iso_1_enf+(P$122&gt;1)*(ab_plaf2_couple_biact_ou_iso_2_enf+(P$122-2)*ab_plaf2_sup_enf),(P$122=1)*ab_plaf2_couple_monoact_1_enf+(P$122&gt;1)*(ab_plaf2_couple_monact_2_enf+(P$122-2)*ab_plaf2_sup_enf))</f>
        <v>0</v>
      </c>
      <c r="R147" s="124">
        <f>IF(R$100&gt;0,1,0)*IF(OR(R$3="isolé",AND(Coef_n_2*R$38&gt;=cf_seuil_act,Coef_n_2*R$39&gt;=cf_seuil_act)),(R$122=1)*ab_plaf2_couple_biact_ou_iso_1_enf+(R$122&gt;1)*(ab_plaf2_couple_biact_ou_iso_2_enf+(R$122-2)*ab_plaf2_sup_enf),(R$122=1)*ab_plaf2_couple_monoact_1_enf+(R$122&gt;1)*(ab_plaf2_couple_monact_2_enf+(R$122-2)*ab_plaf2_sup_enf))</f>
        <v>0</v>
      </c>
      <c r="S147" s="124">
        <f>IF(S$100&gt;0,1,0)*IF(OR(S$3="isolé",AND(Coef_n_2*S$38&gt;=cf_seuil_act,Coef_n_2*S$39&gt;=cf_seuil_act)),(S$122=1)*ab_plaf2_couple_biact_ou_iso_1_enf+(S$122&gt;1)*(ab_plaf2_couple_biact_ou_iso_2_enf+(S$122-2)*ab_plaf2_sup_enf),(S$122=1)*ab_plaf2_couple_monoact_1_enf+(S$122&gt;1)*(ab_plaf2_couple_monact_2_enf+(S$122-2)*ab_plaf2_sup_enf))</f>
        <v>0</v>
      </c>
      <c r="T147" s="124">
        <f>IF(T$100&gt;0,1,0)*IF(OR(T$3="isolé",AND(Coef_n_2*T$38&gt;=cf_seuil_act,Coef_n_2*T$39&gt;=cf_seuil_act)),(T$122=1)*ab_plaf2_couple_biact_ou_iso_1_enf+(T$122&gt;1)*(ab_plaf2_couple_biact_ou_iso_2_enf+(T$122-2)*ab_plaf2_sup_enf),(T$122=1)*ab_plaf2_couple_monoact_1_enf+(T$122&gt;1)*(ab_plaf2_couple_monact_2_enf+(T$122-2)*ab_plaf2_sup_enf))</f>
        <v>0</v>
      </c>
      <c r="U147" s="124">
        <f>IF(U$100&gt;0,1,0)*IF(OR(U$3="isolé",AND(Coef_n_2*U$38&gt;=cf_seuil_act,Coef_n_2*U$39&gt;=cf_seuil_act)),(U$122=1)*ab_plaf2_couple_biact_ou_iso_1_enf+(U$122&gt;1)*(ab_plaf2_couple_biact_ou_iso_2_enf+(U$122-2)*ab_plaf2_sup_enf),(U$122=1)*ab_plaf2_couple_monoact_1_enf+(U$122&gt;1)*(ab_plaf2_couple_monact_2_enf+(U$122-2)*ab_plaf2_sup_enf))</f>
        <v>0</v>
      </c>
    </row>
    <row r="148" spans="1:21" x14ac:dyDescent="0.25">
      <c r="B148" s="255"/>
      <c r="C148" s="201"/>
      <c r="D148" s="201"/>
      <c r="E148" s="201"/>
      <c r="F148" s="201"/>
      <c r="H148" s="201"/>
      <c r="I148" s="201"/>
      <c r="J148" s="201"/>
      <c r="K148" s="201"/>
      <c r="M148" s="201"/>
      <c r="N148" s="201"/>
      <c r="O148" s="201"/>
      <c r="P148" s="201"/>
      <c r="R148" s="201"/>
      <c r="S148" s="201"/>
      <c r="T148" s="201"/>
      <c r="U148" s="201"/>
    </row>
    <row r="149" spans="1:21" ht="13.5" thickBot="1" x14ac:dyDescent="0.35">
      <c r="A149" s="295" t="s">
        <v>238</v>
      </c>
      <c r="B149" s="255"/>
      <c r="C149" s="201"/>
      <c r="D149" s="201"/>
      <c r="E149" s="201"/>
      <c r="F149" s="201"/>
      <c r="H149" s="201"/>
      <c r="I149" s="201"/>
      <c r="J149" s="201"/>
      <c r="K149" s="201"/>
      <c r="M149" s="201"/>
      <c r="N149" s="201"/>
      <c r="O149" s="201"/>
      <c r="P149" s="201"/>
      <c r="R149" s="201"/>
      <c r="S149" s="201"/>
      <c r="T149" s="201"/>
      <c r="U149" s="201"/>
    </row>
    <row r="150" spans="1:21" x14ac:dyDescent="0.25">
      <c r="A150" s="282" t="s">
        <v>241</v>
      </c>
      <c r="B150" s="308"/>
      <c r="C150" s="273">
        <f>(C$100&gt;0)*(IF(C$25=0,clca_tp,IF(C$25&lt;=50%,clca_tr_1,IF(C$25&lt;=80%,clca_tr_2,0))))</f>
        <v>0</v>
      </c>
      <c r="D150" s="273">
        <f>(D$100&gt;0)*(IF(D$25=0,clca_tp,IF(D$25&lt;=50%,clca_tr_1,IF(D$25&lt;=80%,clca_tr_2,0))))</f>
        <v>0</v>
      </c>
      <c r="E150" s="273">
        <f>(E$100&gt;0)*(IF(E$25=0,clca_tp,IF(E$25&lt;=50%,clca_tr_1,IF(E$25&lt;=80%,clca_tr_2,0))))</f>
        <v>0</v>
      </c>
      <c r="F150" s="273">
        <f>(F$100&gt;0)*(IF(F$25=0,clca_tp,IF(F$25&lt;=50%,clca_tr_1,IF(F$25&lt;=80%,clca_tr_2,0))))</f>
        <v>0</v>
      </c>
      <c r="H150" s="273">
        <f>(H$100&gt;0)*(IF(H$25=0,clca_tp,IF(H$25&lt;=50%,clca_tr_1,IF(H$25&lt;=80%,clca_tr_2,0))))</f>
        <v>0</v>
      </c>
      <c r="I150" s="273">
        <f>(I$100&gt;0)*(IF(I$25=0,clca_tp,IF(I$25&lt;=50%,clca_tr_1,IF(I$25&lt;=80%,clca_tr_2,0))))</f>
        <v>0</v>
      </c>
      <c r="J150" s="273">
        <f>(J$100&gt;0)*(IF(J$25=0,clca_tp,IF(J$25&lt;=50%,clca_tr_1,IF(J$25&lt;=80%,clca_tr_2,0))))</f>
        <v>0</v>
      </c>
      <c r="K150" s="273">
        <f>(K$100&gt;0)*(IF(K$25=0,clca_tp,IF(K$25&lt;=50%,clca_tr_1,IF(K$25&lt;=80%,clca_tr_2,0))))</f>
        <v>0</v>
      </c>
      <c r="M150" s="273">
        <f>(M$100&gt;0)*(IF(M$25=0,clca_tp,IF(M$25&lt;=50%,clca_tr_1,IF(M$25&lt;=80%,clca_tr_2,0))))</f>
        <v>0</v>
      </c>
      <c r="N150" s="273">
        <f>(N$100&gt;0)*(IF(N$25=0,clca_tp,IF(N$25&lt;=50%,clca_tr_1,IF(N$25&lt;=80%,clca_tr_2,0))))</f>
        <v>0</v>
      </c>
      <c r="O150" s="273">
        <f>(O$100&gt;0)*(IF(O$25=0,clca_tp,IF(O$25&lt;=50%,clca_tr_1,IF(O$25&lt;=80%,clca_tr_2,0))))</f>
        <v>0</v>
      </c>
      <c r="P150" s="273">
        <f>(P$100&gt;0)*(IF(P$25=0,clca_tp,IF(P$25&lt;=50%,clca_tr_1,IF(P$25&lt;=80%,clca_tr_2,0))))</f>
        <v>0</v>
      </c>
      <c r="R150" s="273">
        <f>(R$100&gt;0)*(IF(R$25=0,clca_tp,IF(R$25&lt;=50%,clca_tr_1,IF(R$25&lt;=80%,clca_tr_2,0))))</f>
        <v>0</v>
      </c>
      <c r="S150" s="273">
        <f>(S$100&gt;0)*(IF(S$25=0,clca_tp,IF(S$25&lt;=50%,clca_tr_1,IF(S$25&lt;=80%,clca_tr_2,0))))</f>
        <v>0</v>
      </c>
      <c r="T150" s="273">
        <f>(T$100&gt;0)*(IF(T$25=0,clca_tp,IF(T$25&lt;=50%,clca_tr_1,IF(T$25&lt;=80%,clca_tr_2,0))))</f>
        <v>0</v>
      </c>
      <c r="U150" s="273">
        <f>(U$100&gt;0)*(IF(U$25=0,clca_tp,IF(U$25&lt;=50%,clca_tr_1,IF(U$25&lt;=80%,clca_tr_2,0))))</f>
        <v>0</v>
      </c>
    </row>
    <row r="151" spans="1:21" x14ac:dyDescent="0.25">
      <c r="A151" s="275" t="s">
        <v>242</v>
      </c>
      <c r="B151" s="255"/>
      <c r="C151" s="262">
        <f>(C$3="couple")*(C$100&gt;0)*(IF(C$26=0,clca_tp,IF(C$26&lt;=50%,clca_tr_1,IF(C$26&lt;=80%,clca_tr_2,0))))</f>
        <v>0</v>
      </c>
      <c r="D151" s="262">
        <f>(D$3="couple")*(D$100&gt;0)*(IF(D$26=0,clca_tp,IF(D$26&lt;=50%,clca_tr_1,IF(D$26&lt;=80%,clca_tr_2,0))))</f>
        <v>0</v>
      </c>
      <c r="E151" s="262">
        <f>(E$3="couple")*(E$100&gt;0)*(IF(E$26=0,clca_tp,IF(E$26&lt;=50%,clca_tr_1,IF(E$26&lt;=80%,clca_tr_2,0))))</f>
        <v>0</v>
      </c>
      <c r="F151" s="262">
        <f>(F$3="couple")*(F$100&gt;0)*(IF(F$26=0,clca_tp,IF(F$26&lt;=50%,clca_tr_1,IF(F$26&lt;=80%,clca_tr_2,0))))</f>
        <v>0</v>
      </c>
      <c r="H151" s="262">
        <f>(H$3="couple")*(H$100&gt;0)*(IF(H$26=0,clca_tp,IF(H$26&lt;=50%,clca_tr_1,IF(H$26&lt;=80%,clca_tr_2,0))))</f>
        <v>0</v>
      </c>
      <c r="I151" s="262">
        <f>(I$3="couple")*(I$100&gt;0)*(IF(I$26=0,clca_tp,IF(I$26&lt;=50%,clca_tr_1,IF(I$26&lt;=80%,clca_tr_2,0))))</f>
        <v>0</v>
      </c>
      <c r="J151" s="262">
        <f>(J$3="couple")*(J$100&gt;0)*(IF(J$26=0,clca_tp,IF(J$26&lt;=50%,clca_tr_1,IF(J$26&lt;=80%,clca_tr_2,0))))</f>
        <v>0</v>
      </c>
      <c r="K151" s="262">
        <f>(K$3="couple")*(K$100&gt;0)*(IF(K$26=0,clca_tp,IF(K$26&lt;=50%,clca_tr_1,IF(K$26&lt;=80%,clca_tr_2,0))))</f>
        <v>0</v>
      </c>
      <c r="M151" s="262">
        <f>(M$3="couple")*(M$100&gt;0)*(IF(M$26=0,clca_tp,IF(M$26&lt;=50%,clca_tr_1,IF(M$26&lt;=80%,clca_tr_2,0))))</f>
        <v>0</v>
      </c>
      <c r="N151" s="262">
        <f>(N$3="couple")*(N$100&gt;0)*(IF(N$26=0,clca_tp,IF(N$26&lt;=50%,clca_tr_1,IF(N$26&lt;=80%,clca_tr_2,0))))</f>
        <v>0</v>
      </c>
      <c r="O151" s="262">
        <f>(O$3="couple")*(O$100&gt;0)*(IF(O$26=0,clca_tp,IF(O$26&lt;=50%,clca_tr_1,IF(O$26&lt;=80%,clca_tr_2,0))))</f>
        <v>0</v>
      </c>
      <c r="P151" s="262">
        <f>(P$3="couple")*(P$100&gt;0)*(IF(P$26=0,clca_tp,IF(P$26&lt;=50%,clca_tr_1,IF(P$26&lt;=80%,clca_tr_2,0))))</f>
        <v>0</v>
      </c>
      <c r="R151" s="262">
        <f>(R$3="couple")*(R$100&gt;0)*(IF(R$26=0,clca_tp,IF(R$26&lt;=50%,clca_tr_1,IF(R$26&lt;=80%,clca_tr_2,0))))</f>
        <v>0</v>
      </c>
      <c r="S151" s="262">
        <f>(S$3="couple")*(S$100&gt;0)*(IF(S$26=0,clca_tp,IF(S$26&lt;=50%,clca_tr_1,IF(S$26&lt;=80%,clca_tr_2,0))))</f>
        <v>0</v>
      </c>
      <c r="T151" s="262">
        <f>(T$3="couple")*(T$100&gt;0)*(IF(T$26=0,clca_tp,IF(T$26&lt;=50%,clca_tr_1,IF(T$26&lt;=80%,clca_tr_2,0))))</f>
        <v>0</v>
      </c>
      <c r="U151" s="262">
        <f>(U$3="couple")*(U$100&gt;0)*(IF(U$26=0,clca_tp,IF(U$26&lt;=50%,clca_tr_1,IF(U$26&lt;=80%,clca_tr_2,0))))</f>
        <v>0</v>
      </c>
    </row>
    <row r="152" spans="1:21" ht="13.5" thickBot="1" x14ac:dyDescent="0.35">
      <c r="A152" s="279" t="s">
        <v>243</v>
      </c>
      <c r="B152" s="309"/>
      <c r="C152" s="310">
        <f t="shared" ref="C152:F152" si="44">MIN(C150+C151,clca_tp)</f>
        <v>0</v>
      </c>
      <c r="D152" s="310">
        <f t="shared" si="44"/>
        <v>0</v>
      </c>
      <c r="E152" s="310">
        <f t="shared" si="44"/>
        <v>0</v>
      </c>
      <c r="F152" s="310">
        <f t="shared" si="44"/>
        <v>0</v>
      </c>
      <c r="H152" s="310">
        <f t="shared" ref="H152:K152" si="45">MIN(H150+H151,clca_tp)</f>
        <v>0</v>
      </c>
      <c r="I152" s="310">
        <f t="shared" si="45"/>
        <v>0</v>
      </c>
      <c r="J152" s="310">
        <f t="shared" si="45"/>
        <v>0</v>
      </c>
      <c r="K152" s="310">
        <f t="shared" si="45"/>
        <v>0</v>
      </c>
      <c r="M152" s="310">
        <f t="shared" ref="M152:P152" si="46">MIN(M150+M151,clca_tp)</f>
        <v>0</v>
      </c>
      <c r="N152" s="310">
        <f t="shared" si="46"/>
        <v>0</v>
      </c>
      <c r="O152" s="310">
        <f t="shared" si="46"/>
        <v>0</v>
      </c>
      <c r="P152" s="310">
        <f t="shared" si="46"/>
        <v>0</v>
      </c>
      <c r="R152" s="310">
        <f t="shared" ref="R152:U152" si="47">MIN(R150+R151,clca_tp)</f>
        <v>0</v>
      </c>
      <c r="S152" s="310">
        <f t="shared" si="47"/>
        <v>0</v>
      </c>
      <c r="T152" s="310">
        <f t="shared" si="47"/>
        <v>0</v>
      </c>
      <c r="U152" s="310">
        <f t="shared" si="47"/>
        <v>0</v>
      </c>
    </row>
    <row r="153" spans="1:21" x14ac:dyDescent="0.25">
      <c r="C153" s="201"/>
      <c r="D153" s="201"/>
      <c r="E153" s="201"/>
      <c r="F153" s="201"/>
      <c r="H153" s="201"/>
      <c r="I153" s="201"/>
      <c r="J153" s="201"/>
      <c r="K153" s="201"/>
      <c r="M153" s="201"/>
      <c r="N153" s="201"/>
      <c r="O153" s="201"/>
      <c r="P153" s="201"/>
      <c r="R153" s="201"/>
      <c r="S153" s="201"/>
      <c r="T153" s="201"/>
      <c r="U153" s="201"/>
    </row>
    <row r="154" spans="1:21" ht="13.5" thickBot="1" x14ac:dyDescent="0.35">
      <c r="A154" s="295" t="s">
        <v>244</v>
      </c>
      <c r="C154" s="201"/>
      <c r="D154" s="201"/>
      <c r="E154" s="201"/>
      <c r="F154" s="201"/>
      <c r="H154" s="201"/>
      <c r="I154" s="201"/>
      <c r="J154" s="201"/>
      <c r="K154" s="201"/>
      <c r="M154" s="201"/>
      <c r="N154" s="201"/>
      <c r="O154" s="201"/>
      <c r="P154" s="201"/>
      <c r="R154" s="201"/>
      <c r="S154" s="201"/>
      <c r="T154" s="201"/>
      <c r="U154" s="201"/>
    </row>
    <row r="155" spans="1:21" x14ac:dyDescent="0.25">
      <c r="A155" s="282" t="s">
        <v>245</v>
      </c>
      <c r="B155" s="306"/>
      <c r="C155" s="284">
        <f t="shared" ref="C155:U155" si="48">C$21*cmg_cout_net_assmat</f>
        <v>0</v>
      </c>
      <c r="D155" s="284">
        <f t="shared" si="48"/>
        <v>0</v>
      </c>
      <c r="E155" s="284">
        <f t="shared" si="48"/>
        <v>0</v>
      </c>
      <c r="F155" s="284">
        <f t="shared" si="48"/>
        <v>0</v>
      </c>
      <c r="H155" s="284">
        <f t="shared" si="48"/>
        <v>0</v>
      </c>
      <c r="I155" s="284">
        <f t="shared" si="48"/>
        <v>0</v>
      </c>
      <c r="J155" s="284">
        <f t="shared" si="48"/>
        <v>0</v>
      </c>
      <c r="K155" s="284">
        <f t="shared" si="48"/>
        <v>0</v>
      </c>
      <c r="M155" s="284">
        <f t="shared" si="48"/>
        <v>0</v>
      </c>
      <c r="N155" s="284">
        <f t="shared" si="48"/>
        <v>0</v>
      </c>
      <c r="O155" s="284">
        <f t="shared" si="48"/>
        <v>0</v>
      </c>
      <c r="P155" s="284">
        <f t="shared" si="48"/>
        <v>0</v>
      </c>
      <c r="R155" s="284">
        <f t="shared" si="48"/>
        <v>0</v>
      </c>
      <c r="S155" s="284">
        <f t="shared" si="48"/>
        <v>0</v>
      </c>
      <c r="T155" s="284">
        <f t="shared" si="48"/>
        <v>0</v>
      </c>
      <c r="U155" s="284">
        <f t="shared" si="48"/>
        <v>0</v>
      </c>
    </row>
    <row r="156" spans="1:21" x14ac:dyDescent="0.25">
      <c r="A156" s="275" t="s">
        <v>246</v>
      </c>
      <c r="B156" s="298"/>
      <c r="C156" s="263">
        <f t="shared" ref="C156:U156" si="49">C$21*cmg_cotis_assmat</f>
        <v>0</v>
      </c>
      <c r="D156" s="263">
        <f t="shared" si="49"/>
        <v>0</v>
      </c>
      <c r="E156" s="263">
        <f t="shared" si="49"/>
        <v>0</v>
      </c>
      <c r="F156" s="263">
        <f t="shared" si="49"/>
        <v>0</v>
      </c>
      <c r="H156" s="263">
        <f t="shared" si="49"/>
        <v>0</v>
      </c>
      <c r="I156" s="263">
        <f t="shared" si="49"/>
        <v>0</v>
      </c>
      <c r="J156" s="263">
        <f t="shared" si="49"/>
        <v>0</v>
      </c>
      <c r="K156" s="263">
        <f t="shared" si="49"/>
        <v>0</v>
      </c>
      <c r="M156" s="263">
        <f t="shared" si="49"/>
        <v>0</v>
      </c>
      <c r="N156" s="263">
        <f t="shared" si="49"/>
        <v>0</v>
      </c>
      <c r="O156" s="263">
        <f t="shared" si="49"/>
        <v>0</v>
      </c>
      <c r="P156" s="263">
        <f t="shared" si="49"/>
        <v>0</v>
      </c>
      <c r="R156" s="263">
        <f t="shared" si="49"/>
        <v>0</v>
      </c>
      <c r="S156" s="263">
        <f t="shared" si="49"/>
        <v>0</v>
      </c>
      <c r="T156" s="263">
        <f t="shared" si="49"/>
        <v>0</v>
      </c>
      <c r="U156" s="263">
        <f t="shared" si="49"/>
        <v>0</v>
      </c>
    </row>
    <row r="157" spans="1:21" ht="13" thickBot="1" x14ac:dyDescent="0.3">
      <c r="A157" s="279" t="s">
        <v>247</v>
      </c>
      <c r="B157" s="307"/>
      <c r="C157" s="285">
        <f>MAX(0,C$21*irpp_cout_net_assmat-C$66)</f>
        <v>0</v>
      </c>
      <c r="D157" s="285">
        <f>MAX(0,D$21*irpp_cout_net_assmat-D$66)</f>
        <v>0</v>
      </c>
      <c r="E157" s="285">
        <f>MAX(0,E$21*irpp_cout_net_assmat-E$66)</f>
        <v>0</v>
      </c>
      <c r="F157" s="285">
        <f>MAX(0,F$21*irpp_cout_net_assmat-F$66)</f>
        <v>0</v>
      </c>
      <c r="H157" s="285">
        <f>MAX(0,H$21*irpp_cout_net_assmat-H$66)</f>
        <v>0</v>
      </c>
      <c r="I157" s="285">
        <f>MAX(0,I$21*irpp_cout_net_assmat-I$66)</f>
        <v>0</v>
      </c>
      <c r="J157" s="285">
        <f>MAX(0,J$21*irpp_cout_net_assmat-J$66)</f>
        <v>0</v>
      </c>
      <c r="K157" s="285">
        <f>MAX(0,K$21*irpp_cout_net_assmat-K$66)</f>
        <v>0</v>
      </c>
      <c r="M157" s="285">
        <f>MAX(0,M$21*irpp_cout_net_assmat-M$66)</f>
        <v>0</v>
      </c>
      <c r="N157" s="285">
        <f>MAX(0,N$21*irpp_cout_net_assmat-N$66)</f>
        <v>0</v>
      </c>
      <c r="O157" s="285">
        <f>MAX(0,O$21*irpp_cout_net_assmat-O$66)</f>
        <v>0</v>
      </c>
      <c r="P157" s="285">
        <f>MAX(0,P$21*irpp_cout_net_assmat-P$66)</f>
        <v>0</v>
      </c>
      <c r="R157" s="285">
        <f>MAX(0,R$21*irpp_cout_net_assmat-R$66)</f>
        <v>0</v>
      </c>
      <c r="S157" s="285">
        <f>MAX(0,S$21*irpp_cout_net_assmat-S$66)</f>
        <v>0</v>
      </c>
      <c r="T157" s="285">
        <f>MAX(0,T$21*irpp_cout_net_assmat-T$66)</f>
        <v>0</v>
      </c>
      <c r="U157" s="285">
        <f>MAX(0,U$21*irpp_cout_net_assmat-U$66)</f>
        <v>0</v>
      </c>
    </row>
    <row r="158" spans="1:21" x14ac:dyDescent="0.25">
      <c r="A158" s="10"/>
      <c r="B158" s="261"/>
      <c r="C158" s="201"/>
      <c r="D158" s="201"/>
      <c r="E158" s="201"/>
      <c r="F158" s="201"/>
      <c r="H158" s="201"/>
      <c r="I158" s="201"/>
      <c r="J158" s="201"/>
      <c r="K158" s="201"/>
      <c r="M158" s="201"/>
      <c r="N158" s="201"/>
      <c r="O158" s="201"/>
      <c r="P158" s="201"/>
      <c r="R158" s="201"/>
      <c r="S158" s="201"/>
      <c r="T158" s="201"/>
      <c r="U158" s="201"/>
    </row>
    <row r="159" spans="1:21" ht="13.5" thickBot="1" x14ac:dyDescent="0.35">
      <c r="A159" s="295" t="s">
        <v>248</v>
      </c>
      <c r="B159" s="261"/>
      <c r="C159" s="303"/>
      <c r="D159" s="303"/>
      <c r="E159" s="303"/>
      <c r="F159" s="303"/>
      <c r="H159" s="303"/>
      <c r="I159" s="303"/>
      <c r="J159" s="303"/>
      <c r="K159" s="303"/>
      <c r="M159" s="303"/>
      <c r="N159" s="303"/>
      <c r="O159" s="303"/>
      <c r="P159" s="303"/>
      <c r="R159" s="303"/>
      <c r="S159" s="303"/>
      <c r="T159" s="303"/>
      <c r="U159" s="303"/>
    </row>
    <row r="160" spans="1:21" x14ac:dyDescent="0.25">
      <c r="A160" s="282" t="s">
        <v>249</v>
      </c>
      <c r="B160" s="304"/>
      <c r="C160" s="284">
        <f t="shared" ref="C160:U160" si="50">(C$22+C$23/2)*(cmg_cout_net_gdom+cmg_cotis_gdom)</f>
        <v>0</v>
      </c>
      <c r="D160" s="284">
        <f t="shared" si="50"/>
        <v>0</v>
      </c>
      <c r="E160" s="284">
        <f t="shared" si="50"/>
        <v>0</v>
      </c>
      <c r="F160" s="284">
        <f t="shared" si="50"/>
        <v>0</v>
      </c>
      <c r="H160" s="284">
        <f t="shared" si="50"/>
        <v>0</v>
      </c>
      <c r="I160" s="284">
        <f t="shared" si="50"/>
        <v>0</v>
      </c>
      <c r="J160" s="284">
        <f t="shared" si="50"/>
        <v>0</v>
      </c>
      <c r="K160" s="284">
        <f t="shared" si="50"/>
        <v>0</v>
      </c>
      <c r="M160" s="284">
        <f t="shared" si="50"/>
        <v>0</v>
      </c>
      <c r="N160" s="284">
        <f t="shared" si="50"/>
        <v>0</v>
      </c>
      <c r="O160" s="284">
        <f t="shared" si="50"/>
        <v>0</v>
      </c>
      <c r="P160" s="284">
        <f t="shared" si="50"/>
        <v>0</v>
      </c>
      <c r="R160" s="284">
        <f t="shared" si="50"/>
        <v>0</v>
      </c>
      <c r="S160" s="284">
        <f t="shared" si="50"/>
        <v>0</v>
      </c>
      <c r="T160" s="284">
        <f t="shared" si="50"/>
        <v>0</v>
      </c>
      <c r="U160" s="284">
        <f t="shared" si="50"/>
        <v>0</v>
      </c>
    </row>
    <row r="161" spans="1:21" x14ac:dyDescent="0.25">
      <c r="A161" s="275" t="s">
        <v>246</v>
      </c>
      <c r="B161" s="261"/>
      <c r="C161" s="263">
        <f t="shared" ref="C161:U161" si="51">MIN(0.5*(C$22+C$23/2)*(cmg_cotis_gdom),cmg_max_pccs_gdom)</f>
        <v>0</v>
      </c>
      <c r="D161" s="263">
        <f t="shared" si="51"/>
        <v>0</v>
      </c>
      <c r="E161" s="263">
        <f t="shared" si="51"/>
        <v>0</v>
      </c>
      <c r="F161" s="263">
        <f t="shared" si="51"/>
        <v>0</v>
      </c>
      <c r="H161" s="263">
        <f t="shared" si="51"/>
        <v>0</v>
      </c>
      <c r="I161" s="263">
        <f t="shared" si="51"/>
        <v>0</v>
      </c>
      <c r="J161" s="263">
        <f t="shared" si="51"/>
        <v>0</v>
      </c>
      <c r="K161" s="263">
        <f t="shared" si="51"/>
        <v>0</v>
      </c>
      <c r="M161" s="263">
        <f t="shared" si="51"/>
        <v>0</v>
      </c>
      <c r="N161" s="263">
        <f t="shared" si="51"/>
        <v>0</v>
      </c>
      <c r="O161" s="263">
        <f t="shared" si="51"/>
        <v>0</v>
      </c>
      <c r="P161" s="263">
        <f t="shared" si="51"/>
        <v>0</v>
      </c>
      <c r="R161" s="263">
        <f t="shared" si="51"/>
        <v>0</v>
      </c>
      <c r="S161" s="263">
        <f t="shared" si="51"/>
        <v>0</v>
      </c>
      <c r="T161" s="263">
        <f t="shared" si="51"/>
        <v>0</v>
      </c>
      <c r="U161" s="263">
        <f t="shared" si="51"/>
        <v>0</v>
      </c>
    </row>
    <row r="162" spans="1:21" x14ac:dyDescent="0.25">
      <c r="A162" s="275" t="s">
        <v>250</v>
      </c>
      <c r="B162" s="261"/>
      <c r="C162" s="263">
        <f t="shared" ref="C162:U162" si="52">(C$22+C$23/2)*(cmg_cout_net_gdom)</f>
        <v>0</v>
      </c>
      <c r="D162" s="263">
        <f t="shared" si="52"/>
        <v>0</v>
      </c>
      <c r="E162" s="263">
        <f t="shared" si="52"/>
        <v>0</v>
      </c>
      <c r="F162" s="263">
        <f t="shared" si="52"/>
        <v>0</v>
      </c>
      <c r="H162" s="263">
        <f t="shared" si="52"/>
        <v>0</v>
      </c>
      <c r="I162" s="263">
        <f t="shared" si="52"/>
        <v>0</v>
      </c>
      <c r="J162" s="263">
        <f t="shared" si="52"/>
        <v>0</v>
      </c>
      <c r="K162" s="263">
        <f t="shared" si="52"/>
        <v>0</v>
      </c>
      <c r="M162" s="263">
        <f t="shared" si="52"/>
        <v>0</v>
      </c>
      <c r="N162" s="263">
        <f t="shared" si="52"/>
        <v>0</v>
      </c>
      <c r="O162" s="263">
        <f t="shared" si="52"/>
        <v>0</v>
      </c>
      <c r="P162" s="263">
        <f t="shared" si="52"/>
        <v>0</v>
      </c>
      <c r="R162" s="263">
        <f t="shared" si="52"/>
        <v>0</v>
      </c>
      <c r="S162" s="263">
        <f t="shared" si="52"/>
        <v>0</v>
      </c>
      <c r="T162" s="263">
        <f t="shared" si="52"/>
        <v>0</v>
      </c>
      <c r="U162" s="263">
        <f t="shared" si="52"/>
        <v>0</v>
      </c>
    </row>
    <row r="163" spans="1:21" ht="13" thickBot="1" x14ac:dyDescent="0.3">
      <c r="A163" s="279" t="s">
        <v>247</v>
      </c>
      <c r="B163" s="305"/>
      <c r="C163" s="285">
        <f>MAX(0,C$160-C$161-C$66)</f>
        <v>0</v>
      </c>
      <c r="D163" s="285">
        <f>MAX(0,D$160-D$161-D$66)</f>
        <v>0</v>
      </c>
      <c r="E163" s="285">
        <f>MAX(0,E$160-E$161-E$66)</f>
        <v>0</v>
      </c>
      <c r="F163" s="285">
        <f>MAX(0,F$160-F$161-F$66)</f>
        <v>0</v>
      </c>
      <c r="H163" s="285">
        <f>MAX(0,H$160-H$161-H$66)</f>
        <v>0</v>
      </c>
      <c r="I163" s="285">
        <f>MAX(0,I$160-I$161-I$66)</f>
        <v>0</v>
      </c>
      <c r="J163" s="285">
        <f>MAX(0,J$160-J$161-J$66)</f>
        <v>0</v>
      </c>
      <c r="K163" s="285">
        <f>MAX(0,K$160-K$161-K$66)</f>
        <v>0</v>
      </c>
      <c r="M163" s="285">
        <f>MAX(0,M$160-M$161-M$66)</f>
        <v>0</v>
      </c>
      <c r="N163" s="285">
        <f>MAX(0,N$160-N$161-N$66)</f>
        <v>0</v>
      </c>
      <c r="O163" s="285">
        <f>MAX(0,O$160-O$161-O$66)</f>
        <v>0</v>
      </c>
      <c r="P163" s="285">
        <f>MAX(0,P$160-P$161-P$66)</f>
        <v>0</v>
      </c>
      <c r="R163" s="285">
        <f>MAX(0,R$160-R$161-R$66)</f>
        <v>0</v>
      </c>
      <c r="S163" s="285">
        <f>MAX(0,S$160-S$161-S$66)</f>
        <v>0</v>
      </c>
      <c r="T163" s="285">
        <f>MAX(0,T$160-T$161-T$66)</f>
        <v>0</v>
      </c>
      <c r="U163" s="285">
        <f>MAX(0,U$160-U$161-U$66)</f>
        <v>0</v>
      </c>
    </row>
    <row r="164" spans="1:21" x14ac:dyDescent="0.25">
      <c r="A164" s="10"/>
      <c r="B164" s="261"/>
      <c r="C164" s="303"/>
      <c r="D164" s="303"/>
      <c r="E164" s="303"/>
      <c r="F164" s="303"/>
      <c r="H164" s="303"/>
      <c r="I164" s="303"/>
      <c r="J164" s="303"/>
      <c r="K164" s="303"/>
      <c r="M164" s="303"/>
      <c r="N164" s="303"/>
      <c r="O164" s="303"/>
      <c r="P164" s="303"/>
      <c r="R164" s="303"/>
      <c r="S164" s="303"/>
      <c r="T164" s="303"/>
      <c r="U164" s="303"/>
    </row>
    <row r="165" spans="1:21" ht="13.5" thickBot="1" x14ac:dyDescent="0.35">
      <c r="A165" s="295" t="s">
        <v>291</v>
      </c>
      <c r="B165" s="261"/>
      <c r="C165" s="303"/>
      <c r="D165" s="303"/>
      <c r="E165" s="303"/>
      <c r="F165" s="303"/>
      <c r="H165" s="303"/>
      <c r="I165" s="303"/>
      <c r="J165" s="303"/>
      <c r="K165" s="303"/>
      <c r="M165" s="303"/>
      <c r="N165" s="303"/>
      <c r="O165" s="303"/>
      <c r="P165" s="303"/>
      <c r="R165" s="303"/>
      <c r="S165" s="303"/>
      <c r="T165" s="303"/>
      <c r="U165" s="303"/>
    </row>
    <row r="166" spans="1:21" ht="13" thickBot="1" x14ac:dyDescent="0.3">
      <c r="A166" s="311" t="s">
        <v>289</v>
      </c>
      <c r="B166" s="312"/>
      <c r="C166" s="313">
        <f>(C$99&gt;0)*IF(C$3="isolé",(1+cmg_majo_plaf_isolé),1)*((C$122=1)*cmg_plaf_inter_1_enf+(C$122&gt;=2)*(cmg_plaf_inter_2_enf+cmg_plaf_inter_sup_enf*(C$122-2)))</f>
        <v>0</v>
      </c>
      <c r="D166" s="313">
        <f>(D$99&gt;0)*IF(D$3="isolé",(1+cmg_majo_plaf_isolé),1)*((D$122=1)*cmg_plaf_inter_1_enf+(D$122&gt;=2)*(cmg_plaf_inter_2_enf+cmg_plaf_inter_sup_enf*(D$122-2)))</f>
        <v>0</v>
      </c>
      <c r="E166" s="313">
        <f>(E$99&gt;0)*IF(E$3="isolé",(1+cmg_majo_plaf_isolé),1)*((E$122=1)*cmg_plaf_inter_1_enf+(E$122&gt;=2)*(cmg_plaf_inter_2_enf+cmg_plaf_inter_sup_enf*(E$122-2)))</f>
        <v>0</v>
      </c>
      <c r="F166" s="313">
        <f>(F$99&gt;0)*IF(F$3="isolé",(1+cmg_majo_plaf_isolé),1)*((F$122=1)*cmg_plaf_inter_1_enf+(F$122&gt;=2)*(cmg_plaf_inter_2_enf+cmg_plaf_inter_sup_enf*(F$122-2)))</f>
        <v>0</v>
      </c>
      <c r="H166" s="313">
        <f>(H$99&gt;0)*IF(H$3="isolé",(1+cmg_majo_plaf_isolé),1)*((H$122=1)*cmg_plaf_inter_1_enf+(H$122&gt;=2)*(cmg_plaf_inter_2_enf+cmg_plaf_inter_sup_enf*(H$122-2)))</f>
        <v>50686</v>
      </c>
      <c r="I166" s="313">
        <f>(I$99&gt;0)*IF(I$3="isolé",(1+cmg_majo_plaf_isolé),1)*((I$122=1)*cmg_plaf_inter_1_enf+(I$122&gt;=2)*(cmg_plaf_inter_2_enf+cmg_plaf_inter_sup_enf*(I$122-2)))</f>
        <v>50686</v>
      </c>
      <c r="J166" s="313">
        <f>(J$99&gt;0)*IF(J$3="isolé",(1+cmg_majo_plaf_isolé),1)*((J$122=1)*cmg_plaf_inter_1_enf+(J$122&gt;=2)*(cmg_plaf_inter_2_enf+cmg_plaf_inter_sup_enf*(J$122-2)))</f>
        <v>50686</v>
      </c>
      <c r="K166" s="313">
        <f>(K$99&gt;0)*IF(K$3="isolé",(1+cmg_majo_plaf_isolé),1)*((K$122=1)*cmg_plaf_inter_1_enf+(K$122&gt;=2)*(cmg_plaf_inter_2_enf+cmg_plaf_inter_sup_enf*(K$122-2)))</f>
        <v>50686</v>
      </c>
      <c r="M166" s="313">
        <f>(M$99&gt;0)*IF(M$3="isolé",(1+cmg_majo_plaf_isolé),1)*((M$122=1)*cmg_plaf_inter_1_enf+(M$122&gt;=2)*(cmg_plaf_inter_2_enf+cmg_plaf_inter_sup_enf*(M$122-2)))</f>
        <v>57881</v>
      </c>
      <c r="N166" s="313">
        <f>(N$99&gt;0)*IF(N$3="isolé",(1+cmg_majo_plaf_isolé),1)*((N$122=1)*cmg_plaf_inter_1_enf+(N$122&gt;=2)*(cmg_plaf_inter_2_enf+cmg_plaf_inter_sup_enf*(N$122-2)))</f>
        <v>57881</v>
      </c>
      <c r="O166" s="313">
        <f>(O$99&gt;0)*IF(O$3="isolé",(1+cmg_majo_plaf_isolé),1)*((O$122=1)*cmg_plaf_inter_1_enf+(O$122&gt;=2)*(cmg_plaf_inter_2_enf+cmg_plaf_inter_sup_enf*(O$122-2)))</f>
        <v>57881</v>
      </c>
      <c r="P166" s="313">
        <f>(P$99&gt;0)*IF(P$3="isolé",(1+cmg_majo_plaf_isolé),1)*((P$122=1)*cmg_plaf_inter_1_enf+(P$122&gt;=2)*(cmg_plaf_inter_2_enf+cmg_plaf_inter_sup_enf*(P$122-2)))</f>
        <v>57881</v>
      </c>
      <c r="R166" s="313">
        <f>(R$99&gt;0)*IF(R$3="isolé",(1+cmg_majo_plaf_isolé),1)*((R$122=1)*cmg_plaf_inter_1_enf+(R$122&gt;=2)*(cmg_plaf_inter_2_enf+cmg_plaf_inter_sup_enf*(R$122-2)))</f>
        <v>65076</v>
      </c>
      <c r="S166" s="313">
        <f>(S$99&gt;0)*IF(S$3="isolé",(1+cmg_majo_plaf_isolé),1)*((S$122=1)*cmg_plaf_inter_1_enf+(S$122&gt;=2)*(cmg_plaf_inter_2_enf+cmg_plaf_inter_sup_enf*(S$122-2)))</f>
        <v>65076</v>
      </c>
      <c r="T166" s="313">
        <f>(T$99&gt;0)*IF(T$3="isolé",(1+cmg_majo_plaf_isolé),1)*((T$122=1)*cmg_plaf_inter_1_enf+(T$122&gt;=2)*(cmg_plaf_inter_2_enf+cmg_plaf_inter_sup_enf*(T$122-2)))</f>
        <v>65076</v>
      </c>
      <c r="U166" s="313">
        <f>(U$99&gt;0)*IF(U$3="isolé",(1+cmg_majo_plaf_isolé),1)*((U$122=1)*cmg_plaf_inter_1_enf+(U$122&gt;=2)*(cmg_plaf_inter_2_enf+cmg_plaf_inter_sup_enf*(U$122-2)))</f>
        <v>65076</v>
      </c>
    </row>
    <row r="167" spans="1:21" x14ac:dyDescent="0.25">
      <c r="B167" s="261"/>
      <c r="C167" s="303"/>
      <c r="D167" s="303"/>
      <c r="E167" s="303"/>
      <c r="F167" s="303"/>
      <c r="H167" s="303"/>
      <c r="I167" s="303"/>
      <c r="J167" s="303"/>
      <c r="K167" s="303"/>
      <c r="M167" s="303"/>
      <c r="N167" s="303"/>
      <c r="O167" s="303"/>
      <c r="P167" s="303"/>
      <c r="R167" s="303"/>
      <c r="S167" s="303"/>
      <c r="T167" s="303"/>
      <c r="U167" s="303"/>
    </row>
    <row r="168" spans="1:21" ht="13.5" thickBot="1" x14ac:dyDescent="0.35">
      <c r="A168" s="295" t="s">
        <v>273</v>
      </c>
      <c r="B168" s="261"/>
      <c r="C168" s="303"/>
      <c r="D168" s="303"/>
      <c r="E168" s="303"/>
      <c r="F168" s="303"/>
      <c r="H168" s="303"/>
      <c r="I168" s="303"/>
      <c r="J168" s="303"/>
      <c r="K168" s="303"/>
      <c r="M168" s="303"/>
      <c r="N168" s="303"/>
      <c r="O168" s="303"/>
      <c r="P168" s="303"/>
      <c r="R168" s="303"/>
      <c r="S168" s="303"/>
      <c r="T168" s="303"/>
      <c r="U168" s="303"/>
    </row>
    <row r="169" spans="1:21" ht="13.5" thickBot="1" x14ac:dyDescent="0.35">
      <c r="A169" s="311" t="s">
        <v>290</v>
      </c>
      <c r="B169" s="314"/>
      <c r="C169" s="315">
        <f>(C$24*((C$122=1)*creche_coef_1_enf+(C$122=2)*creche_coef_2_enf+(C$122=3)*creche_coef_3_enf+(C$122&gt;3)*creche_coef_4_enf)*MAX(creche_plancher_ressource,MIN(creche_plafond_ressources,C$119/12)))/12</f>
        <v>0</v>
      </c>
      <c r="D169" s="315">
        <f>(D$24*((D$122=1)*creche_coef_1_enf+(D$122=2)*creche_coef_2_enf+(D$122=3)*creche_coef_3_enf+(D$122&gt;3)*creche_coef_4_enf)*MAX(creche_plancher_ressource,MIN(creche_plafond_ressources,D$119/12)))/12</f>
        <v>0</v>
      </c>
      <c r="E169" s="315">
        <f>(E$24*((E$122=1)*creche_coef_1_enf+(E$122=2)*creche_coef_2_enf+(E$122=3)*creche_coef_3_enf+(E$122&gt;3)*creche_coef_4_enf)*MAX(creche_plancher_ressource,MIN(creche_plafond_ressources,E$119/12)))/12</f>
        <v>0</v>
      </c>
      <c r="F169" s="315">
        <f>(F$24*((F$122=1)*creche_coef_1_enf+(F$122=2)*creche_coef_2_enf+(F$122=3)*creche_coef_3_enf+(F$122&gt;3)*creche_coef_4_enf)*MAX(creche_plancher_ressource,MIN(creche_plafond_ressources,F$119/12)))/12</f>
        <v>0</v>
      </c>
      <c r="H169" s="315">
        <f>(H$24*((H$122=1)*creche_coef_1_enf+(H$122=2)*creche_coef_2_enf+(H$122=3)*creche_coef_3_enf+(H$122&gt;3)*creche_coef_4_enf)*MAX(creche_plancher_ressource,MIN(creche_plafond_ressources,H$119/12)))/12</f>
        <v>0</v>
      </c>
      <c r="I169" s="315">
        <f>(I$24*((I$122=1)*creche_coef_1_enf+(I$122=2)*creche_coef_2_enf+(I$122=3)*creche_coef_3_enf+(I$122&gt;3)*creche_coef_4_enf)*MAX(creche_plancher_ressource,MIN(creche_plafond_ressources,I$119/12)))/12</f>
        <v>0</v>
      </c>
      <c r="J169" s="315">
        <f>(J$24*((J$122=1)*creche_coef_1_enf+(J$122=2)*creche_coef_2_enf+(J$122=3)*creche_coef_3_enf+(J$122&gt;3)*creche_coef_4_enf)*MAX(creche_plancher_ressource,MIN(creche_plafond_ressources,J$119/12)))/12</f>
        <v>0</v>
      </c>
      <c r="K169" s="315">
        <f>(K$24*((K$122=1)*creche_coef_1_enf+(K$122=2)*creche_coef_2_enf+(K$122=3)*creche_coef_3_enf+(K$122&gt;3)*creche_coef_4_enf)*MAX(creche_plancher_ressource,MIN(creche_plafond_ressources,K$119/12)))/12</f>
        <v>0</v>
      </c>
      <c r="M169" s="315">
        <f>(M$24*((M$122=1)*creche_coef_1_enf+(M$122=2)*creche_coef_2_enf+(M$122=3)*creche_coef_3_enf+(M$122&gt;3)*creche_coef_4_enf)*MAX(creche_plancher_ressource,MIN(creche_plafond_ressources,M$119/12)))/12</f>
        <v>0</v>
      </c>
      <c r="N169" s="315">
        <f>(N$24*((N$122=1)*creche_coef_1_enf+(N$122=2)*creche_coef_2_enf+(N$122=3)*creche_coef_3_enf+(N$122&gt;3)*creche_coef_4_enf)*MAX(creche_plancher_ressource,MIN(creche_plafond_ressources,N$119/12)))/12</f>
        <v>0</v>
      </c>
      <c r="O169" s="315">
        <f>(O$24*((O$122=1)*creche_coef_1_enf+(O$122=2)*creche_coef_2_enf+(O$122=3)*creche_coef_3_enf+(O$122&gt;3)*creche_coef_4_enf)*MAX(creche_plancher_ressource,MIN(creche_plafond_ressources,O$119/12)))/12</f>
        <v>0</v>
      </c>
      <c r="P169" s="315">
        <f>(P$24*((P$122=1)*creche_coef_1_enf+(P$122=2)*creche_coef_2_enf+(P$122=3)*creche_coef_3_enf+(P$122&gt;3)*creche_coef_4_enf)*MAX(creche_plancher_ressource,MIN(creche_plafond_ressources,P$119/12)))/12</f>
        <v>0</v>
      </c>
      <c r="R169" s="315">
        <f>(R$24*((R$122=1)*creche_coef_1_enf+(R$122=2)*creche_coef_2_enf+(R$122=3)*creche_coef_3_enf+(R$122&gt;3)*creche_coef_4_enf)*MAX(creche_plancher_ressource,MIN(creche_plafond_ressources,R$119/12)))/12</f>
        <v>0</v>
      </c>
      <c r="S169" s="315">
        <f>(S$24*((S$122=1)*creche_coef_1_enf+(S$122=2)*creche_coef_2_enf+(S$122=3)*creche_coef_3_enf+(S$122&gt;3)*creche_coef_4_enf)*MAX(creche_plancher_ressource,MIN(creche_plafond_ressources,S$119/12)))/12</f>
        <v>0</v>
      </c>
      <c r="T169" s="315">
        <f>(T$24*((T$122=1)*creche_coef_1_enf+(T$122=2)*creche_coef_2_enf+(T$122=3)*creche_coef_3_enf+(T$122&gt;3)*creche_coef_4_enf)*MAX(creche_plancher_ressource,MIN(creche_plafond_ressources,T$119/12)))/12</f>
        <v>0</v>
      </c>
      <c r="U169" s="315">
        <f>(U$24*((U$122=1)*creche_coef_1_enf+(U$122=2)*creche_coef_2_enf+(U$122=3)*creche_coef_3_enf+(U$122&gt;3)*creche_coef_4_enf)*MAX(creche_plancher_ressource,MIN(creche_plafond_ressources,U$119/12)))/12</f>
        <v>0</v>
      </c>
    </row>
    <row r="170" spans="1:21" x14ac:dyDescent="0.25">
      <c r="A170" s="372" t="s">
        <v>499</v>
      </c>
      <c r="C170" s="201"/>
      <c r="D170" s="201"/>
      <c r="E170" s="201"/>
      <c r="F170" s="201"/>
      <c r="H170" s="201"/>
      <c r="I170" s="201"/>
      <c r="J170" s="201"/>
      <c r="K170" s="201"/>
      <c r="M170" s="201"/>
      <c r="N170" s="201"/>
      <c r="O170" s="201"/>
      <c r="P170" s="201"/>
      <c r="R170" s="201"/>
      <c r="S170" s="201"/>
      <c r="T170" s="201"/>
      <c r="U170" s="201"/>
    </row>
    <row r="171" spans="1:21" ht="13.5" thickBot="1" x14ac:dyDescent="0.35">
      <c r="A171" s="295" t="s">
        <v>498</v>
      </c>
      <c r="B171" s="259"/>
    </row>
    <row r="172" spans="1:21" ht="13" x14ac:dyDescent="0.3">
      <c r="A172" s="286" t="s">
        <v>431</v>
      </c>
      <c r="B172" s="287"/>
      <c r="C172" s="432">
        <f>MAX(0,(Coef_impot/evol_smic)*C$58-MAX(irpp_min_reduc_fp,MIN(irpp_max_reduc_fp,irpp_taux_reduc_fp*(Coef_impot/evol_smic)*C$58)))
+(MAX(0,12*C$52-MAX(irpp_min_reduc_pens,MIN(irpp_max_reduc_pens,irpp_taux_reduc_pens*12*C$52)))
 -12*C$53)*(C$13&lt;&gt;"ga_m")*(C$13&lt;&gt;"ga_p")</f>
        <v>0</v>
      </c>
      <c r="D172" s="432">
        <f>MAX(0,(Coef_impot/evol_smic)*D$58-MAX(irpp_min_reduc_fp,MIN(irpp_max_reduc_fp,irpp_taux_reduc_fp*(Coef_impot/evol_smic)*D$58)))
+(MAX(0,12*D$52-MAX(irpp_min_reduc_pens,MIN(irpp_max_reduc_pens,irpp_taux_reduc_pens*12*D$52)))
 -12*D$53)*(D$13&lt;&gt;"ga_m")*(D$13&lt;&gt;"ga_p")</f>
        <v>7575.6173818363923</v>
      </c>
      <c r="E172" s="432">
        <f>MAX(0,(Coef_impot/evol_smic)*E$58-MAX(irpp_min_reduc_fp,MIN(irpp_max_reduc_fp,irpp_taux_reduc_fp*(Coef_impot/evol_smic)*E$58)))
+(MAX(0,12*E$52-MAX(irpp_min_reduc_pens,MIN(irpp_max_reduc_pens,irpp_taux_reduc_pens*12*E$52)))
 -12*E$53)*(E$13&lt;&gt;"ga_m")*(E$13&lt;&gt;"ga_p")</f>
        <v>15151.234763672785</v>
      </c>
      <c r="F172" s="432">
        <f>MAX(0,(Coef_impot/evol_smic)*F$58-MAX(irpp_min_reduc_fp,MIN(irpp_max_reduc_fp,irpp_taux_reduc_fp*(Coef_impot/evol_smic)*F$58)))
+(MAX(0,12*F$52-MAX(irpp_min_reduc_pens,MIN(irpp_max_reduc_pens,irpp_taux_reduc_pens*12*F$52)))
 -12*F$53)*(F$13&lt;&gt;"ga_m")*(F$13&lt;&gt;"ga_p")</f>
        <v>22726.852145509176</v>
      </c>
      <c r="H172" s="432">
        <f>MAX(0,(Coef_impot/evol_smic)*H$58-MAX(irpp_min_reduc_fp,MIN(irpp_max_reduc_fp,irpp_taux_reduc_fp*(Coef_impot/evol_smic)*H$58)))
+(MAX(0,12*H$52-MAX(irpp_min_reduc_pens,MIN(irpp_max_reduc_pens,irpp_taux_reduc_pens*12*H$52)))
 -12*H$53)*(H$13&lt;&gt;"ga_m")*(H$13&lt;&gt;"ga_p")</f>
        <v>0</v>
      </c>
      <c r="I172" s="432">
        <f>MAX(0,(Coef_impot/evol_smic)*I$58-MAX(irpp_min_reduc_fp,MIN(irpp_max_reduc_fp,irpp_taux_reduc_fp*(Coef_impot/evol_smic)*I$58)))
+(MAX(0,12*I$52-MAX(irpp_min_reduc_pens,MIN(irpp_max_reduc_pens,irpp_taux_reduc_pens*12*I$52)))
 -12*I$53)*(I$13&lt;&gt;"ga_m")*(I$13&lt;&gt;"ga_p")</f>
        <v>7575.6173818363923</v>
      </c>
      <c r="J172" s="432">
        <f>MAX(0,(Coef_impot/evol_smic)*J$58-MAX(irpp_min_reduc_fp,MIN(irpp_max_reduc_fp,irpp_taux_reduc_fp*(Coef_impot/evol_smic)*J$58)))
+(MAX(0,12*J$52-MAX(irpp_min_reduc_pens,MIN(irpp_max_reduc_pens,irpp_taux_reduc_pens*12*J$52)))
 -12*J$53)*(J$13&lt;&gt;"ga_m")*(J$13&lt;&gt;"ga_p")</f>
        <v>15151.234763672785</v>
      </c>
      <c r="K172" s="432">
        <f>MAX(0,(Coef_impot/evol_smic)*K$58-MAX(irpp_min_reduc_fp,MIN(irpp_max_reduc_fp,irpp_taux_reduc_fp*(Coef_impot/evol_smic)*K$58)))
+(MAX(0,12*K$52-MAX(irpp_min_reduc_pens,MIN(irpp_max_reduc_pens,irpp_taux_reduc_pens*12*K$52)))
 -12*K$53)*(K$13&lt;&gt;"ga_m")*(K$13&lt;&gt;"ga_p")</f>
        <v>22726.852145509176</v>
      </c>
      <c r="M172" s="432">
        <f>MAX(0,(Coef_impot/evol_smic)*M$58-MAX(irpp_min_reduc_fp,MIN(irpp_max_reduc_fp,irpp_taux_reduc_fp*(Coef_impot/evol_smic)*M$58)))
+(MAX(0,12*M$52-MAX(irpp_min_reduc_pens,MIN(irpp_max_reduc_pens,irpp_taux_reduc_pens*12*M$52)))
 -12*M$53)*(M$13&lt;&gt;"ga_m")*(M$13&lt;&gt;"ga_p")</f>
        <v>0</v>
      </c>
      <c r="N172" s="432">
        <f>MAX(0,(Coef_impot/evol_smic)*N$58-MAX(irpp_min_reduc_fp,MIN(irpp_max_reduc_fp,irpp_taux_reduc_fp*(Coef_impot/evol_smic)*N$58)))
+(MAX(0,12*N$52-MAX(irpp_min_reduc_pens,MIN(irpp_max_reduc_pens,irpp_taux_reduc_pens*12*N$52)))
 -12*N$53)*(N$13&lt;&gt;"ga_m")*(N$13&lt;&gt;"ga_p")</f>
        <v>7575.6173818363923</v>
      </c>
      <c r="O172" s="432">
        <f>MAX(0,(Coef_impot/evol_smic)*O$58-MAX(irpp_min_reduc_fp,MIN(irpp_max_reduc_fp,irpp_taux_reduc_fp*(Coef_impot/evol_smic)*O$58)))
+(MAX(0,12*O$52-MAX(irpp_min_reduc_pens,MIN(irpp_max_reduc_pens,irpp_taux_reduc_pens*12*O$52)))
 -12*O$53)*(O$13&lt;&gt;"ga_m")*(O$13&lt;&gt;"ga_p")</f>
        <v>15151.234763672785</v>
      </c>
      <c r="P172" s="432">
        <f>MAX(0,(Coef_impot/evol_smic)*P$58-MAX(irpp_min_reduc_fp,MIN(irpp_max_reduc_fp,irpp_taux_reduc_fp*(Coef_impot/evol_smic)*P$58)))
+(MAX(0,12*P$52-MAX(irpp_min_reduc_pens,MIN(irpp_max_reduc_pens,irpp_taux_reduc_pens*12*P$52)))
 -12*P$53)*(P$13&lt;&gt;"ga_m")*(P$13&lt;&gt;"ga_p")</f>
        <v>22726.852145509176</v>
      </c>
      <c r="R172" s="432">
        <f>MAX(0,(Coef_impot/evol_smic)*R$58-MAX(irpp_min_reduc_fp,MIN(irpp_max_reduc_fp,irpp_taux_reduc_fp*(Coef_impot/evol_smic)*R$58)))
+(MAX(0,12*R$52-MAX(irpp_min_reduc_pens,MIN(irpp_max_reduc_pens,irpp_taux_reduc_pens*12*R$52)))
 -12*R$53)*(R$13&lt;&gt;"ga_m")*(R$13&lt;&gt;"ga_p")</f>
        <v>0</v>
      </c>
      <c r="S172" s="432">
        <f>MAX(0,(Coef_impot/evol_smic)*S$58-MAX(irpp_min_reduc_fp,MIN(irpp_max_reduc_fp,irpp_taux_reduc_fp*(Coef_impot/evol_smic)*S$58)))
+(MAX(0,12*S$52-MAX(irpp_min_reduc_pens,MIN(irpp_max_reduc_pens,irpp_taux_reduc_pens*12*S$52)))
 -12*S$53)*(S$13&lt;&gt;"ga_m")*(S$13&lt;&gt;"ga_p")</f>
        <v>7575.6173818363923</v>
      </c>
      <c r="T172" s="432">
        <f>MAX(0,(Coef_impot/evol_smic)*T$58-MAX(irpp_min_reduc_fp,MIN(irpp_max_reduc_fp,irpp_taux_reduc_fp*(Coef_impot/evol_smic)*T$58)))
+(MAX(0,12*T$52-MAX(irpp_min_reduc_pens,MIN(irpp_max_reduc_pens,irpp_taux_reduc_pens*12*T$52)))
 -12*T$53)*(T$13&lt;&gt;"ga_m")*(T$13&lt;&gt;"ga_p")</f>
        <v>15151.234763672785</v>
      </c>
      <c r="U172" s="432">
        <f>MAX(0,(Coef_impot/evol_smic)*U$58-MAX(irpp_min_reduc_fp,MIN(irpp_max_reduc_fp,irpp_taux_reduc_fp*(Coef_impot/evol_smic)*U$58)))
+(MAX(0,12*U$52-MAX(irpp_min_reduc_pens,MIN(irpp_max_reduc_pens,irpp_taux_reduc_pens*12*U$52)))
 -12*U$53)*(U$13&lt;&gt;"ga_m")*(U$13&lt;&gt;"ga_p")</f>
        <v>22726.852145509176</v>
      </c>
    </row>
    <row r="173" spans="1:21" ht="13" x14ac:dyDescent="0.3">
      <c r="A173" s="276" t="s">
        <v>173</v>
      </c>
      <c r="B173" s="259"/>
      <c r="C173" s="262">
        <f>IF(C$30="plaf",C174,C$30)</f>
        <v>340.62</v>
      </c>
      <c r="D173" s="262">
        <f>IF(D$30="plaf",D174,D$30)</f>
        <v>340.62</v>
      </c>
      <c r="E173" s="262">
        <f>IF(E$30="plaf",E174,E$30)</f>
        <v>340.62</v>
      </c>
      <c r="F173" s="262">
        <f>IF(F$30="plaf",F174,F$30)</f>
        <v>340.62</v>
      </c>
      <c r="H173" s="262">
        <f>IF(H$30="plaf",H174,H$30)</f>
        <v>383.28</v>
      </c>
      <c r="I173" s="262">
        <f>IF(I$30="plaf",I174,I$30)</f>
        <v>383.28</v>
      </c>
      <c r="J173" s="262">
        <f>IF(J$30="plaf",J174,J$30)</f>
        <v>383.28</v>
      </c>
      <c r="K173" s="262">
        <f>IF(K$30="plaf",K174,K$30)</f>
        <v>383.28</v>
      </c>
      <c r="M173" s="262">
        <f>IF(M$30="plaf",M174,M$30)</f>
        <v>439.07</v>
      </c>
      <c r="N173" s="262">
        <f>IF(N$30="plaf",N174,N$30)</f>
        <v>439.07</v>
      </c>
      <c r="O173" s="262">
        <f>IF(O$30="plaf",O174,O$30)</f>
        <v>439.07</v>
      </c>
      <c r="P173" s="262">
        <f>IF(P$30="plaf",P174,P$30)</f>
        <v>439.07</v>
      </c>
      <c r="R173" s="262">
        <f>IF(R$30="plaf",R174,R$30)</f>
        <v>494.85999999999996</v>
      </c>
      <c r="S173" s="262">
        <f>IF(S$30="plaf",S174,S$30)</f>
        <v>494.85999999999996</v>
      </c>
      <c r="T173" s="262">
        <f>IF(T$30="plaf",T174,T$30)</f>
        <v>494.85999999999996</v>
      </c>
      <c r="U173" s="262">
        <f>IF(U$30="plaf",U174,U$30)</f>
        <v>494.85999999999996</v>
      </c>
    </row>
    <row r="174" spans="1:21" x14ac:dyDescent="0.25">
      <c r="A174" s="274" t="s">
        <v>511</v>
      </c>
      <c r="B174" s="259"/>
      <c r="C174" s="262">
        <f>(C$29=1)*IF(C$98=0,IF(C$3="isolé",al_loy_plaf_I0_z1,al_loy_plaf_c0_z1),al_loy_plaf_1_pac_z1+al_loy_plaf_sup_pac_z1*(C$98-1))+(C$29=2)*IF(C$98=0,IF(C$3="isolé",al_loy_plaf_I0_z2,al_loy_plaf_C0_z2),al_loy_plaf_1_pac_z2+al_loy_plaf_sup_pac_z2*(C$98-1))+(C$29=3)*IF(C$98=0,IF(C$3="isolé",al_loy_plaf_I0_z3,al_loy_plaf_C0_z3),al_loy_plaf_1_pac_z3+al_loy_plaf_sup_pac_z3*(C$98-1))</f>
        <v>340.62</v>
      </c>
      <c r="D174" s="262">
        <f>(D$29=1)*IF(D$98=0,IF(D$3="isolé",al_loy_plaf_I0_z1,al_loy_plaf_c0_z1),al_loy_plaf_1_pac_z1+al_loy_plaf_sup_pac_z1*(D$98-1))+(D$29=2)*IF(D$98=0,IF(D$3="isolé",al_loy_plaf_I0_z2,al_loy_plaf_C0_z2),al_loy_plaf_1_pac_z2+al_loy_plaf_sup_pac_z2*(D$98-1))+(D$29=3)*IF(D$98=0,IF(D$3="isolé",al_loy_plaf_I0_z3,al_loy_plaf_C0_z3),al_loy_plaf_1_pac_z3+al_loy_plaf_sup_pac_z3*(D$98-1))</f>
        <v>340.62</v>
      </c>
      <c r="E174" s="262">
        <f>(E$29=1)*IF(E$98=0,IF(E$3="isolé",al_loy_plaf_I0_z1,al_loy_plaf_c0_z1),al_loy_plaf_1_pac_z1+al_loy_plaf_sup_pac_z1*(E$98-1))+(E$29=2)*IF(E$98=0,IF(E$3="isolé",al_loy_plaf_I0_z2,al_loy_plaf_C0_z2),al_loy_plaf_1_pac_z2+al_loy_plaf_sup_pac_z2*(E$98-1))+(E$29=3)*IF(E$98=0,IF(E$3="isolé",al_loy_plaf_I0_z3,al_loy_plaf_C0_z3),al_loy_plaf_1_pac_z3+al_loy_plaf_sup_pac_z3*(E$98-1))</f>
        <v>340.62</v>
      </c>
      <c r="F174" s="262">
        <f>(F$29=1)*IF(F$98=0,IF(F$3="isolé",al_loy_plaf_I0_z1,al_loy_plaf_c0_z1),al_loy_plaf_1_pac_z1+al_loy_plaf_sup_pac_z1*(F$98-1))+(F$29=2)*IF(F$98=0,IF(F$3="isolé",al_loy_plaf_I0_z2,al_loy_plaf_C0_z2),al_loy_plaf_1_pac_z2+al_loy_plaf_sup_pac_z2*(F$98-1))+(F$29=3)*IF(F$98=0,IF(F$3="isolé",al_loy_plaf_I0_z3,al_loy_plaf_C0_z3),al_loy_plaf_1_pac_z3+al_loy_plaf_sup_pac_z3*(F$98-1))</f>
        <v>340.62</v>
      </c>
      <c r="H174" s="262">
        <f>(H$29=1)*IF(H$98=0,IF(H$3="isolé",al_loy_plaf_I0_z1,al_loy_plaf_c0_z1),al_loy_plaf_1_pac_z1+al_loy_plaf_sup_pac_z1*(H$98-1))+(H$29=2)*IF(H$98=0,IF(H$3="isolé",al_loy_plaf_I0_z2,al_loy_plaf_C0_z2),al_loy_plaf_1_pac_z2+al_loy_plaf_sup_pac_z2*(H$98-1))+(H$29=3)*IF(H$98=0,IF(H$3="isolé",al_loy_plaf_I0_z3,al_loy_plaf_C0_z3),al_loy_plaf_1_pac_z3+al_loy_plaf_sup_pac_z3*(H$98-1))</f>
        <v>383.28</v>
      </c>
      <c r="I174" s="262">
        <f>(I$29=1)*IF(I$98=0,IF(I$3="isolé",al_loy_plaf_I0_z1,al_loy_plaf_c0_z1),al_loy_plaf_1_pac_z1+al_loy_plaf_sup_pac_z1*(I$98-1))+(I$29=2)*IF(I$98=0,IF(I$3="isolé",al_loy_plaf_I0_z2,al_loy_plaf_C0_z2),al_loy_plaf_1_pac_z2+al_loy_plaf_sup_pac_z2*(I$98-1))+(I$29=3)*IF(I$98=0,IF(I$3="isolé",al_loy_plaf_I0_z3,al_loy_plaf_C0_z3),al_loy_plaf_1_pac_z3+al_loy_plaf_sup_pac_z3*(I$98-1))</f>
        <v>383.28</v>
      </c>
      <c r="J174" s="262">
        <f>(J$29=1)*IF(J$98=0,IF(J$3="isolé",al_loy_plaf_I0_z1,al_loy_plaf_c0_z1),al_loy_plaf_1_pac_z1+al_loy_plaf_sup_pac_z1*(J$98-1))+(J$29=2)*IF(J$98=0,IF(J$3="isolé",al_loy_plaf_I0_z2,al_loy_plaf_C0_z2),al_loy_plaf_1_pac_z2+al_loy_plaf_sup_pac_z2*(J$98-1))+(J$29=3)*IF(J$98=0,IF(J$3="isolé",al_loy_plaf_I0_z3,al_loy_plaf_C0_z3),al_loy_plaf_1_pac_z3+al_loy_plaf_sup_pac_z3*(J$98-1))</f>
        <v>383.28</v>
      </c>
      <c r="K174" s="262">
        <f>(K$29=1)*IF(K$98=0,IF(K$3="isolé",al_loy_plaf_I0_z1,al_loy_plaf_c0_z1),al_loy_plaf_1_pac_z1+al_loy_plaf_sup_pac_z1*(K$98-1))+(K$29=2)*IF(K$98=0,IF(K$3="isolé",al_loy_plaf_I0_z2,al_loy_plaf_C0_z2),al_loy_plaf_1_pac_z2+al_loy_plaf_sup_pac_z2*(K$98-1))+(K$29=3)*IF(K$98=0,IF(K$3="isolé",al_loy_plaf_I0_z3,al_loy_plaf_C0_z3),al_loy_plaf_1_pac_z3+al_loy_plaf_sup_pac_z3*(K$98-1))</f>
        <v>383.28</v>
      </c>
      <c r="M174" s="262">
        <f>(M$29=1)*IF(M$98=0,IF(M$3="isolé",al_loy_plaf_I0_z1,al_loy_plaf_c0_z1),al_loy_plaf_1_pac_z1+al_loy_plaf_sup_pac_z1*(M$98-1))+(M$29=2)*IF(M$98=0,IF(M$3="isolé",al_loy_plaf_I0_z2,al_loy_plaf_C0_z2),al_loy_plaf_1_pac_z2+al_loy_plaf_sup_pac_z2*(M$98-1))+(M$29=3)*IF(M$98=0,IF(M$3="isolé",al_loy_plaf_I0_z3,al_loy_plaf_C0_z3),al_loy_plaf_1_pac_z3+al_loy_plaf_sup_pac_z3*(M$98-1))</f>
        <v>439.07</v>
      </c>
      <c r="N174" s="262">
        <f>(N$29=1)*IF(N$98=0,IF(N$3="isolé",al_loy_plaf_I0_z1,al_loy_plaf_c0_z1),al_loy_plaf_1_pac_z1+al_loy_plaf_sup_pac_z1*(N$98-1))+(N$29=2)*IF(N$98=0,IF(N$3="isolé",al_loy_plaf_I0_z2,al_loy_plaf_C0_z2),al_loy_plaf_1_pac_z2+al_loy_plaf_sup_pac_z2*(N$98-1))+(N$29=3)*IF(N$98=0,IF(N$3="isolé",al_loy_plaf_I0_z3,al_loy_plaf_C0_z3),al_loy_plaf_1_pac_z3+al_loy_plaf_sup_pac_z3*(N$98-1))</f>
        <v>439.07</v>
      </c>
      <c r="O174" s="262">
        <f>(O$29=1)*IF(O$98=0,IF(O$3="isolé",al_loy_plaf_I0_z1,al_loy_plaf_c0_z1),al_loy_plaf_1_pac_z1+al_loy_plaf_sup_pac_z1*(O$98-1))+(O$29=2)*IF(O$98=0,IF(O$3="isolé",al_loy_plaf_I0_z2,al_loy_plaf_C0_z2),al_loy_plaf_1_pac_z2+al_loy_plaf_sup_pac_z2*(O$98-1))+(O$29=3)*IF(O$98=0,IF(O$3="isolé",al_loy_plaf_I0_z3,al_loy_plaf_C0_z3),al_loy_plaf_1_pac_z3+al_loy_plaf_sup_pac_z3*(O$98-1))</f>
        <v>439.07</v>
      </c>
      <c r="P174" s="262">
        <f>(P$29=1)*IF(P$98=0,IF(P$3="isolé",al_loy_plaf_I0_z1,al_loy_plaf_c0_z1),al_loy_plaf_1_pac_z1+al_loy_plaf_sup_pac_z1*(P$98-1))+(P$29=2)*IF(P$98=0,IF(P$3="isolé",al_loy_plaf_I0_z2,al_loy_plaf_C0_z2),al_loy_plaf_1_pac_z2+al_loy_plaf_sup_pac_z2*(P$98-1))+(P$29=3)*IF(P$98=0,IF(P$3="isolé",al_loy_plaf_I0_z3,al_loy_plaf_C0_z3),al_loy_plaf_1_pac_z3+al_loy_plaf_sup_pac_z3*(P$98-1))</f>
        <v>439.07</v>
      </c>
      <c r="R174" s="262">
        <f>(R$29=1)*IF(R$98=0,IF(R$3="isolé",al_loy_plaf_I0_z1,al_loy_plaf_c0_z1),al_loy_plaf_1_pac_z1+al_loy_plaf_sup_pac_z1*(R$98-1))+(R$29=2)*IF(R$98=0,IF(R$3="isolé",al_loy_plaf_I0_z2,al_loy_plaf_C0_z2),al_loy_plaf_1_pac_z2+al_loy_plaf_sup_pac_z2*(R$98-1))+(R$29=3)*IF(R$98=0,IF(R$3="isolé",al_loy_plaf_I0_z3,al_loy_plaf_C0_z3),al_loy_plaf_1_pac_z3+al_loy_plaf_sup_pac_z3*(R$98-1))</f>
        <v>494.85999999999996</v>
      </c>
      <c r="S174" s="262">
        <f>(S$29=1)*IF(S$98=0,IF(S$3="isolé",al_loy_plaf_I0_z1,al_loy_plaf_c0_z1),al_loy_plaf_1_pac_z1+al_loy_plaf_sup_pac_z1*(S$98-1))+(S$29=2)*IF(S$98=0,IF(S$3="isolé",al_loy_plaf_I0_z2,al_loy_plaf_C0_z2),al_loy_plaf_1_pac_z2+al_loy_plaf_sup_pac_z2*(S$98-1))+(S$29=3)*IF(S$98=0,IF(S$3="isolé",al_loy_plaf_I0_z3,al_loy_plaf_C0_z3),al_loy_plaf_1_pac_z3+al_loy_plaf_sup_pac_z3*(S$98-1))</f>
        <v>494.85999999999996</v>
      </c>
      <c r="T174" s="262">
        <f>(T$29=1)*IF(T$98=0,IF(T$3="isolé",al_loy_plaf_I0_z1,al_loy_plaf_c0_z1),al_loy_plaf_1_pac_z1+al_loy_plaf_sup_pac_z1*(T$98-1))+(T$29=2)*IF(T$98=0,IF(T$3="isolé",al_loy_plaf_I0_z2,al_loy_plaf_C0_z2),al_loy_plaf_1_pac_z2+al_loy_plaf_sup_pac_z2*(T$98-1))+(T$29=3)*IF(T$98=0,IF(T$3="isolé",al_loy_plaf_I0_z3,al_loy_plaf_C0_z3),al_loy_plaf_1_pac_z3+al_loy_plaf_sup_pac_z3*(T$98-1))</f>
        <v>494.85999999999996</v>
      </c>
      <c r="U174" s="262">
        <f>(U$29=1)*IF(U$98=0,IF(U$3="isolé",al_loy_plaf_I0_z1,al_loy_plaf_c0_z1),al_loy_plaf_1_pac_z1+al_loy_plaf_sup_pac_z1*(U$98-1))+(U$29=2)*IF(U$98=0,IF(U$3="isolé",al_loy_plaf_I0_z2,al_loy_plaf_C0_z2),al_loy_plaf_1_pac_z2+al_loy_plaf_sup_pac_z2*(U$98-1))+(U$29=3)*IF(U$98=0,IF(U$3="isolé",al_loy_plaf_I0_z3,al_loy_plaf_C0_z3),al_loy_plaf_1_pac_z3+al_loy_plaf_sup_pac_z3*(U$98-1))</f>
        <v>494.85999999999996</v>
      </c>
    </row>
    <row r="175" spans="1:21" x14ac:dyDescent="0.25">
      <c r="A175" s="274" t="s">
        <v>13</v>
      </c>
      <c r="B175" s="259"/>
      <c r="C175" s="262">
        <f>IF(C$98=0,al_forf_charges_0_pac,al_forf_charges_1_pac+(C$98-1)*al_forf_charges_sup_pac)</f>
        <v>58.08</v>
      </c>
      <c r="D175" s="262">
        <f>IF(D$98=0,al_forf_charges_0_pac,al_forf_charges_1_pac+(D$98-1)*al_forf_charges_sup_pac)</f>
        <v>58.08</v>
      </c>
      <c r="E175" s="262">
        <f>IF(E$98=0,al_forf_charges_0_pac,al_forf_charges_1_pac+(E$98-1)*al_forf_charges_sup_pac)</f>
        <v>58.08</v>
      </c>
      <c r="F175" s="262">
        <f>IF(F$98=0,al_forf_charges_0_pac,al_forf_charges_1_pac+(F$98-1)*al_forf_charges_sup_pac)</f>
        <v>58.08</v>
      </c>
      <c r="H175" s="262">
        <f>IF(H$98=0,al_forf_charges_0_pac,al_forf_charges_1_pac+(H$98-1)*al_forf_charges_sup_pac)</f>
        <v>71.25</v>
      </c>
      <c r="I175" s="262">
        <f>IF(I$98=0,al_forf_charges_0_pac,al_forf_charges_1_pac+(I$98-1)*al_forf_charges_sup_pac)</f>
        <v>71.25</v>
      </c>
      <c r="J175" s="262">
        <f>IF(J$98=0,al_forf_charges_0_pac,al_forf_charges_1_pac+(J$98-1)*al_forf_charges_sup_pac)</f>
        <v>71.25</v>
      </c>
      <c r="K175" s="262">
        <f>IF(K$98=0,al_forf_charges_0_pac,al_forf_charges_1_pac+(K$98-1)*al_forf_charges_sup_pac)</f>
        <v>71.25</v>
      </c>
      <c r="M175" s="262">
        <f>IF(M$98=0,al_forf_charges_0_pac,al_forf_charges_1_pac+(M$98-1)*al_forf_charges_sup_pac)</f>
        <v>84.42</v>
      </c>
      <c r="N175" s="262">
        <f>IF(N$98=0,al_forf_charges_0_pac,al_forf_charges_1_pac+(N$98-1)*al_forf_charges_sup_pac)</f>
        <v>84.42</v>
      </c>
      <c r="O175" s="262">
        <f>IF(O$98=0,al_forf_charges_0_pac,al_forf_charges_1_pac+(O$98-1)*al_forf_charges_sup_pac)</f>
        <v>84.42</v>
      </c>
      <c r="P175" s="262">
        <f>IF(P$98=0,al_forf_charges_0_pac,al_forf_charges_1_pac+(P$98-1)*al_forf_charges_sup_pac)</f>
        <v>84.42</v>
      </c>
      <c r="R175" s="262">
        <f>IF(R$98=0,al_forf_charges_0_pac,al_forf_charges_1_pac+(R$98-1)*al_forf_charges_sup_pac)</f>
        <v>97.59</v>
      </c>
      <c r="S175" s="262">
        <f>IF(S$98=0,al_forf_charges_0_pac,al_forf_charges_1_pac+(S$98-1)*al_forf_charges_sup_pac)</f>
        <v>97.59</v>
      </c>
      <c r="T175" s="262">
        <f>IF(T$98=0,al_forf_charges_0_pac,al_forf_charges_1_pac+(T$98-1)*al_forf_charges_sup_pac)</f>
        <v>97.59</v>
      </c>
      <c r="U175" s="262">
        <f>IF(U$98=0,al_forf_charges_0_pac,al_forf_charges_1_pac+(U$98-1)*al_forf_charges_sup_pac)</f>
        <v>97.59</v>
      </c>
    </row>
    <row r="176" spans="1:21" x14ac:dyDescent="0.25">
      <c r="A176" s="274" t="s">
        <v>175</v>
      </c>
      <c r="B176" s="259"/>
      <c r="C176" s="262">
        <f>MIN(C173,C174)+C175</f>
        <v>398.7</v>
      </c>
      <c r="D176" s="262">
        <f>MIN(D173,D174)+D175</f>
        <v>398.7</v>
      </c>
      <c r="E176" s="262">
        <f>MIN(E173,E174)+E175</f>
        <v>398.7</v>
      </c>
      <c r="F176" s="262">
        <f>MIN(F173,F174)+F175</f>
        <v>398.7</v>
      </c>
      <c r="H176" s="262">
        <f>MIN(H173,H174)+H175</f>
        <v>454.53</v>
      </c>
      <c r="I176" s="262">
        <f>MIN(I173,I174)+I175</f>
        <v>454.53</v>
      </c>
      <c r="J176" s="262">
        <f>MIN(J173,J174)+J175</f>
        <v>454.53</v>
      </c>
      <c r="K176" s="262">
        <f>MIN(K173,K174)+K175</f>
        <v>454.53</v>
      </c>
      <c r="M176" s="262">
        <f>MIN(M173,M174)+M175</f>
        <v>523.49</v>
      </c>
      <c r="N176" s="262">
        <f>MIN(N173,N174)+N175</f>
        <v>523.49</v>
      </c>
      <c r="O176" s="262">
        <f>MIN(O173,O174)+O175</f>
        <v>523.49</v>
      </c>
      <c r="P176" s="262">
        <f>MIN(P173,P174)+P175</f>
        <v>523.49</v>
      </c>
      <c r="R176" s="262">
        <f>MIN(R173,R174)+R175</f>
        <v>592.44999999999993</v>
      </c>
      <c r="S176" s="262">
        <f>MIN(S173,S174)+S175</f>
        <v>592.44999999999993</v>
      </c>
      <c r="T176" s="262">
        <f>MIN(T173,T174)+T175</f>
        <v>592.44999999999993</v>
      </c>
      <c r="U176" s="262">
        <f>MIN(U173,U174)+U175</f>
        <v>592.44999999999993</v>
      </c>
    </row>
    <row r="177" spans="1:21" x14ac:dyDescent="0.25">
      <c r="A177" s="275" t="s">
        <v>217</v>
      </c>
      <c r="B177" s="259"/>
      <c r="C177" s="262">
        <f>(C$98=0)*IF(C$3="isolé",al_R0_I0,al_R0_C0)
+(C$98=1)*al_R0_1pac+(C$98=2)*al_R0_2pac+(C$98=3)*al_R0_3pac+(C$98=4)*al_R0_4pac+(C$98=5)*al_R0_5pac
+(C$98&gt;=6)*(al_R0_6pac+(C$98-6)*al_R0_suppac)</f>
        <v>7430</v>
      </c>
      <c r="D177" s="262">
        <f>(D$98=0)*IF(D$3="isolé",al_R0_I0,al_R0_C0)
+(D$98=1)*al_R0_1pac+(D$98=2)*al_R0_2pac+(D$98=3)*al_R0_3pac+(D$98=4)*al_R0_4pac+(D$98=5)*al_R0_5pac
+(D$98&gt;=6)*(al_R0_6pac+(D$98-6)*al_R0_suppac)</f>
        <v>7430</v>
      </c>
      <c r="E177" s="262">
        <f>(E$98=0)*IF(E$3="isolé",al_R0_I0,al_R0_C0)
+(E$98=1)*al_R0_1pac+(E$98=2)*al_R0_2pac+(E$98=3)*al_R0_3pac+(E$98=4)*al_R0_4pac+(E$98=5)*al_R0_5pac
+(E$98&gt;=6)*(al_R0_6pac+(E$98-6)*al_R0_suppac)</f>
        <v>7430</v>
      </c>
      <c r="F177" s="262">
        <f>(F$98=0)*IF(F$3="isolé",al_R0_I0,al_R0_C0)
+(F$98=1)*al_R0_1pac+(F$98=2)*al_R0_2pac+(F$98=3)*al_R0_3pac+(F$98=4)*al_R0_4pac+(F$98=5)*al_R0_5pac
+(F$98&gt;=6)*(al_R0_6pac+(F$98-6)*al_R0_suppac)</f>
        <v>7430</v>
      </c>
      <c r="H177" s="262">
        <f>(H$98=0)*IF(H$3="isolé",al_R0_I0,al_R0_C0)
+(H$98=1)*al_R0_1pac+(H$98=2)*al_R0_2pac+(H$98=3)*al_R0_3pac+(H$98=4)*al_R0_4pac+(H$98=5)*al_R0_5pac
+(H$98&gt;=6)*(al_R0_6pac+(H$98-6)*al_R0_suppac)</f>
        <v>8862</v>
      </c>
      <c r="I177" s="262">
        <f>(I$98=0)*IF(I$3="isolé",al_R0_I0,al_R0_C0)
+(I$98=1)*al_R0_1pac+(I$98=2)*al_R0_2pac+(I$98=3)*al_R0_3pac+(I$98=4)*al_R0_4pac+(I$98=5)*al_R0_5pac
+(I$98&gt;=6)*(al_R0_6pac+(I$98-6)*al_R0_suppac)</f>
        <v>8862</v>
      </c>
      <c r="J177" s="262">
        <f>(J$98=0)*IF(J$3="isolé",al_R0_I0,al_R0_C0)
+(J$98=1)*al_R0_1pac+(J$98=2)*al_R0_2pac+(J$98=3)*al_R0_3pac+(J$98=4)*al_R0_4pac+(J$98=5)*al_R0_5pac
+(J$98&gt;=6)*(al_R0_6pac+(J$98-6)*al_R0_suppac)</f>
        <v>8862</v>
      </c>
      <c r="K177" s="262">
        <f>(K$98=0)*IF(K$3="isolé",al_R0_I0,al_R0_C0)
+(K$98=1)*al_R0_1pac+(K$98=2)*al_R0_2pac+(K$98=3)*al_R0_3pac+(K$98=4)*al_R0_4pac+(K$98=5)*al_R0_5pac
+(K$98&gt;=6)*(al_R0_6pac+(K$98-6)*al_R0_suppac)</f>
        <v>8862</v>
      </c>
      <c r="M177" s="262">
        <f>(M$98=0)*IF(M$3="isolé",al_R0_I0,al_R0_C0)
+(M$98=1)*al_R0_1pac+(M$98=2)*al_R0_2pac+(M$98=3)*al_R0_3pac+(M$98=4)*al_R0_4pac+(M$98=5)*al_R0_5pac
+(M$98&gt;=6)*(al_R0_6pac+(M$98-6)*al_R0_suppac)</f>
        <v>9061</v>
      </c>
      <c r="N177" s="262">
        <f>(N$98=0)*IF(N$3="isolé",al_R0_I0,al_R0_C0)
+(N$98=1)*al_R0_1pac+(N$98=2)*al_R0_2pac+(N$98=3)*al_R0_3pac+(N$98=4)*al_R0_4pac+(N$98=5)*al_R0_5pac
+(N$98&gt;=6)*(al_R0_6pac+(N$98-6)*al_R0_suppac)</f>
        <v>9061</v>
      </c>
      <c r="O177" s="262">
        <f>(O$98=0)*IF(O$3="isolé",al_R0_I0,al_R0_C0)
+(O$98=1)*al_R0_1pac+(O$98=2)*al_R0_2pac+(O$98=3)*al_R0_3pac+(O$98=4)*al_R0_4pac+(O$98=5)*al_R0_5pac
+(O$98&gt;=6)*(al_R0_6pac+(O$98-6)*al_R0_suppac)</f>
        <v>9061</v>
      </c>
      <c r="P177" s="262">
        <f>(P$98=0)*IF(P$3="isolé",al_R0_I0,al_R0_C0)
+(P$98=1)*al_R0_1pac+(P$98=2)*al_R0_2pac+(P$98=3)*al_R0_3pac+(P$98=4)*al_R0_4pac+(P$98=5)*al_R0_5pac
+(P$98&gt;=6)*(al_R0_6pac+(P$98-6)*al_R0_suppac)</f>
        <v>9061</v>
      </c>
      <c r="R177" s="262">
        <f>(R$98=0)*IF(R$3="isolé",al_R0_I0,al_R0_C0)
+(R$98=1)*al_R0_1pac+(R$98=2)*al_R0_2pac+(R$98=3)*al_R0_3pac+(R$98=4)*al_R0_4pac+(R$98=5)*al_R0_5pac
+(R$98&gt;=6)*(al_R0_6pac+(R$98-6)*al_R0_suppac)</f>
        <v>9408</v>
      </c>
      <c r="S177" s="262">
        <f>(S$98=0)*IF(S$3="isolé",al_R0_I0,al_R0_C0)
+(S$98=1)*al_R0_1pac+(S$98=2)*al_R0_2pac+(S$98=3)*al_R0_3pac+(S$98=4)*al_R0_4pac+(S$98=5)*al_R0_5pac
+(S$98&gt;=6)*(al_R0_6pac+(S$98-6)*al_R0_suppac)</f>
        <v>9408</v>
      </c>
      <c r="T177" s="262">
        <f>(T$98=0)*IF(T$3="isolé",al_R0_I0,al_R0_C0)
+(T$98=1)*al_R0_1pac+(T$98=2)*al_R0_2pac+(T$98=3)*al_R0_3pac+(T$98=4)*al_R0_4pac+(T$98=5)*al_R0_5pac
+(T$98&gt;=6)*(al_R0_6pac+(T$98-6)*al_R0_suppac)</f>
        <v>9408</v>
      </c>
      <c r="U177" s="262">
        <f>(U$98=0)*IF(U$3="isolé",al_R0_I0,al_R0_C0)
+(U$98=1)*al_R0_1pac+(U$98=2)*al_R0_2pac+(U$98=3)*al_R0_3pac+(U$98=4)*al_R0_4pac+(U$98=5)*al_R0_5pac
+(U$98&gt;=6)*(al_R0_6pac+(U$98-6)*al_R0_suppac)</f>
        <v>9408</v>
      </c>
    </row>
    <row r="178" spans="1:21" x14ac:dyDescent="0.25">
      <c r="A178" s="274" t="s">
        <v>195</v>
      </c>
      <c r="B178" s="259"/>
      <c r="C178" s="269">
        <f t="shared" ref="C178:F178" si="53">ROUND(MAX(al_p0,al_p0_taux*C176),2)</f>
        <v>37.909999999999997</v>
      </c>
      <c r="D178" s="269">
        <f t="shared" si="53"/>
        <v>37.909999999999997</v>
      </c>
      <c r="E178" s="269">
        <f t="shared" si="53"/>
        <v>37.909999999999997</v>
      </c>
      <c r="F178" s="269">
        <f t="shared" si="53"/>
        <v>37.909999999999997</v>
      </c>
      <c r="H178" s="269">
        <f t="shared" ref="H178:K178" si="54">ROUND(MAX(al_p0,al_p0_taux*H176),2)</f>
        <v>38.64</v>
      </c>
      <c r="I178" s="269">
        <f t="shared" si="54"/>
        <v>38.64</v>
      </c>
      <c r="J178" s="269">
        <f t="shared" si="54"/>
        <v>38.64</v>
      </c>
      <c r="K178" s="269">
        <f t="shared" si="54"/>
        <v>38.64</v>
      </c>
      <c r="M178" s="269">
        <f t="shared" ref="M178:P178" si="55">ROUND(MAX(al_p0,al_p0_taux*M176),2)</f>
        <v>44.5</v>
      </c>
      <c r="N178" s="269">
        <f t="shared" si="55"/>
        <v>44.5</v>
      </c>
      <c r="O178" s="269">
        <f t="shared" si="55"/>
        <v>44.5</v>
      </c>
      <c r="P178" s="269">
        <f t="shared" si="55"/>
        <v>44.5</v>
      </c>
      <c r="R178" s="269">
        <f t="shared" ref="R178:U178" si="56">ROUND(MAX(al_p0,al_p0_taux*R176),2)</f>
        <v>50.36</v>
      </c>
      <c r="S178" s="269">
        <f t="shared" si="56"/>
        <v>50.36</v>
      </c>
      <c r="T178" s="269">
        <f t="shared" si="56"/>
        <v>50.36</v>
      </c>
      <c r="U178" s="269">
        <f t="shared" si="56"/>
        <v>50.36</v>
      </c>
    </row>
    <row r="179" spans="1:21" x14ac:dyDescent="0.25">
      <c r="A179" s="275" t="s">
        <v>192</v>
      </c>
      <c r="B179" s="259"/>
      <c r="C179" s="270">
        <f>(C$98=0)*IF(C$3="isolé",al_tf_I0,al_tf_C0)
+(C$98=1)*al_tf_1pac+(C$98=2)*al_tf_2pac+(C$98=3)*al_tf_3pac+(C$98&gt;=4)*(al_tf_4pac+(C$98-4)*al_tf_suppac)</f>
        <v>3.15E-2</v>
      </c>
      <c r="D179" s="270">
        <f>(D$98=0)*IF(D$3="isolé",al_tf_I0,al_tf_C0)
+(D$98=1)*al_tf_1pac+(D$98=2)*al_tf_2pac+(D$98=3)*al_tf_3pac+(D$98&gt;=4)*(al_tf_4pac+(D$98-4)*al_tf_suppac)</f>
        <v>3.15E-2</v>
      </c>
      <c r="E179" s="270">
        <f>(E$98=0)*IF(E$3="isolé",al_tf_I0,al_tf_C0)
+(E$98=1)*al_tf_1pac+(E$98=2)*al_tf_2pac+(E$98=3)*al_tf_3pac+(E$98&gt;=4)*(al_tf_4pac+(E$98-4)*al_tf_suppac)</f>
        <v>3.15E-2</v>
      </c>
      <c r="F179" s="270">
        <f>(F$98=0)*IF(F$3="isolé",al_tf_I0,al_tf_C0)
+(F$98=1)*al_tf_1pac+(F$98=2)*al_tf_2pac+(F$98=3)*al_tf_3pac+(F$98&gt;=4)*(al_tf_4pac+(F$98-4)*al_tf_suppac)</f>
        <v>3.15E-2</v>
      </c>
      <c r="H179" s="270">
        <f>(H$98=0)*IF(H$3="isolé",al_tf_I0,al_tf_C0)
+(H$98=1)*al_tf_1pac+(H$98=2)*al_tf_2pac+(H$98=3)*al_tf_3pac+(H$98&gt;=4)*(al_tf_4pac+(H$98-4)*al_tf_suppac)</f>
        <v>2.7E-2</v>
      </c>
      <c r="I179" s="270">
        <f>(I$98=0)*IF(I$3="isolé",al_tf_I0,al_tf_C0)
+(I$98=1)*al_tf_1pac+(I$98=2)*al_tf_2pac+(I$98=3)*al_tf_3pac+(I$98&gt;=4)*(al_tf_4pac+(I$98-4)*al_tf_suppac)</f>
        <v>2.7E-2</v>
      </c>
      <c r="J179" s="270">
        <f>(J$98=0)*IF(J$3="isolé",al_tf_I0,al_tf_C0)
+(J$98=1)*al_tf_1pac+(J$98=2)*al_tf_2pac+(J$98=3)*al_tf_3pac+(J$98&gt;=4)*(al_tf_4pac+(J$98-4)*al_tf_suppac)</f>
        <v>2.7E-2</v>
      </c>
      <c r="K179" s="270">
        <f>(K$98=0)*IF(K$3="isolé",al_tf_I0,al_tf_C0)
+(K$98=1)*al_tf_1pac+(K$98=2)*al_tf_2pac+(K$98=3)*al_tf_3pac+(K$98&gt;=4)*(al_tf_4pac+(K$98-4)*al_tf_suppac)</f>
        <v>2.7E-2</v>
      </c>
      <c r="M179" s="270">
        <f>(M$98=0)*IF(M$3="isolé",al_tf_I0,al_tf_C0)
+(M$98=1)*al_tf_1pac+(M$98=2)*al_tf_2pac+(M$98=3)*al_tf_3pac+(M$98&gt;=4)*(al_tf_4pac+(M$98-4)*al_tf_suppac)</f>
        <v>2.3800000000000002E-2</v>
      </c>
      <c r="N179" s="270">
        <f>(N$98=0)*IF(N$3="isolé",al_tf_I0,al_tf_C0)
+(N$98=1)*al_tf_1pac+(N$98=2)*al_tf_2pac+(N$98=3)*al_tf_3pac+(N$98&gt;=4)*(al_tf_4pac+(N$98-4)*al_tf_suppac)</f>
        <v>2.3800000000000002E-2</v>
      </c>
      <c r="O179" s="270">
        <f>(O$98=0)*IF(O$3="isolé",al_tf_I0,al_tf_C0)
+(O$98=1)*al_tf_1pac+(O$98=2)*al_tf_2pac+(O$98=3)*al_tf_3pac+(O$98&gt;=4)*(al_tf_4pac+(O$98-4)*al_tf_suppac)</f>
        <v>2.3800000000000002E-2</v>
      </c>
      <c r="P179" s="270">
        <f>(P$98=0)*IF(P$3="isolé",al_tf_I0,al_tf_C0)
+(P$98=1)*al_tf_1pac+(P$98=2)*al_tf_2pac+(P$98=3)*al_tf_3pac+(P$98&gt;=4)*(al_tf_4pac+(P$98-4)*al_tf_suppac)</f>
        <v>2.3800000000000002E-2</v>
      </c>
      <c r="R179" s="270">
        <f>(R$98=0)*IF(R$3="isolé",al_tf_I0,al_tf_C0)
+(R$98=1)*al_tf_1pac+(R$98=2)*al_tf_2pac+(R$98=3)*al_tf_3pac+(R$98&gt;=4)*(al_tf_4pac+(R$98-4)*al_tf_suppac)</f>
        <v>2.01E-2</v>
      </c>
      <c r="S179" s="270">
        <f>(S$98=0)*IF(S$3="isolé",al_tf_I0,al_tf_C0)
+(S$98=1)*al_tf_1pac+(S$98=2)*al_tf_2pac+(S$98=3)*al_tf_3pac+(S$98&gt;=4)*(al_tf_4pac+(S$98-4)*al_tf_suppac)</f>
        <v>2.01E-2</v>
      </c>
      <c r="T179" s="270">
        <f>(T$98=0)*IF(T$3="isolé",al_tf_I0,al_tf_C0)
+(T$98=1)*al_tf_1pac+(T$98=2)*al_tf_2pac+(T$98=3)*al_tf_3pac+(T$98&gt;=4)*(al_tf_4pac+(T$98-4)*al_tf_suppac)</f>
        <v>2.01E-2</v>
      </c>
      <c r="U179" s="270">
        <f>(U$98=0)*IF(U$3="isolé",al_tf_I0,al_tf_C0)
+(U$98=1)*al_tf_1pac+(U$98=2)*al_tf_2pac+(U$98=3)*al_tf_3pac+(U$98&gt;=4)*(al_tf_4pac+(U$98-4)*al_tf_suppac)</f>
        <v>2.01E-2</v>
      </c>
    </row>
    <row r="180" spans="1:21" x14ac:dyDescent="0.25">
      <c r="A180" s="275" t="s">
        <v>193</v>
      </c>
      <c r="B180" s="259"/>
      <c r="C180" s="278">
        <f t="shared" ref="C180:U180" si="57">(C$29=1)*al_tl_z1+(C$29=2)*al_tl_z2+(C$29=3)*al_tl_z3</f>
        <v>3.0500000000000006E-3</v>
      </c>
      <c r="D180" s="278">
        <f t="shared" si="57"/>
        <v>3.0500000000000006E-3</v>
      </c>
      <c r="E180" s="278">
        <f t="shared" si="57"/>
        <v>3.0500000000000006E-3</v>
      </c>
      <c r="F180" s="278">
        <f t="shared" si="57"/>
        <v>3.0500000000000006E-3</v>
      </c>
      <c r="H180" s="278">
        <f t="shared" si="57"/>
        <v>3.0500000000000006E-3</v>
      </c>
      <c r="I180" s="278">
        <f t="shared" si="57"/>
        <v>3.0500000000000006E-3</v>
      </c>
      <c r="J180" s="278">
        <f t="shared" si="57"/>
        <v>3.0500000000000006E-3</v>
      </c>
      <c r="K180" s="278">
        <f t="shared" si="57"/>
        <v>3.0500000000000006E-3</v>
      </c>
      <c r="M180" s="278">
        <f t="shared" si="57"/>
        <v>3.0500000000000006E-3</v>
      </c>
      <c r="N180" s="278">
        <f t="shared" si="57"/>
        <v>3.0500000000000006E-3</v>
      </c>
      <c r="O180" s="278">
        <f t="shared" si="57"/>
        <v>3.0500000000000006E-3</v>
      </c>
      <c r="P180" s="278">
        <f t="shared" si="57"/>
        <v>3.0500000000000006E-3</v>
      </c>
      <c r="R180" s="278">
        <f t="shared" si="57"/>
        <v>3.0500000000000006E-3</v>
      </c>
      <c r="S180" s="278">
        <f t="shared" si="57"/>
        <v>3.0500000000000006E-3</v>
      </c>
      <c r="T180" s="278">
        <f t="shared" si="57"/>
        <v>3.0500000000000006E-3</v>
      </c>
      <c r="U180" s="278">
        <f t="shared" si="57"/>
        <v>3.0500000000000006E-3</v>
      </c>
    </row>
    <row r="181" spans="1:21" x14ac:dyDescent="0.25">
      <c r="A181" s="275" t="s">
        <v>194</v>
      </c>
      <c r="B181" s="259"/>
      <c r="C181" s="271">
        <f t="shared" ref="C181:F181" si="58">C178+(C179+C180)*MAX(0,C172-C177)</f>
        <v>37.909999999999997</v>
      </c>
      <c r="D181" s="271">
        <f t="shared" si="58"/>
        <v>42.941080542447352</v>
      </c>
      <c r="E181" s="271">
        <f t="shared" si="58"/>
        <v>304.67866108489466</v>
      </c>
      <c r="F181" s="271">
        <f t="shared" si="58"/>
        <v>566.41624162734195</v>
      </c>
      <c r="H181" s="271">
        <f t="shared" ref="H181:K181" si="59">H178+(H179+H180)*MAX(0,H172-H177)</f>
        <v>38.64</v>
      </c>
      <c r="I181" s="271">
        <f t="shared" si="59"/>
        <v>38.64</v>
      </c>
      <c r="J181" s="271">
        <f t="shared" si="59"/>
        <v>227.63150464836718</v>
      </c>
      <c r="K181" s="271">
        <f t="shared" si="59"/>
        <v>455.27880697255074</v>
      </c>
      <c r="M181" s="271">
        <f t="shared" ref="M181:P181" si="60">M178+(M179+M180)*MAX(0,M172-M177)</f>
        <v>44.5</v>
      </c>
      <c r="N181" s="271">
        <f t="shared" si="60"/>
        <v>44.5</v>
      </c>
      <c r="O181" s="271">
        <f t="shared" si="60"/>
        <v>208.02280340461428</v>
      </c>
      <c r="P181" s="271">
        <f t="shared" si="60"/>
        <v>411.4281301069214</v>
      </c>
      <c r="R181" s="271">
        <f t="shared" ref="R181:U181" si="61">R178+(R179+R180)*MAX(0,R172-R177)</f>
        <v>50.36</v>
      </c>
      <c r="S181" s="271">
        <f t="shared" si="61"/>
        <v>50.36</v>
      </c>
      <c r="T181" s="271">
        <f t="shared" si="61"/>
        <v>183.31588477902494</v>
      </c>
      <c r="U181" s="271">
        <f t="shared" si="61"/>
        <v>358.69142716853742</v>
      </c>
    </row>
    <row r="182" spans="1:21" ht="13" x14ac:dyDescent="0.3">
      <c r="A182" s="275" t="s">
        <v>210</v>
      </c>
      <c r="C182" s="264">
        <f t="shared" ref="C182:F182" si="62">MAX(C176-C181,0)</f>
        <v>360.78999999999996</v>
      </c>
      <c r="D182" s="264">
        <f t="shared" si="62"/>
        <v>355.75891945755262</v>
      </c>
      <c r="E182" s="264">
        <f t="shared" si="62"/>
        <v>94.021338915105332</v>
      </c>
      <c r="F182" s="264">
        <f t="shared" si="62"/>
        <v>0</v>
      </c>
      <c r="H182" s="264">
        <f t="shared" ref="H182:K182" si="63">MAX(H176-H181,0)</f>
        <v>415.89</v>
      </c>
      <c r="I182" s="264">
        <f t="shared" si="63"/>
        <v>415.89</v>
      </c>
      <c r="J182" s="264">
        <f t="shared" si="63"/>
        <v>226.89849535163279</v>
      </c>
      <c r="K182" s="264">
        <f t="shared" si="63"/>
        <v>0</v>
      </c>
      <c r="M182" s="264">
        <f t="shared" ref="M182:P182" si="64">MAX(M176-M181,0)</f>
        <v>478.99</v>
      </c>
      <c r="N182" s="264">
        <f t="shared" si="64"/>
        <v>478.99</v>
      </c>
      <c r="O182" s="264">
        <f t="shared" si="64"/>
        <v>315.46719659538576</v>
      </c>
      <c r="P182" s="264">
        <f t="shared" si="64"/>
        <v>112.06186989307861</v>
      </c>
      <c r="R182" s="264">
        <f t="shared" ref="R182:U182" si="65">MAX(R176-R181,0)</f>
        <v>542.08999999999992</v>
      </c>
      <c r="S182" s="264">
        <f t="shared" si="65"/>
        <v>542.08999999999992</v>
      </c>
      <c r="T182" s="264">
        <f t="shared" si="65"/>
        <v>409.13411522097499</v>
      </c>
      <c r="U182" s="264">
        <f t="shared" si="65"/>
        <v>233.75857283146252</v>
      </c>
    </row>
    <row r="183" spans="1:21" ht="13" x14ac:dyDescent="0.3">
      <c r="A183" s="275" t="s">
        <v>211</v>
      </c>
      <c r="C183" s="264">
        <f>(C$29=1)*(IF((C173/C174)&lt;al_seuil1_deg_z1,C182,IF((C173/C174)&lt;al_seuil2_deg_z1,(1-((C173/C174)-al_seuil1_deg_z1)/(al_seuil2_deg_z1-al_seuil1_deg_z1))*C182,0)))
+(C$29=2)*(IF((C173/C174)&lt;al_seuil1_deg_z2,C182,IF((C173/C174)&lt;al_seuil2_deg_z2,(1-((C173/C174)-al_seuil1_deg_z2)/(al_seuil2_deg_z2-al_seuil1_deg_z2))*C182,0)))
+(C$29=3)*(IF((C173/C174)&lt;al_seuil1_deg_z3,C182,IF((C173/C174)&lt;al_seuil2_deg_z3,(1-((C173/C174)-al_seuil1_deg_z3)/(al_seuil2_deg_z3-al_seuil1_deg_z3))*C182,0)))</f>
        <v>360.78999999999996</v>
      </c>
      <c r="D183" s="264">
        <f>(D$29=1)*(IF((D173/D174)&lt;al_seuil1_deg_z1,D182,IF((D173/D174)&lt;al_seuil2_deg_z1,(1-((D173/D174)-al_seuil1_deg_z1)/(al_seuil2_deg_z1-al_seuil1_deg_z1))*D182,0)))
+(D$29=2)*(IF((D173/D174)&lt;al_seuil1_deg_z2,D182,IF((D173/D174)&lt;al_seuil2_deg_z2,(1-((D173/D174)-al_seuil1_deg_z2)/(al_seuil2_deg_z2-al_seuil1_deg_z2))*D182,0)))
+(D$29=3)*(IF((D173/D174)&lt;al_seuil1_deg_z3,D182,IF((D173/D174)&lt;al_seuil2_deg_z3,(1-((D173/D174)-al_seuil1_deg_z3)/(al_seuil2_deg_z3-al_seuil1_deg_z3))*D182,0)))</f>
        <v>355.75891945755262</v>
      </c>
      <c r="E183" s="264">
        <f>(E$29=1)*(IF((E173/E174)&lt;al_seuil1_deg_z1,E182,IF((E173/E174)&lt;al_seuil2_deg_z1,(1-((E173/E174)-al_seuil1_deg_z1)/(al_seuil2_deg_z1-al_seuil1_deg_z1))*E182,0)))
+(E$29=2)*(IF((E173/E174)&lt;al_seuil1_deg_z2,E182,IF((E173/E174)&lt;al_seuil2_deg_z2,(1-((E173/E174)-al_seuil1_deg_z2)/(al_seuil2_deg_z2-al_seuil1_deg_z2))*E182,0)))
+(E$29=3)*(IF((E173/E174)&lt;al_seuil1_deg_z3,E182,IF((E173/E174)&lt;al_seuil2_deg_z3,(1-((E173/E174)-al_seuil1_deg_z3)/(al_seuil2_deg_z3-al_seuil1_deg_z3))*E182,0)))</f>
        <v>94.021338915105332</v>
      </c>
      <c r="F183" s="264">
        <f>(F$29=1)*(IF((F173/F174)&lt;al_seuil1_deg_z1,F182,IF((F173/F174)&lt;al_seuil2_deg_z1,(1-((F173/F174)-al_seuil1_deg_z1)/(al_seuil2_deg_z1-al_seuil1_deg_z1))*F182,0)))
+(F$29=2)*(IF((F173/F174)&lt;al_seuil1_deg_z2,F182,IF((F173/F174)&lt;al_seuil2_deg_z2,(1-((F173/F174)-al_seuil1_deg_z2)/(al_seuil2_deg_z2-al_seuil1_deg_z2))*F182,0)))
+(F$29=3)*(IF((F173/F174)&lt;al_seuil1_deg_z3,F182,IF((F173/F174)&lt;al_seuil2_deg_z3,(1-((F173/F174)-al_seuil1_deg_z3)/(al_seuil2_deg_z3-al_seuil1_deg_z3))*F182,0)))</f>
        <v>0</v>
      </c>
      <c r="H183" s="264">
        <f>(H$29=1)*(IF((H173/H174)&lt;al_seuil1_deg_z1,H182,IF((H173/H174)&lt;al_seuil2_deg_z1,(1-((H173/H174)-al_seuil1_deg_z1)/(al_seuil2_deg_z1-al_seuil1_deg_z1))*H182,0)))
+(H$29=2)*(IF((H173/H174)&lt;al_seuil1_deg_z2,H182,IF((H173/H174)&lt;al_seuil2_deg_z2,(1-((H173/H174)-al_seuil1_deg_z2)/(al_seuil2_deg_z2-al_seuil1_deg_z2))*H182,0)))
+(H$29=3)*(IF((H173/H174)&lt;al_seuil1_deg_z3,H182,IF((H173/H174)&lt;al_seuil2_deg_z3,(1-((H173/H174)-al_seuil1_deg_z3)/(al_seuil2_deg_z3-al_seuil1_deg_z3))*H182,0)))</f>
        <v>415.89</v>
      </c>
      <c r="I183" s="264">
        <f>(I$29=1)*(IF((I173/I174)&lt;al_seuil1_deg_z1,I182,IF((I173/I174)&lt;al_seuil2_deg_z1,(1-((I173/I174)-al_seuil1_deg_z1)/(al_seuil2_deg_z1-al_seuil1_deg_z1))*I182,0)))
+(I$29=2)*(IF((I173/I174)&lt;al_seuil1_deg_z2,I182,IF((I173/I174)&lt;al_seuil2_deg_z2,(1-((I173/I174)-al_seuil1_deg_z2)/(al_seuil2_deg_z2-al_seuil1_deg_z2))*I182,0)))
+(I$29=3)*(IF((I173/I174)&lt;al_seuil1_deg_z3,I182,IF((I173/I174)&lt;al_seuil2_deg_z3,(1-((I173/I174)-al_seuil1_deg_z3)/(al_seuil2_deg_z3-al_seuil1_deg_z3))*I182,0)))</f>
        <v>415.89</v>
      </c>
      <c r="J183" s="264">
        <f>(J$29=1)*(IF((J173/J174)&lt;al_seuil1_deg_z1,J182,IF((J173/J174)&lt;al_seuil2_deg_z1,(1-((J173/J174)-al_seuil1_deg_z1)/(al_seuil2_deg_z1-al_seuil1_deg_z1))*J182,0)))
+(J$29=2)*(IF((J173/J174)&lt;al_seuil1_deg_z2,J182,IF((J173/J174)&lt;al_seuil2_deg_z2,(1-((J173/J174)-al_seuil1_deg_z2)/(al_seuil2_deg_z2-al_seuil1_deg_z2))*J182,0)))
+(J$29=3)*(IF((J173/J174)&lt;al_seuil1_deg_z3,J182,IF((J173/J174)&lt;al_seuil2_deg_z3,(1-((J173/J174)-al_seuil1_deg_z3)/(al_seuil2_deg_z3-al_seuil1_deg_z3))*J182,0)))</f>
        <v>226.89849535163279</v>
      </c>
      <c r="K183" s="264">
        <f>(K$29=1)*(IF((K173/K174)&lt;al_seuil1_deg_z1,K182,IF((K173/K174)&lt;al_seuil2_deg_z1,(1-((K173/K174)-al_seuil1_deg_z1)/(al_seuil2_deg_z1-al_seuil1_deg_z1))*K182,0)))
+(K$29=2)*(IF((K173/K174)&lt;al_seuil1_deg_z2,K182,IF((K173/K174)&lt;al_seuil2_deg_z2,(1-((K173/K174)-al_seuil1_deg_z2)/(al_seuil2_deg_z2-al_seuil1_deg_z2))*K182,0)))
+(K$29=3)*(IF((K173/K174)&lt;al_seuil1_deg_z3,K182,IF((K173/K174)&lt;al_seuil2_deg_z3,(1-((K173/K174)-al_seuil1_deg_z3)/(al_seuil2_deg_z3-al_seuil1_deg_z3))*K182,0)))</f>
        <v>0</v>
      </c>
      <c r="M183" s="264">
        <f>(M$29=1)*(IF((M173/M174)&lt;al_seuil1_deg_z1,M182,IF((M173/M174)&lt;al_seuil2_deg_z1,(1-((M173/M174)-al_seuil1_deg_z1)/(al_seuil2_deg_z1-al_seuil1_deg_z1))*M182,0)))
+(M$29=2)*(IF((M173/M174)&lt;al_seuil1_deg_z2,M182,IF((M173/M174)&lt;al_seuil2_deg_z2,(1-((M173/M174)-al_seuil1_deg_z2)/(al_seuil2_deg_z2-al_seuil1_deg_z2))*M182,0)))
+(M$29=3)*(IF((M173/M174)&lt;al_seuil1_deg_z3,M182,IF((M173/M174)&lt;al_seuil2_deg_z3,(1-((M173/M174)-al_seuil1_deg_z3)/(al_seuil2_deg_z3-al_seuil1_deg_z3))*M182,0)))</f>
        <v>478.99</v>
      </c>
      <c r="N183" s="264">
        <f>(N$29=1)*(IF((N173/N174)&lt;al_seuil1_deg_z1,N182,IF((N173/N174)&lt;al_seuil2_deg_z1,(1-((N173/N174)-al_seuil1_deg_z1)/(al_seuil2_deg_z1-al_seuil1_deg_z1))*N182,0)))
+(N$29=2)*(IF((N173/N174)&lt;al_seuil1_deg_z2,N182,IF((N173/N174)&lt;al_seuil2_deg_z2,(1-((N173/N174)-al_seuil1_deg_z2)/(al_seuil2_deg_z2-al_seuil1_deg_z2))*N182,0)))
+(N$29=3)*(IF((N173/N174)&lt;al_seuil1_deg_z3,N182,IF((N173/N174)&lt;al_seuil2_deg_z3,(1-((N173/N174)-al_seuil1_deg_z3)/(al_seuil2_deg_z3-al_seuil1_deg_z3))*N182,0)))</f>
        <v>478.99</v>
      </c>
      <c r="O183" s="264">
        <f>(O$29=1)*(IF((O173/O174)&lt;al_seuil1_deg_z1,O182,IF((O173/O174)&lt;al_seuil2_deg_z1,(1-((O173/O174)-al_seuil1_deg_z1)/(al_seuil2_deg_z1-al_seuil1_deg_z1))*O182,0)))
+(O$29=2)*(IF((O173/O174)&lt;al_seuil1_deg_z2,O182,IF((O173/O174)&lt;al_seuil2_deg_z2,(1-((O173/O174)-al_seuil1_deg_z2)/(al_seuil2_deg_z2-al_seuil1_deg_z2))*O182,0)))
+(O$29=3)*(IF((O173/O174)&lt;al_seuil1_deg_z3,O182,IF((O173/O174)&lt;al_seuil2_deg_z3,(1-((O173/O174)-al_seuil1_deg_z3)/(al_seuil2_deg_z3-al_seuil1_deg_z3))*O182,0)))</f>
        <v>315.46719659538576</v>
      </c>
      <c r="P183" s="264">
        <f>(P$29=1)*(IF((P173/P174)&lt;al_seuil1_deg_z1,P182,IF((P173/P174)&lt;al_seuil2_deg_z1,(1-((P173/P174)-al_seuil1_deg_z1)/(al_seuil2_deg_z1-al_seuil1_deg_z1))*P182,0)))
+(P$29=2)*(IF((P173/P174)&lt;al_seuil1_deg_z2,P182,IF((P173/P174)&lt;al_seuil2_deg_z2,(1-((P173/P174)-al_seuil1_deg_z2)/(al_seuil2_deg_z2-al_seuil1_deg_z2))*P182,0)))
+(P$29=3)*(IF((P173/P174)&lt;al_seuil1_deg_z3,P182,IF((P173/P174)&lt;al_seuil2_deg_z3,(1-((P173/P174)-al_seuil1_deg_z3)/(al_seuil2_deg_z3-al_seuil1_deg_z3))*P182,0)))</f>
        <v>112.06186989307861</v>
      </c>
      <c r="R183" s="264">
        <f>(R$29=1)*(IF((R173/R174)&lt;al_seuil1_deg_z1,R182,IF((R173/R174)&lt;al_seuil2_deg_z1,(1-((R173/R174)-al_seuil1_deg_z1)/(al_seuil2_deg_z1-al_seuil1_deg_z1))*R182,0)))
+(R$29=2)*(IF((R173/R174)&lt;al_seuil1_deg_z2,R182,IF((R173/R174)&lt;al_seuil2_deg_z2,(1-((R173/R174)-al_seuil1_deg_z2)/(al_seuil2_deg_z2-al_seuil1_deg_z2))*R182,0)))
+(R$29=3)*(IF((R173/R174)&lt;al_seuil1_deg_z3,R182,IF((R173/R174)&lt;al_seuil2_deg_z3,(1-((R173/R174)-al_seuil1_deg_z3)/(al_seuil2_deg_z3-al_seuil1_deg_z3))*R182,0)))</f>
        <v>542.08999999999992</v>
      </c>
      <c r="S183" s="264">
        <f>(S$29=1)*(IF((S173/S174)&lt;al_seuil1_deg_z1,S182,IF((S173/S174)&lt;al_seuil2_deg_z1,(1-((S173/S174)-al_seuil1_deg_z1)/(al_seuil2_deg_z1-al_seuil1_deg_z1))*S182,0)))
+(S$29=2)*(IF((S173/S174)&lt;al_seuil1_deg_z2,S182,IF((S173/S174)&lt;al_seuil2_deg_z2,(1-((S173/S174)-al_seuil1_deg_z2)/(al_seuil2_deg_z2-al_seuil1_deg_z2))*S182,0)))
+(S$29=3)*(IF((S173/S174)&lt;al_seuil1_deg_z3,S182,IF((S173/S174)&lt;al_seuil2_deg_z3,(1-((S173/S174)-al_seuil1_deg_z3)/(al_seuil2_deg_z3-al_seuil1_deg_z3))*S182,0)))</f>
        <v>542.08999999999992</v>
      </c>
      <c r="T183" s="264">
        <f>(T$29=1)*(IF((T173/T174)&lt;al_seuil1_deg_z1,T182,IF((T173/T174)&lt;al_seuil2_deg_z1,(1-((T173/T174)-al_seuil1_deg_z1)/(al_seuil2_deg_z1-al_seuil1_deg_z1))*T182,0)))
+(T$29=2)*(IF((T173/T174)&lt;al_seuil1_deg_z2,T182,IF((T173/T174)&lt;al_seuil2_deg_z2,(1-((T173/T174)-al_seuil1_deg_z2)/(al_seuil2_deg_z2-al_seuil1_deg_z2))*T182,0)))
+(T$29=3)*(IF((T173/T174)&lt;al_seuil1_deg_z3,T182,IF((T173/T174)&lt;al_seuil2_deg_z3,(1-((T173/T174)-al_seuil1_deg_z3)/(al_seuil2_deg_z3-al_seuil1_deg_z3))*T182,0)))</f>
        <v>409.13411522097499</v>
      </c>
      <c r="U183" s="264">
        <f>(U$29=1)*(IF((U173/U174)&lt;al_seuil1_deg_z1,U182,IF((U173/U174)&lt;al_seuil2_deg_z1,(1-((U173/U174)-al_seuil1_deg_z1)/(al_seuil2_deg_z1-al_seuil1_deg_z1))*U182,0)))
+(U$29=2)*(IF((U173/U174)&lt;al_seuil1_deg_z2,U182,IF((U173/U174)&lt;al_seuil2_deg_z2,(1-((U173/U174)-al_seuil1_deg_z2)/(al_seuil2_deg_z2-al_seuil1_deg_z2))*U182,0)))
+(U$29=3)*(IF((U173/U174)&lt;al_seuil1_deg_z3,U182,IF((U173/U174)&lt;al_seuil2_deg_z3,(1-((U173/U174)-al_seuil1_deg_z3)/(al_seuil2_deg_z3-al_seuil1_deg_z3))*U182,0)))</f>
        <v>233.75857283146252</v>
      </c>
    </row>
    <row r="184" spans="1:21" ht="13" x14ac:dyDescent="0.3">
      <c r="A184" s="275" t="s">
        <v>212</v>
      </c>
      <c r="B184" s="10"/>
      <c r="C184" s="264">
        <f t="shared" ref="C184:F184" si="66">C183-al_reduc</f>
        <v>355.78999999999996</v>
      </c>
      <c r="D184" s="264">
        <f t="shared" si="66"/>
        <v>350.75891945755262</v>
      </c>
      <c r="E184" s="264">
        <f t="shared" si="66"/>
        <v>89.021338915105332</v>
      </c>
      <c r="F184" s="264">
        <f t="shared" si="66"/>
        <v>-5</v>
      </c>
      <c r="H184" s="264">
        <f t="shared" ref="H184:K184" si="67">H183-al_reduc</f>
        <v>410.89</v>
      </c>
      <c r="I184" s="264">
        <f t="shared" si="67"/>
        <v>410.89</v>
      </c>
      <c r="J184" s="264">
        <f t="shared" si="67"/>
        <v>221.89849535163279</v>
      </c>
      <c r="K184" s="264">
        <f t="shared" si="67"/>
        <v>-5</v>
      </c>
      <c r="M184" s="264">
        <f t="shared" ref="M184:P184" si="68">M183-al_reduc</f>
        <v>473.99</v>
      </c>
      <c r="N184" s="264">
        <f t="shared" si="68"/>
        <v>473.99</v>
      </c>
      <c r="O184" s="264">
        <f t="shared" si="68"/>
        <v>310.46719659538576</v>
      </c>
      <c r="P184" s="264">
        <f t="shared" si="68"/>
        <v>107.06186989307861</v>
      </c>
      <c r="R184" s="264">
        <f t="shared" ref="R184:U184" si="69">R183-al_reduc</f>
        <v>537.08999999999992</v>
      </c>
      <c r="S184" s="264">
        <f t="shared" si="69"/>
        <v>537.08999999999992</v>
      </c>
      <c r="T184" s="264">
        <f t="shared" si="69"/>
        <v>404.13411522097499</v>
      </c>
      <c r="U184" s="264">
        <f t="shared" si="69"/>
        <v>228.75857283146252</v>
      </c>
    </row>
    <row r="185" spans="1:21" ht="13.5" thickBot="1" x14ac:dyDescent="0.35">
      <c r="A185" s="288" t="s">
        <v>213</v>
      </c>
      <c r="B185" s="290"/>
      <c r="C185" s="291">
        <f t="shared" ref="C185:F185" si="70">IF(ROUNDDOWN(C184,0)&gt;=al_seuil_versement,C184,0)*(1-taux_CRDS)</f>
        <v>354.01104999999995</v>
      </c>
      <c r="D185" s="291">
        <f t="shared" si="70"/>
        <v>349.00512486026486</v>
      </c>
      <c r="E185" s="291">
        <f t="shared" si="70"/>
        <v>88.576232220529803</v>
      </c>
      <c r="F185" s="291">
        <f t="shared" si="70"/>
        <v>0</v>
      </c>
      <c r="H185" s="291">
        <f t="shared" ref="H185:K185" si="71">IF(ROUNDDOWN(H184,0)&gt;=al_seuil_versement,H184,0)*(1-taux_CRDS)</f>
        <v>408.83555000000001</v>
      </c>
      <c r="I185" s="291">
        <f t="shared" si="71"/>
        <v>408.83555000000001</v>
      </c>
      <c r="J185" s="291">
        <f t="shared" si="71"/>
        <v>220.78900287487463</v>
      </c>
      <c r="K185" s="291">
        <f t="shared" si="71"/>
        <v>0</v>
      </c>
      <c r="M185" s="291">
        <f t="shared" ref="M185:P185" si="72">IF(ROUNDDOWN(M184,0)&gt;=al_seuil_versement,M184,0)*(1-taux_CRDS)</f>
        <v>471.62004999999999</v>
      </c>
      <c r="N185" s="291">
        <f t="shared" si="72"/>
        <v>471.62004999999999</v>
      </c>
      <c r="O185" s="291">
        <f t="shared" si="72"/>
        <v>308.9148606124088</v>
      </c>
      <c r="P185" s="291">
        <f t="shared" si="72"/>
        <v>106.52656054361321</v>
      </c>
      <c r="R185" s="291">
        <f t="shared" ref="R185:U185" si="73">IF(ROUNDDOWN(R184,0)&gt;=al_seuil_versement,R184,0)*(1-taux_CRDS)</f>
        <v>534.40454999999997</v>
      </c>
      <c r="S185" s="291">
        <f t="shared" si="73"/>
        <v>534.40454999999997</v>
      </c>
      <c r="T185" s="291">
        <f t="shared" si="73"/>
        <v>402.11344464487013</v>
      </c>
      <c r="U185" s="291">
        <f t="shared" si="73"/>
        <v>227.6147799673052</v>
      </c>
    </row>
    <row r="186" spans="1:21" ht="13.5" thickBot="1" x14ac:dyDescent="0.35">
      <c r="A186" s="295" t="s">
        <v>496</v>
      </c>
      <c r="C186" s="201"/>
      <c r="D186" s="201"/>
      <c r="E186" s="201"/>
      <c r="F186" s="201"/>
      <c r="H186" s="201"/>
      <c r="I186" s="201"/>
      <c r="J186" s="201"/>
      <c r="K186" s="201"/>
      <c r="M186" s="201"/>
      <c r="N186" s="201"/>
      <c r="O186" s="201"/>
      <c r="P186" s="201"/>
      <c r="R186" s="201"/>
      <c r="S186" s="201"/>
      <c r="T186" s="201"/>
      <c r="U186" s="201"/>
    </row>
    <row r="187" spans="1:21" ht="13" x14ac:dyDescent="0.3">
      <c r="A187" s="286" t="s">
        <v>431</v>
      </c>
      <c r="B187" s="287"/>
      <c r="C187" s="432">
        <f>MAX(0,(Coef_impot/evol_smic)*C$58-MAX(irpp_min_reduc_fp,MIN(irpp_max_reduc_fp,irpp_taux_reduc_fp*(Coef_impot/evol_smic)*C$58)))
+(MAX(0,12*C$52-MAX(irpp_min_reduc_pens,MIN(irpp_max_reduc_pens,irpp_taux_reduc_pens*12*C$52)))
 -12*C$53)*(C$13&lt;&gt;"ga_m")*(C$13&lt;&gt;"ga_p")</f>
        <v>0</v>
      </c>
      <c r="D187" s="432">
        <f>MAX(0,(Coef_impot/evol_smic)*D$58-MAX(irpp_min_reduc_fp,MIN(irpp_max_reduc_fp,irpp_taux_reduc_fp*(Coef_impot/evol_smic)*D$58)))
+(MAX(0,12*D$52-MAX(irpp_min_reduc_pens,MIN(irpp_max_reduc_pens,irpp_taux_reduc_pens*12*D$52)))
 -12*D$53)*(D$13&lt;&gt;"ga_m")*(D$13&lt;&gt;"ga_p")</f>
        <v>7575.6173818363923</v>
      </c>
      <c r="E187" s="432">
        <f>MAX(0,(Coef_impot/evol_smic)*E$58-MAX(irpp_min_reduc_fp,MIN(irpp_max_reduc_fp,irpp_taux_reduc_fp*(Coef_impot/evol_smic)*E$58)))
+(MAX(0,12*E$52-MAX(irpp_min_reduc_pens,MIN(irpp_max_reduc_pens,irpp_taux_reduc_pens*12*E$52)))
 -12*E$53)*(E$13&lt;&gt;"ga_m")*(E$13&lt;&gt;"ga_p")</f>
        <v>15151.234763672785</v>
      </c>
      <c r="F187" s="432">
        <f>MAX(0,(Coef_impot/evol_smic)*F$58-MAX(irpp_min_reduc_fp,MIN(irpp_max_reduc_fp,irpp_taux_reduc_fp*(Coef_impot/evol_smic)*F$58)))
+(MAX(0,12*F$52-MAX(irpp_min_reduc_pens,MIN(irpp_max_reduc_pens,irpp_taux_reduc_pens*12*F$52)))
 -12*F$53)*(F$13&lt;&gt;"ga_m")*(F$13&lt;&gt;"ga_p")</f>
        <v>22726.852145509176</v>
      </c>
      <c r="H187" s="432">
        <f>MAX(0,(Coef_impot/evol_smic)*H$58-MAX(irpp_min_reduc_fp,MIN(irpp_max_reduc_fp,irpp_taux_reduc_fp*(Coef_impot/evol_smic)*H$58)))
+(MAX(0,12*H$52-MAX(irpp_min_reduc_pens,MIN(irpp_max_reduc_pens,irpp_taux_reduc_pens*12*H$52)))
 -12*H$53)*(H$13&lt;&gt;"ga_m")*(H$13&lt;&gt;"ga_p")</f>
        <v>0</v>
      </c>
      <c r="I187" s="432">
        <f>MAX(0,(Coef_impot/evol_smic)*I$58-MAX(irpp_min_reduc_fp,MIN(irpp_max_reduc_fp,irpp_taux_reduc_fp*(Coef_impot/evol_smic)*I$58)))
+(MAX(0,12*I$52-MAX(irpp_min_reduc_pens,MIN(irpp_max_reduc_pens,irpp_taux_reduc_pens*12*I$52)))
 -12*I$53)*(I$13&lt;&gt;"ga_m")*(I$13&lt;&gt;"ga_p")</f>
        <v>7575.6173818363923</v>
      </c>
      <c r="J187" s="432">
        <f>MAX(0,(Coef_impot/evol_smic)*J$58-MAX(irpp_min_reduc_fp,MIN(irpp_max_reduc_fp,irpp_taux_reduc_fp*(Coef_impot/evol_smic)*J$58)))
+(MAX(0,12*J$52-MAX(irpp_min_reduc_pens,MIN(irpp_max_reduc_pens,irpp_taux_reduc_pens*12*J$52)))
 -12*J$53)*(J$13&lt;&gt;"ga_m")*(J$13&lt;&gt;"ga_p")</f>
        <v>15151.234763672785</v>
      </c>
      <c r="K187" s="432">
        <f>MAX(0,(Coef_impot/evol_smic)*K$58-MAX(irpp_min_reduc_fp,MIN(irpp_max_reduc_fp,irpp_taux_reduc_fp*(Coef_impot/evol_smic)*K$58)))
+(MAX(0,12*K$52-MAX(irpp_min_reduc_pens,MIN(irpp_max_reduc_pens,irpp_taux_reduc_pens*12*K$52)))
 -12*K$53)*(K$13&lt;&gt;"ga_m")*(K$13&lt;&gt;"ga_p")</f>
        <v>22726.852145509176</v>
      </c>
      <c r="M187" s="432">
        <f>MAX(0,(Coef_impot/evol_smic)*M$58-MAX(irpp_min_reduc_fp,MIN(irpp_max_reduc_fp,irpp_taux_reduc_fp*(Coef_impot/evol_smic)*M$58)))
+(MAX(0,12*M$52-MAX(irpp_min_reduc_pens,MIN(irpp_max_reduc_pens,irpp_taux_reduc_pens*12*M$52)))
 -12*M$53)*(M$13&lt;&gt;"ga_m")*(M$13&lt;&gt;"ga_p")</f>
        <v>0</v>
      </c>
      <c r="N187" s="432">
        <f>MAX(0,(Coef_impot/evol_smic)*N$58-MAX(irpp_min_reduc_fp,MIN(irpp_max_reduc_fp,irpp_taux_reduc_fp*(Coef_impot/evol_smic)*N$58)))
+(MAX(0,12*N$52-MAX(irpp_min_reduc_pens,MIN(irpp_max_reduc_pens,irpp_taux_reduc_pens*12*N$52)))
 -12*N$53)*(N$13&lt;&gt;"ga_m")*(N$13&lt;&gt;"ga_p")</f>
        <v>7575.6173818363923</v>
      </c>
      <c r="O187" s="432">
        <f>MAX(0,(Coef_impot/evol_smic)*O$58-MAX(irpp_min_reduc_fp,MIN(irpp_max_reduc_fp,irpp_taux_reduc_fp*(Coef_impot/evol_smic)*O$58)))
+(MAX(0,12*O$52-MAX(irpp_min_reduc_pens,MIN(irpp_max_reduc_pens,irpp_taux_reduc_pens*12*O$52)))
 -12*O$53)*(O$13&lt;&gt;"ga_m")*(O$13&lt;&gt;"ga_p")</f>
        <v>15151.234763672785</v>
      </c>
      <c r="P187" s="432">
        <f>MAX(0,(Coef_impot/evol_smic)*P$58-MAX(irpp_min_reduc_fp,MIN(irpp_max_reduc_fp,irpp_taux_reduc_fp*(Coef_impot/evol_smic)*P$58)))
+(MAX(0,12*P$52-MAX(irpp_min_reduc_pens,MIN(irpp_max_reduc_pens,irpp_taux_reduc_pens*12*P$52)))
 -12*P$53)*(P$13&lt;&gt;"ga_m")*(P$13&lt;&gt;"ga_p")</f>
        <v>22726.852145509176</v>
      </c>
      <c r="R187" s="432">
        <f>MAX(0,(Coef_impot/evol_smic)*R$58-MAX(irpp_min_reduc_fp,MIN(irpp_max_reduc_fp,irpp_taux_reduc_fp*(Coef_impot/evol_smic)*R$58)))
+(MAX(0,12*R$52-MAX(irpp_min_reduc_pens,MIN(irpp_max_reduc_pens,irpp_taux_reduc_pens*12*R$52)))
 -12*R$53)*(R$13&lt;&gt;"ga_m")*(R$13&lt;&gt;"ga_p")</f>
        <v>0</v>
      </c>
      <c r="S187" s="432">
        <f>MAX(0,(Coef_impot/evol_smic)*S$58-MAX(irpp_min_reduc_fp,MIN(irpp_max_reduc_fp,irpp_taux_reduc_fp*(Coef_impot/evol_smic)*S$58)))
+(MAX(0,12*S$52-MAX(irpp_min_reduc_pens,MIN(irpp_max_reduc_pens,irpp_taux_reduc_pens*12*S$52)))
 -12*S$53)*(S$13&lt;&gt;"ga_m")*(S$13&lt;&gt;"ga_p")</f>
        <v>7575.6173818363923</v>
      </c>
      <c r="T187" s="432">
        <f>MAX(0,(Coef_impot/evol_smic)*T$58-MAX(irpp_min_reduc_fp,MIN(irpp_max_reduc_fp,irpp_taux_reduc_fp*(Coef_impot/evol_smic)*T$58)))
+(MAX(0,12*T$52-MAX(irpp_min_reduc_pens,MIN(irpp_max_reduc_pens,irpp_taux_reduc_pens*12*T$52)))
 -12*T$53)*(T$13&lt;&gt;"ga_m")*(T$13&lt;&gt;"ga_p")</f>
        <v>15151.234763672785</v>
      </c>
      <c r="U187" s="432">
        <f>MAX(0,(Coef_impot/evol_smic)*U$58-MAX(irpp_min_reduc_fp,MIN(irpp_max_reduc_fp,irpp_taux_reduc_fp*(Coef_impot/evol_smic)*U$58)))
+(MAX(0,12*U$52-MAX(irpp_min_reduc_pens,MIN(irpp_max_reduc_pens,irpp_taux_reduc_pens*12*U$52)))
 -12*U$53)*(U$13&lt;&gt;"ga_m")*(U$13&lt;&gt;"ga_p")</f>
        <v>22726.852145509176</v>
      </c>
    </row>
    <row r="188" spans="1:21" ht="13" x14ac:dyDescent="0.3">
      <c r="A188" s="276" t="s">
        <v>173</v>
      </c>
      <c r="B188" s="259"/>
      <c r="C188" s="262">
        <f>IF(C$30="plaf",C189,C$30)</f>
        <v>340.62</v>
      </c>
      <c r="D188" s="262">
        <f>IF(D$30="plaf",D189,D$30)</f>
        <v>340.62</v>
      </c>
      <c r="E188" s="262">
        <f>IF(E$30="plaf",E189,E$30)</f>
        <v>340.62</v>
      </c>
      <c r="F188" s="262">
        <f>IF(F$30="plaf",F189,F$30)</f>
        <v>340.62</v>
      </c>
      <c r="H188" s="262">
        <f>IF(H$30="plaf",H189,H$30)</f>
        <v>340.62</v>
      </c>
      <c r="I188" s="262">
        <f>IF(I$30="plaf",I189,I$30)</f>
        <v>340.62</v>
      </c>
      <c r="J188" s="262">
        <f>IF(J$30="plaf",J189,J$30)</f>
        <v>340.62</v>
      </c>
      <c r="K188" s="262">
        <f>IF(K$30="plaf",K189,K$30)</f>
        <v>340.62</v>
      </c>
      <c r="M188" s="262">
        <f>IF(M$30="plaf",M189,M$30)</f>
        <v>340.62</v>
      </c>
      <c r="N188" s="262">
        <f>IF(N$30="plaf",N189,N$30)</f>
        <v>340.62</v>
      </c>
      <c r="O188" s="262">
        <f>IF(O$30="plaf",O189,O$30)</f>
        <v>340.62</v>
      </c>
      <c r="P188" s="262">
        <f>IF(P$30="plaf",P189,P$30)</f>
        <v>340.62</v>
      </c>
      <c r="R188" s="262">
        <f>IF(R$30="plaf",R189,R$30)</f>
        <v>340.62</v>
      </c>
      <c r="S188" s="262">
        <f>IF(S$30="plaf",S189,S$30)</f>
        <v>340.62</v>
      </c>
      <c r="T188" s="262">
        <f>IF(T$30="plaf",T189,T$30)</f>
        <v>340.62</v>
      </c>
      <c r="U188" s="262">
        <f>IF(U$30="plaf",U189,U$30)</f>
        <v>340.62</v>
      </c>
    </row>
    <row r="189" spans="1:21" x14ac:dyDescent="0.25">
      <c r="A189" s="274" t="s">
        <v>172</v>
      </c>
      <c r="B189" s="259"/>
      <c r="C189" s="262">
        <f>(C$29=1)*IF(C$3="isolé",al_loy_plaf_I0_z1,al_loy_plaf_c0_z1)+(C$29=2)*IF(C$3="isolé",al_loy_plaf_I0_z2,al_loy_plaf_C0_z2)+(C$29=3)*IF(C$3="isolé",al_loy_plaf_I0_z3,al_loy_plaf_C0_z3)</f>
        <v>340.62</v>
      </c>
      <c r="D189" s="262">
        <f>(D$29=1)*IF(D$3="isolé",al_loy_plaf_I0_z1,al_loy_plaf_c0_z1)+(D$29=2)*IF(D$3="isolé",al_loy_plaf_I0_z2,al_loy_plaf_C0_z2)+(D$29=3)*IF(D$3="isolé",al_loy_plaf_I0_z3,al_loy_plaf_C0_z3)</f>
        <v>340.62</v>
      </c>
      <c r="E189" s="262">
        <f>(E$29=1)*IF(E$3="isolé",al_loy_plaf_I0_z1,al_loy_plaf_c0_z1)+(E$29=2)*IF(E$3="isolé",al_loy_plaf_I0_z2,al_loy_plaf_C0_z2)+(E$29=3)*IF(E$3="isolé",al_loy_plaf_I0_z3,al_loy_plaf_C0_z3)</f>
        <v>340.62</v>
      </c>
      <c r="F189" s="262">
        <f>(F$29=1)*IF(F$3="isolé",al_loy_plaf_I0_z1,al_loy_plaf_c0_z1)+(F$29=2)*IF(F$3="isolé",al_loy_plaf_I0_z2,al_loy_plaf_C0_z2)+(F$29=3)*IF(F$3="isolé",al_loy_plaf_I0_z3,al_loy_plaf_C0_z3)</f>
        <v>340.62</v>
      </c>
      <c r="H189" s="262">
        <f>(H$29=1)*IF(H$3="isolé",al_loy_plaf_I0_z1,al_loy_plaf_c0_z1)+(H$29=2)*IF(H$3="isolé",al_loy_plaf_I0_z2,al_loy_plaf_C0_z2)+(H$29=3)*IF(H$3="isolé",al_loy_plaf_I0_z3,al_loy_plaf_C0_z3)</f>
        <v>340.62</v>
      </c>
      <c r="I189" s="262">
        <f>(I$29=1)*IF(I$3="isolé",al_loy_plaf_I0_z1,al_loy_plaf_c0_z1)+(I$29=2)*IF(I$3="isolé",al_loy_plaf_I0_z2,al_loy_plaf_C0_z2)+(I$29=3)*IF(I$3="isolé",al_loy_plaf_I0_z3,al_loy_plaf_C0_z3)</f>
        <v>340.62</v>
      </c>
      <c r="J189" s="262">
        <f>(J$29=1)*IF(J$3="isolé",al_loy_plaf_I0_z1,al_loy_plaf_c0_z1)+(J$29=2)*IF(J$3="isolé",al_loy_plaf_I0_z2,al_loy_plaf_C0_z2)+(J$29=3)*IF(J$3="isolé",al_loy_plaf_I0_z3,al_loy_plaf_C0_z3)</f>
        <v>340.62</v>
      </c>
      <c r="K189" s="262">
        <f>(K$29=1)*IF(K$3="isolé",al_loy_plaf_I0_z1,al_loy_plaf_c0_z1)+(K$29=2)*IF(K$3="isolé",al_loy_plaf_I0_z2,al_loy_plaf_C0_z2)+(K$29=3)*IF(K$3="isolé",al_loy_plaf_I0_z3,al_loy_plaf_C0_z3)</f>
        <v>340.62</v>
      </c>
      <c r="M189" s="262">
        <f>(M$29=1)*IF(M$3="isolé",al_loy_plaf_I0_z1,al_loy_plaf_c0_z1)+(M$29=2)*IF(M$3="isolé",al_loy_plaf_I0_z2,al_loy_plaf_C0_z2)+(M$29=3)*IF(M$3="isolé",al_loy_plaf_I0_z3,al_loy_plaf_C0_z3)</f>
        <v>340.62</v>
      </c>
      <c r="N189" s="262">
        <f>(N$29=1)*IF(N$3="isolé",al_loy_plaf_I0_z1,al_loy_plaf_c0_z1)+(N$29=2)*IF(N$3="isolé",al_loy_plaf_I0_z2,al_loy_plaf_C0_z2)+(N$29=3)*IF(N$3="isolé",al_loy_plaf_I0_z3,al_loy_plaf_C0_z3)</f>
        <v>340.62</v>
      </c>
      <c r="O189" s="262">
        <f>(O$29=1)*IF(O$3="isolé",al_loy_plaf_I0_z1,al_loy_plaf_c0_z1)+(O$29=2)*IF(O$3="isolé",al_loy_plaf_I0_z2,al_loy_plaf_C0_z2)+(O$29=3)*IF(O$3="isolé",al_loy_plaf_I0_z3,al_loy_plaf_C0_z3)</f>
        <v>340.62</v>
      </c>
      <c r="P189" s="262">
        <f>(P$29=1)*IF(P$3="isolé",al_loy_plaf_I0_z1,al_loy_plaf_c0_z1)+(P$29=2)*IF(P$3="isolé",al_loy_plaf_I0_z2,al_loy_plaf_C0_z2)+(P$29=3)*IF(P$3="isolé",al_loy_plaf_I0_z3,al_loy_plaf_C0_z3)</f>
        <v>340.62</v>
      </c>
      <c r="R189" s="262">
        <f>(R$29=1)*IF(R$3="isolé",al_loy_plaf_I0_z1,al_loy_plaf_c0_z1)+(R$29=2)*IF(R$3="isolé",al_loy_plaf_I0_z2,al_loy_plaf_C0_z2)+(R$29=3)*IF(R$3="isolé",al_loy_plaf_I0_z3,al_loy_plaf_C0_z3)</f>
        <v>340.62</v>
      </c>
      <c r="S189" s="262">
        <f>(S$29=1)*IF(S$3="isolé",al_loy_plaf_I0_z1,al_loy_plaf_c0_z1)+(S$29=2)*IF(S$3="isolé",al_loy_plaf_I0_z2,al_loy_plaf_C0_z2)+(S$29=3)*IF(S$3="isolé",al_loy_plaf_I0_z3,al_loy_plaf_C0_z3)</f>
        <v>340.62</v>
      </c>
      <c r="T189" s="262">
        <f>(T$29=1)*IF(T$3="isolé",al_loy_plaf_I0_z1,al_loy_plaf_c0_z1)+(T$29=2)*IF(T$3="isolé",al_loy_plaf_I0_z2,al_loy_plaf_C0_z2)+(T$29=3)*IF(T$3="isolé",al_loy_plaf_I0_z3,al_loy_plaf_C0_z3)</f>
        <v>340.62</v>
      </c>
      <c r="U189" s="262">
        <f>(U$29=1)*IF(U$3="isolé",al_loy_plaf_I0_z1,al_loy_plaf_c0_z1)+(U$29=2)*IF(U$3="isolé",al_loy_plaf_I0_z2,al_loy_plaf_C0_z2)+(U$29=3)*IF(U$3="isolé",al_loy_plaf_I0_z3,al_loy_plaf_C0_z3)</f>
        <v>340.62</v>
      </c>
    </row>
    <row r="190" spans="1:21" x14ac:dyDescent="0.25">
      <c r="A190" s="274" t="s">
        <v>13</v>
      </c>
      <c r="B190" s="259"/>
      <c r="C190" s="262">
        <f>al_forf_charges_0_pac</f>
        <v>58.08</v>
      </c>
      <c r="D190" s="262">
        <f>al_forf_charges_0_pac</f>
        <v>58.08</v>
      </c>
      <c r="E190" s="262">
        <f>al_forf_charges_0_pac</f>
        <v>58.08</v>
      </c>
      <c r="F190" s="262">
        <f>al_forf_charges_0_pac</f>
        <v>58.08</v>
      </c>
      <c r="H190" s="262">
        <f>al_forf_charges_0_pac</f>
        <v>58.08</v>
      </c>
      <c r="I190" s="262">
        <f>al_forf_charges_0_pac</f>
        <v>58.08</v>
      </c>
      <c r="J190" s="262">
        <f>al_forf_charges_0_pac</f>
        <v>58.08</v>
      </c>
      <c r="K190" s="262">
        <f>al_forf_charges_0_pac</f>
        <v>58.08</v>
      </c>
      <c r="M190" s="262">
        <f>al_forf_charges_0_pac</f>
        <v>58.08</v>
      </c>
      <c r="N190" s="262">
        <f>al_forf_charges_0_pac</f>
        <v>58.08</v>
      </c>
      <c r="O190" s="262">
        <f>al_forf_charges_0_pac</f>
        <v>58.08</v>
      </c>
      <c r="P190" s="262">
        <f>al_forf_charges_0_pac</f>
        <v>58.08</v>
      </c>
      <c r="R190" s="262">
        <f>al_forf_charges_0_pac</f>
        <v>58.08</v>
      </c>
      <c r="S190" s="262">
        <f>al_forf_charges_0_pac</f>
        <v>58.08</v>
      </c>
      <c r="T190" s="262">
        <f>al_forf_charges_0_pac</f>
        <v>58.08</v>
      </c>
      <c r="U190" s="262">
        <f>al_forf_charges_0_pac</f>
        <v>58.08</v>
      </c>
    </row>
    <row r="191" spans="1:21" x14ac:dyDescent="0.25">
      <c r="A191" s="274" t="s">
        <v>175</v>
      </c>
      <c r="B191" s="259"/>
      <c r="C191" s="262">
        <f>MIN(C188,C189)+C190</f>
        <v>398.7</v>
      </c>
      <c r="D191" s="262">
        <f>MIN(D188,D189)+D190</f>
        <v>398.7</v>
      </c>
      <c r="E191" s="262">
        <f>MIN(E188,E189)+E190</f>
        <v>398.7</v>
      </c>
      <c r="F191" s="262">
        <f>MIN(F188,F189)+F190</f>
        <v>398.7</v>
      </c>
      <c r="H191" s="262">
        <f>MIN(H188,H189)+H190</f>
        <v>398.7</v>
      </c>
      <c r="I191" s="262">
        <f>MIN(I188,I189)+I190</f>
        <v>398.7</v>
      </c>
      <c r="J191" s="262">
        <f>MIN(J188,J189)+J190</f>
        <v>398.7</v>
      </c>
      <c r="K191" s="262">
        <f>MIN(K188,K189)+K190</f>
        <v>398.7</v>
      </c>
      <c r="M191" s="262">
        <f>MIN(M188,M189)+M190</f>
        <v>398.7</v>
      </c>
      <c r="N191" s="262">
        <f>MIN(N188,N189)+N190</f>
        <v>398.7</v>
      </c>
      <c r="O191" s="262">
        <f>MIN(O188,O189)+O190</f>
        <v>398.7</v>
      </c>
      <c r="P191" s="262">
        <f>MIN(P188,P189)+P190</f>
        <v>398.7</v>
      </c>
      <c r="R191" s="262">
        <f>MIN(R188,R189)+R190</f>
        <v>398.7</v>
      </c>
      <c r="S191" s="262">
        <f>MIN(S188,S189)+S190</f>
        <v>398.7</v>
      </c>
      <c r="T191" s="262">
        <f>MIN(T188,T189)+T190</f>
        <v>398.7</v>
      </c>
      <c r="U191" s="262">
        <f>MIN(U188,U189)+U190</f>
        <v>398.7</v>
      </c>
    </row>
    <row r="192" spans="1:21" x14ac:dyDescent="0.25">
      <c r="A192" s="275" t="s">
        <v>217</v>
      </c>
      <c r="B192" s="259"/>
      <c r="C192" s="262">
        <f>IF(C$3="isolé",al_R0_I0,al_R0_C0)</f>
        <v>7430</v>
      </c>
      <c r="D192" s="262">
        <f>IF(D$3="isolé",al_R0_I0,al_R0_C0)</f>
        <v>7430</v>
      </c>
      <c r="E192" s="262">
        <f>IF(E$3="isolé",al_R0_I0,al_R0_C0)</f>
        <v>7430</v>
      </c>
      <c r="F192" s="262">
        <f>IF(F$3="isolé",al_R0_I0,al_R0_C0)</f>
        <v>7430</v>
      </c>
      <c r="H192" s="262">
        <f>IF(H$3="isolé",al_R0_I0,al_R0_C0)</f>
        <v>7430</v>
      </c>
      <c r="I192" s="262">
        <f>IF(I$3="isolé",al_R0_I0,al_R0_C0)</f>
        <v>7430</v>
      </c>
      <c r="J192" s="262">
        <f>IF(J$3="isolé",al_R0_I0,al_R0_C0)</f>
        <v>7430</v>
      </c>
      <c r="K192" s="262">
        <f>IF(K$3="isolé",al_R0_I0,al_R0_C0)</f>
        <v>7430</v>
      </c>
      <c r="M192" s="262">
        <f>IF(M$3="isolé",al_R0_I0,al_R0_C0)</f>
        <v>7430</v>
      </c>
      <c r="N192" s="262">
        <f>IF(N$3="isolé",al_R0_I0,al_R0_C0)</f>
        <v>7430</v>
      </c>
      <c r="O192" s="262">
        <f>IF(O$3="isolé",al_R0_I0,al_R0_C0)</f>
        <v>7430</v>
      </c>
      <c r="P192" s="262">
        <f>IF(P$3="isolé",al_R0_I0,al_R0_C0)</f>
        <v>7430</v>
      </c>
      <c r="R192" s="262">
        <f>IF(R$3="isolé",al_R0_I0,al_R0_C0)</f>
        <v>7430</v>
      </c>
      <c r="S192" s="262">
        <f>IF(S$3="isolé",al_R0_I0,al_R0_C0)</f>
        <v>7430</v>
      </c>
      <c r="T192" s="262">
        <f>IF(T$3="isolé",al_R0_I0,al_R0_C0)</f>
        <v>7430</v>
      </c>
      <c r="U192" s="262">
        <f>IF(U$3="isolé",al_R0_I0,al_R0_C0)</f>
        <v>7430</v>
      </c>
    </row>
    <row r="193" spans="1:21" x14ac:dyDescent="0.25">
      <c r="A193" s="274" t="s">
        <v>195</v>
      </c>
      <c r="B193" s="259"/>
      <c r="C193" s="269">
        <f t="shared" ref="C193:F193" si="74">ROUND(MAX(al_p0,al_p0_taux*C191),2)</f>
        <v>37.909999999999997</v>
      </c>
      <c r="D193" s="269">
        <f t="shared" si="74"/>
        <v>37.909999999999997</v>
      </c>
      <c r="E193" s="269">
        <f t="shared" si="74"/>
        <v>37.909999999999997</v>
      </c>
      <c r="F193" s="269">
        <f t="shared" si="74"/>
        <v>37.909999999999997</v>
      </c>
      <c r="H193" s="269">
        <f t="shared" ref="H193:K193" si="75">ROUND(MAX(al_p0,al_p0_taux*H191),2)</f>
        <v>37.909999999999997</v>
      </c>
      <c r="I193" s="269">
        <f t="shared" si="75"/>
        <v>37.909999999999997</v>
      </c>
      <c r="J193" s="269">
        <f t="shared" si="75"/>
        <v>37.909999999999997</v>
      </c>
      <c r="K193" s="269">
        <f t="shared" si="75"/>
        <v>37.909999999999997</v>
      </c>
      <c r="M193" s="269">
        <f t="shared" ref="M193:P193" si="76">ROUND(MAX(al_p0,al_p0_taux*M191),2)</f>
        <v>37.909999999999997</v>
      </c>
      <c r="N193" s="269">
        <f t="shared" si="76"/>
        <v>37.909999999999997</v>
      </c>
      <c r="O193" s="269">
        <f t="shared" si="76"/>
        <v>37.909999999999997</v>
      </c>
      <c r="P193" s="269">
        <f t="shared" si="76"/>
        <v>37.909999999999997</v>
      </c>
      <c r="R193" s="269">
        <f t="shared" ref="R193:U193" si="77">ROUND(MAX(al_p0,al_p0_taux*R191),2)</f>
        <v>37.909999999999997</v>
      </c>
      <c r="S193" s="269">
        <f t="shared" si="77"/>
        <v>37.909999999999997</v>
      </c>
      <c r="T193" s="269">
        <f t="shared" si="77"/>
        <v>37.909999999999997</v>
      </c>
      <c r="U193" s="269">
        <f t="shared" si="77"/>
        <v>37.909999999999997</v>
      </c>
    </row>
    <row r="194" spans="1:21" x14ac:dyDescent="0.25">
      <c r="A194" s="275" t="s">
        <v>192</v>
      </c>
      <c r="B194" s="259"/>
      <c r="C194" s="270">
        <f>IF(C$3="isolé",al_tf_I0,al_tf_C0)</f>
        <v>3.15E-2</v>
      </c>
      <c r="D194" s="270">
        <f>IF(D$3="isolé",al_tf_I0,al_tf_C0)</f>
        <v>3.15E-2</v>
      </c>
      <c r="E194" s="270">
        <f>IF(E$3="isolé",al_tf_I0,al_tf_C0)</f>
        <v>3.15E-2</v>
      </c>
      <c r="F194" s="270">
        <f>IF(F$3="isolé",al_tf_I0,al_tf_C0)</f>
        <v>3.15E-2</v>
      </c>
      <c r="H194" s="270">
        <f>IF(H$3="isolé",al_tf_I0,al_tf_C0)</f>
        <v>3.15E-2</v>
      </c>
      <c r="I194" s="270">
        <f>IF(I$3="isolé",al_tf_I0,al_tf_C0)</f>
        <v>3.15E-2</v>
      </c>
      <c r="J194" s="270">
        <f>IF(J$3="isolé",al_tf_I0,al_tf_C0)</f>
        <v>3.15E-2</v>
      </c>
      <c r="K194" s="270">
        <f>IF(K$3="isolé",al_tf_I0,al_tf_C0)</f>
        <v>3.15E-2</v>
      </c>
      <c r="M194" s="270">
        <f>IF(M$3="isolé",al_tf_I0,al_tf_C0)</f>
        <v>3.15E-2</v>
      </c>
      <c r="N194" s="270">
        <f>IF(N$3="isolé",al_tf_I0,al_tf_C0)</f>
        <v>3.15E-2</v>
      </c>
      <c r="O194" s="270">
        <f>IF(O$3="isolé",al_tf_I0,al_tf_C0)</f>
        <v>3.15E-2</v>
      </c>
      <c r="P194" s="270">
        <f>IF(P$3="isolé",al_tf_I0,al_tf_C0)</f>
        <v>3.15E-2</v>
      </c>
      <c r="R194" s="270">
        <f>IF(R$3="isolé",al_tf_I0,al_tf_C0)</f>
        <v>3.15E-2</v>
      </c>
      <c r="S194" s="270">
        <f>IF(S$3="isolé",al_tf_I0,al_tf_C0)</f>
        <v>3.15E-2</v>
      </c>
      <c r="T194" s="270">
        <f>IF(T$3="isolé",al_tf_I0,al_tf_C0)</f>
        <v>3.15E-2</v>
      </c>
      <c r="U194" s="270">
        <f>IF(U$3="isolé",al_tf_I0,al_tf_C0)</f>
        <v>3.15E-2</v>
      </c>
    </row>
    <row r="195" spans="1:21" x14ac:dyDescent="0.25">
      <c r="A195" s="275" t="s">
        <v>193</v>
      </c>
      <c r="B195" s="259"/>
      <c r="C195" s="278">
        <f t="shared" ref="C195:U195" si="78">(C$29=1)*al_tl_z1+(C$29=2)*al_tl_z2+(C$29=3)*al_tl_z3</f>
        <v>3.0500000000000006E-3</v>
      </c>
      <c r="D195" s="278">
        <f t="shared" si="78"/>
        <v>3.0500000000000006E-3</v>
      </c>
      <c r="E195" s="278">
        <f t="shared" si="78"/>
        <v>3.0500000000000006E-3</v>
      </c>
      <c r="F195" s="278">
        <f t="shared" si="78"/>
        <v>3.0500000000000006E-3</v>
      </c>
      <c r="H195" s="278">
        <f t="shared" si="78"/>
        <v>3.0500000000000006E-3</v>
      </c>
      <c r="I195" s="278">
        <f t="shared" si="78"/>
        <v>3.0500000000000006E-3</v>
      </c>
      <c r="J195" s="278">
        <f t="shared" si="78"/>
        <v>3.0500000000000006E-3</v>
      </c>
      <c r="K195" s="278">
        <f t="shared" si="78"/>
        <v>3.0500000000000006E-3</v>
      </c>
      <c r="M195" s="278">
        <f t="shared" si="78"/>
        <v>3.0500000000000006E-3</v>
      </c>
      <c r="N195" s="278">
        <f t="shared" si="78"/>
        <v>3.0500000000000006E-3</v>
      </c>
      <c r="O195" s="278">
        <f t="shared" si="78"/>
        <v>3.0500000000000006E-3</v>
      </c>
      <c r="P195" s="278">
        <f t="shared" si="78"/>
        <v>3.0500000000000006E-3</v>
      </c>
      <c r="R195" s="278">
        <f t="shared" si="78"/>
        <v>3.0500000000000006E-3</v>
      </c>
      <c r="S195" s="278">
        <f t="shared" si="78"/>
        <v>3.0500000000000006E-3</v>
      </c>
      <c r="T195" s="278">
        <f t="shared" si="78"/>
        <v>3.0500000000000006E-3</v>
      </c>
      <c r="U195" s="278">
        <f t="shared" si="78"/>
        <v>3.0500000000000006E-3</v>
      </c>
    </row>
    <row r="196" spans="1:21" x14ac:dyDescent="0.25">
      <c r="A196" s="275" t="s">
        <v>194</v>
      </c>
      <c r="B196" s="259"/>
      <c r="C196" s="271">
        <f t="shared" ref="C196:F196" si="79">C193+(C194+C195)*MAX(0,C187-C192)</f>
        <v>37.909999999999997</v>
      </c>
      <c r="D196" s="271">
        <f t="shared" si="79"/>
        <v>42.941080542447352</v>
      </c>
      <c r="E196" s="271">
        <f t="shared" si="79"/>
        <v>304.67866108489466</v>
      </c>
      <c r="F196" s="271">
        <f t="shared" si="79"/>
        <v>566.41624162734195</v>
      </c>
      <c r="H196" s="271">
        <f t="shared" ref="H196:K196" si="80">H193+(H194+H195)*MAX(0,H187-H192)</f>
        <v>37.909999999999997</v>
      </c>
      <c r="I196" s="271">
        <f t="shared" si="80"/>
        <v>42.941080542447352</v>
      </c>
      <c r="J196" s="271">
        <f t="shared" si="80"/>
        <v>304.67866108489466</v>
      </c>
      <c r="K196" s="271">
        <f t="shared" si="80"/>
        <v>566.41624162734195</v>
      </c>
      <c r="M196" s="271">
        <f t="shared" ref="M196:P196" si="81">M193+(M194+M195)*MAX(0,M187-M192)</f>
        <v>37.909999999999997</v>
      </c>
      <c r="N196" s="271">
        <f t="shared" si="81"/>
        <v>42.941080542447352</v>
      </c>
      <c r="O196" s="271">
        <f t="shared" si="81"/>
        <v>304.67866108489466</v>
      </c>
      <c r="P196" s="271">
        <f t="shared" si="81"/>
        <v>566.41624162734195</v>
      </c>
      <c r="R196" s="271">
        <f t="shared" ref="R196:U196" si="82">R193+(R194+R195)*MAX(0,R187-R192)</f>
        <v>37.909999999999997</v>
      </c>
      <c r="S196" s="271">
        <f t="shared" si="82"/>
        <v>42.941080542447352</v>
      </c>
      <c r="T196" s="271">
        <f t="shared" si="82"/>
        <v>304.67866108489466</v>
      </c>
      <c r="U196" s="271">
        <f t="shared" si="82"/>
        <v>566.41624162734195</v>
      </c>
    </row>
    <row r="197" spans="1:21" ht="13" x14ac:dyDescent="0.3">
      <c r="A197" s="275" t="s">
        <v>210</v>
      </c>
      <c r="C197" s="264">
        <f t="shared" ref="C197:F197" si="83">MAX(C191-C196,0)</f>
        <v>360.78999999999996</v>
      </c>
      <c r="D197" s="264">
        <f t="shared" si="83"/>
        <v>355.75891945755262</v>
      </c>
      <c r="E197" s="264">
        <f t="shared" si="83"/>
        <v>94.021338915105332</v>
      </c>
      <c r="F197" s="264">
        <f t="shared" si="83"/>
        <v>0</v>
      </c>
      <c r="H197" s="264">
        <f t="shared" ref="H197:K197" si="84">MAX(H191-H196,0)</f>
        <v>360.78999999999996</v>
      </c>
      <c r="I197" s="264">
        <f t="shared" si="84"/>
        <v>355.75891945755262</v>
      </c>
      <c r="J197" s="264">
        <f t="shared" si="84"/>
        <v>94.021338915105332</v>
      </c>
      <c r="K197" s="264">
        <f t="shared" si="84"/>
        <v>0</v>
      </c>
      <c r="M197" s="264">
        <f t="shared" ref="M197:P197" si="85">MAX(M191-M196,0)</f>
        <v>360.78999999999996</v>
      </c>
      <c r="N197" s="264">
        <f t="shared" si="85"/>
        <v>355.75891945755262</v>
      </c>
      <c r="O197" s="264">
        <f t="shared" si="85"/>
        <v>94.021338915105332</v>
      </c>
      <c r="P197" s="264">
        <f t="shared" si="85"/>
        <v>0</v>
      </c>
      <c r="R197" s="264">
        <f t="shared" ref="R197:U197" si="86">MAX(R191-R196,0)</f>
        <v>360.78999999999996</v>
      </c>
      <c r="S197" s="264">
        <f t="shared" si="86"/>
        <v>355.75891945755262</v>
      </c>
      <c r="T197" s="264">
        <f t="shared" si="86"/>
        <v>94.021338915105332</v>
      </c>
      <c r="U197" s="264">
        <f t="shared" si="86"/>
        <v>0</v>
      </c>
    </row>
    <row r="198" spans="1:21" ht="13" x14ac:dyDescent="0.3">
      <c r="A198" s="275" t="s">
        <v>211</v>
      </c>
      <c r="C198" s="264">
        <f>(C$29=1)*(IF((C188/C189)&lt;al_seuil1_deg_z1,C197,IF((C188/C189)&lt;al_seuil2_deg_z1,(1-((C188/C189)-al_seuil1_deg_z1)/(al_seuil2_deg_z1-al_seuil1_deg_z1))*C197,0)))
+(C$29=2)*(IF((C188/C189)&lt;al_seuil1_deg_z2,C197,IF((C188/C189)&lt;al_seuil2_deg_z2,(1-((C188/C189)-al_seuil1_deg_z2)/(al_seuil2_deg_z2-al_seuil1_deg_z2))*C197,0)))
+(C$29=3)*(IF((C188/C189)&lt;al_seuil1_deg_z3,C197,IF((C188/C189)&lt;al_seuil2_deg_z3,(1-((C188/C189)-al_seuil1_deg_z3)/(al_seuil2_deg_z3-al_seuil1_deg_z3))*C197,0)))</f>
        <v>360.78999999999996</v>
      </c>
      <c r="D198" s="264">
        <f>(D$29=1)*(IF((D188/D189)&lt;al_seuil1_deg_z1,D197,IF((D188/D189)&lt;al_seuil2_deg_z1,(1-((D188/D189)-al_seuil1_deg_z1)/(al_seuil2_deg_z1-al_seuil1_deg_z1))*D197,0)))
+(D$29=2)*(IF((D188/D189)&lt;al_seuil1_deg_z2,D197,IF((D188/D189)&lt;al_seuil2_deg_z2,(1-((D188/D189)-al_seuil1_deg_z2)/(al_seuil2_deg_z2-al_seuil1_deg_z2))*D197,0)))
+(D$29=3)*(IF((D188/D189)&lt;al_seuil1_deg_z3,D197,IF((D188/D189)&lt;al_seuil2_deg_z3,(1-((D188/D189)-al_seuil1_deg_z3)/(al_seuil2_deg_z3-al_seuil1_deg_z3))*D197,0)))</f>
        <v>355.75891945755262</v>
      </c>
      <c r="E198" s="264">
        <f>(E$29=1)*(IF((E188/E189)&lt;al_seuil1_deg_z1,E197,IF((E188/E189)&lt;al_seuil2_deg_z1,(1-((E188/E189)-al_seuil1_deg_z1)/(al_seuil2_deg_z1-al_seuil1_deg_z1))*E197,0)))
+(E$29=2)*(IF((E188/E189)&lt;al_seuil1_deg_z2,E197,IF((E188/E189)&lt;al_seuil2_deg_z2,(1-((E188/E189)-al_seuil1_deg_z2)/(al_seuil2_deg_z2-al_seuil1_deg_z2))*E197,0)))
+(E$29=3)*(IF((E188/E189)&lt;al_seuil1_deg_z3,E197,IF((E188/E189)&lt;al_seuil2_deg_z3,(1-((E188/E189)-al_seuil1_deg_z3)/(al_seuil2_deg_z3-al_seuil1_deg_z3))*E197,0)))</f>
        <v>94.021338915105332</v>
      </c>
      <c r="F198" s="264">
        <f>(F$29=1)*(IF((F188/F189)&lt;al_seuil1_deg_z1,F197,IF((F188/F189)&lt;al_seuil2_deg_z1,(1-((F188/F189)-al_seuil1_deg_z1)/(al_seuil2_deg_z1-al_seuil1_deg_z1))*F197,0)))
+(F$29=2)*(IF((F188/F189)&lt;al_seuil1_deg_z2,F197,IF((F188/F189)&lt;al_seuil2_deg_z2,(1-((F188/F189)-al_seuil1_deg_z2)/(al_seuil2_deg_z2-al_seuil1_deg_z2))*F197,0)))
+(F$29=3)*(IF((F188/F189)&lt;al_seuil1_deg_z3,F197,IF((F188/F189)&lt;al_seuil2_deg_z3,(1-((F188/F189)-al_seuil1_deg_z3)/(al_seuil2_deg_z3-al_seuil1_deg_z3))*F197,0)))</f>
        <v>0</v>
      </c>
      <c r="H198" s="264">
        <f>(H$29=1)*(IF((H188/H189)&lt;al_seuil1_deg_z1,H197,IF((H188/H189)&lt;al_seuil2_deg_z1,(1-((H188/H189)-al_seuil1_deg_z1)/(al_seuil2_deg_z1-al_seuil1_deg_z1))*H197,0)))
+(H$29=2)*(IF((H188/H189)&lt;al_seuil1_deg_z2,H197,IF((H188/H189)&lt;al_seuil2_deg_z2,(1-((H188/H189)-al_seuil1_deg_z2)/(al_seuil2_deg_z2-al_seuil1_deg_z2))*H197,0)))
+(H$29=3)*(IF((H188/H189)&lt;al_seuil1_deg_z3,H197,IF((H188/H189)&lt;al_seuil2_deg_z3,(1-((H188/H189)-al_seuil1_deg_z3)/(al_seuil2_deg_z3-al_seuil1_deg_z3))*H197,0)))</f>
        <v>360.78999999999996</v>
      </c>
      <c r="I198" s="264">
        <f>(I$29=1)*(IF((I188/I189)&lt;al_seuil1_deg_z1,I197,IF((I188/I189)&lt;al_seuil2_deg_z1,(1-((I188/I189)-al_seuil1_deg_z1)/(al_seuil2_deg_z1-al_seuil1_deg_z1))*I197,0)))
+(I$29=2)*(IF((I188/I189)&lt;al_seuil1_deg_z2,I197,IF((I188/I189)&lt;al_seuil2_deg_z2,(1-((I188/I189)-al_seuil1_deg_z2)/(al_seuil2_deg_z2-al_seuil1_deg_z2))*I197,0)))
+(I$29=3)*(IF((I188/I189)&lt;al_seuil1_deg_z3,I197,IF((I188/I189)&lt;al_seuil2_deg_z3,(1-((I188/I189)-al_seuil1_deg_z3)/(al_seuil2_deg_z3-al_seuil1_deg_z3))*I197,0)))</f>
        <v>355.75891945755262</v>
      </c>
      <c r="J198" s="264">
        <f>(J$29=1)*(IF((J188/J189)&lt;al_seuil1_deg_z1,J197,IF((J188/J189)&lt;al_seuil2_deg_z1,(1-((J188/J189)-al_seuil1_deg_z1)/(al_seuil2_deg_z1-al_seuil1_deg_z1))*J197,0)))
+(J$29=2)*(IF((J188/J189)&lt;al_seuil1_deg_z2,J197,IF((J188/J189)&lt;al_seuil2_deg_z2,(1-((J188/J189)-al_seuil1_deg_z2)/(al_seuil2_deg_z2-al_seuil1_deg_z2))*J197,0)))
+(J$29=3)*(IF((J188/J189)&lt;al_seuil1_deg_z3,J197,IF((J188/J189)&lt;al_seuil2_deg_z3,(1-((J188/J189)-al_seuil1_deg_z3)/(al_seuil2_deg_z3-al_seuil1_deg_z3))*J197,0)))</f>
        <v>94.021338915105332</v>
      </c>
      <c r="K198" s="264">
        <f>(K$29=1)*(IF((K188/K189)&lt;al_seuil1_deg_z1,K197,IF((K188/K189)&lt;al_seuil2_deg_z1,(1-((K188/K189)-al_seuil1_deg_z1)/(al_seuil2_deg_z1-al_seuil1_deg_z1))*K197,0)))
+(K$29=2)*(IF((K188/K189)&lt;al_seuil1_deg_z2,K197,IF((K188/K189)&lt;al_seuil2_deg_z2,(1-((K188/K189)-al_seuil1_deg_z2)/(al_seuil2_deg_z2-al_seuil1_deg_z2))*K197,0)))
+(K$29=3)*(IF((K188/K189)&lt;al_seuil1_deg_z3,K197,IF((K188/K189)&lt;al_seuil2_deg_z3,(1-((K188/K189)-al_seuil1_deg_z3)/(al_seuil2_deg_z3-al_seuil1_deg_z3))*K197,0)))</f>
        <v>0</v>
      </c>
      <c r="M198" s="264">
        <f>(M$29=1)*(IF((M188/M189)&lt;al_seuil1_deg_z1,M197,IF((M188/M189)&lt;al_seuil2_deg_z1,(1-((M188/M189)-al_seuil1_deg_z1)/(al_seuil2_deg_z1-al_seuil1_deg_z1))*M197,0)))
+(M$29=2)*(IF((M188/M189)&lt;al_seuil1_deg_z2,M197,IF((M188/M189)&lt;al_seuil2_deg_z2,(1-((M188/M189)-al_seuil1_deg_z2)/(al_seuil2_deg_z2-al_seuil1_deg_z2))*M197,0)))
+(M$29=3)*(IF((M188/M189)&lt;al_seuil1_deg_z3,M197,IF((M188/M189)&lt;al_seuil2_deg_z3,(1-((M188/M189)-al_seuil1_deg_z3)/(al_seuil2_deg_z3-al_seuil1_deg_z3))*M197,0)))</f>
        <v>360.78999999999996</v>
      </c>
      <c r="N198" s="264">
        <f>(N$29=1)*(IF((N188/N189)&lt;al_seuil1_deg_z1,N197,IF((N188/N189)&lt;al_seuil2_deg_z1,(1-((N188/N189)-al_seuil1_deg_z1)/(al_seuil2_deg_z1-al_seuil1_deg_z1))*N197,0)))
+(N$29=2)*(IF((N188/N189)&lt;al_seuil1_deg_z2,N197,IF((N188/N189)&lt;al_seuil2_deg_z2,(1-((N188/N189)-al_seuil1_deg_z2)/(al_seuil2_deg_z2-al_seuil1_deg_z2))*N197,0)))
+(N$29=3)*(IF((N188/N189)&lt;al_seuil1_deg_z3,N197,IF((N188/N189)&lt;al_seuil2_deg_z3,(1-((N188/N189)-al_seuil1_deg_z3)/(al_seuil2_deg_z3-al_seuil1_deg_z3))*N197,0)))</f>
        <v>355.75891945755262</v>
      </c>
      <c r="O198" s="264">
        <f>(O$29=1)*(IF((O188/O189)&lt;al_seuil1_deg_z1,O197,IF((O188/O189)&lt;al_seuil2_deg_z1,(1-((O188/O189)-al_seuil1_deg_z1)/(al_seuil2_deg_z1-al_seuil1_deg_z1))*O197,0)))
+(O$29=2)*(IF((O188/O189)&lt;al_seuil1_deg_z2,O197,IF((O188/O189)&lt;al_seuil2_deg_z2,(1-((O188/O189)-al_seuil1_deg_z2)/(al_seuil2_deg_z2-al_seuil1_deg_z2))*O197,0)))
+(O$29=3)*(IF((O188/O189)&lt;al_seuil1_deg_z3,O197,IF((O188/O189)&lt;al_seuil2_deg_z3,(1-((O188/O189)-al_seuil1_deg_z3)/(al_seuil2_deg_z3-al_seuil1_deg_z3))*O197,0)))</f>
        <v>94.021338915105332</v>
      </c>
      <c r="P198" s="264">
        <f>(P$29=1)*(IF((P188/P189)&lt;al_seuil1_deg_z1,P197,IF((P188/P189)&lt;al_seuil2_deg_z1,(1-((P188/P189)-al_seuil1_deg_z1)/(al_seuil2_deg_z1-al_seuil1_deg_z1))*P197,0)))
+(P$29=2)*(IF((P188/P189)&lt;al_seuil1_deg_z2,P197,IF((P188/P189)&lt;al_seuil2_deg_z2,(1-((P188/P189)-al_seuil1_deg_z2)/(al_seuil2_deg_z2-al_seuil1_deg_z2))*P197,0)))
+(P$29=3)*(IF((P188/P189)&lt;al_seuil1_deg_z3,P197,IF((P188/P189)&lt;al_seuil2_deg_z3,(1-((P188/P189)-al_seuil1_deg_z3)/(al_seuil2_deg_z3-al_seuil1_deg_z3))*P197,0)))</f>
        <v>0</v>
      </c>
      <c r="R198" s="264">
        <f>(R$29=1)*(IF((R188/R189)&lt;al_seuil1_deg_z1,R197,IF((R188/R189)&lt;al_seuil2_deg_z1,(1-((R188/R189)-al_seuil1_deg_z1)/(al_seuil2_deg_z1-al_seuil1_deg_z1))*R197,0)))
+(R$29=2)*(IF((R188/R189)&lt;al_seuil1_deg_z2,R197,IF((R188/R189)&lt;al_seuil2_deg_z2,(1-((R188/R189)-al_seuil1_deg_z2)/(al_seuil2_deg_z2-al_seuil1_deg_z2))*R197,0)))
+(R$29=3)*(IF((R188/R189)&lt;al_seuil1_deg_z3,R197,IF((R188/R189)&lt;al_seuil2_deg_z3,(1-((R188/R189)-al_seuil1_deg_z3)/(al_seuil2_deg_z3-al_seuil1_deg_z3))*R197,0)))</f>
        <v>360.78999999999996</v>
      </c>
      <c r="S198" s="264">
        <f>(S$29=1)*(IF((S188/S189)&lt;al_seuil1_deg_z1,S197,IF((S188/S189)&lt;al_seuil2_deg_z1,(1-((S188/S189)-al_seuil1_deg_z1)/(al_seuil2_deg_z1-al_seuil1_deg_z1))*S197,0)))
+(S$29=2)*(IF((S188/S189)&lt;al_seuil1_deg_z2,S197,IF((S188/S189)&lt;al_seuil2_deg_z2,(1-((S188/S189)-al_seuil1_deg_z2)/(al_seuil2_deg_z2-al_seuil1_deg_z2))*S197,0)))
+(S$29=3)*(IF((S188/S189)&lt;al_seuil1_deg_z3,S197,IF((S188/S189)&lt;al_seuil2_deg_z3,(1-((S188/S189)-al_seuil1_deg_z3)/(al_seuil2_deg_z3-al_seuil1_deg_z3))*S197,0)))</f>
        <v>355.75891945755262</v>
      </c>
      <c r="T198" s="264">
        <f>(T$29=1)*(IF((T188/T189)&lt;al_seuil1_deg_z1,T197,IF((T188/T189)&lt;al_seuil2_deg_z1,(1-((T188/T189)-al_seuil1_deg_z1)/(al_seuil2_deg_z1-al_seuil1_deg_z1))*T197,0)))
+(T$29=2)*(IF((T188/T189)&lt;al_seuil1_deg_z2,T197,IF((T188/T189)&lt;al_seuil2_deg_z2,(1-((T188/T189)-al_seuil1_deg_z2)/(al_seuil2_deg_z2-al_seuil1_deg_z2))*T197,0)))
+(T$29=3)*(IF((T188/T189)&lt;al_seuil1_deg_z3,T197,IF((T188/T189)&lt;al_seuil2_deg_z3,(1-((T188/T189)-al_seuil1_deg_z3)/(al_seuil2_deg_z3-al_seuil1_deg_z3))*T197,0)))</f>
        <v>94.021338915105332</v>
      </c>
      <c r="U198" s="264">
        <f>(U$29=1)*(IF((U188/U189)&lt;al_seuil1_deg_z1,U197,IF((U188/U189)&lt;al_seuil2_deg_z1,(1-((U188/U189)-al_seuil1_deg_z1)/(al_seuil2_deg_z1-al_seuil1_deg_z1))*U197,0)))
+(U$29=2)*(IF((U188/U189)&lt;al_seuil1_deg_z2,U197,IF((U188/U189)&lt;al_seuil2_deg_z2,(1-((U188/U189)-al_seuil1_deg_z2)/(al_seuil2_deg_z2-al_seuil1_deg_z2))*U197,0)))
+(U$29=3)*(IF((U188/U189)&lt;al_seuil1_deg_z3,U197,IF((U188/U189)&lt;al_seuil2_deg_z3,(1-((U188/U189)-al_seuil1_deg_z3)/(al_seuil2_deg_z3-al_seuil1_deg_z3))*U197,0)))</f>
        <v>0</v>
      </c>
    </row>
    <row r="199" spans="1:21" ht="13" x14ac:dyDescent="0.3">
      <c r="A199" s="275" t="s">
        <v>212</v>
      </c>
      <c r="B199" s="10"/>
      <c r="C199" s="264">
        <f t="shared" ref="C199:F199" si="87">C198-al_reduc</f>
        <v>355.78999999999996</v>
      </c>
      <c r="D199" s="264">
        <f t="shared" si="87"/>
        <v>350.75891945755262</v>
      </c>
      <c r="E199" s="264">
        <f t="shared" si="87"/>
        <v>89.021338915105332</v>
      </c>
      <c r="F199" s="264">
        <f t="shared" si="87"/>
        <v>-5</v>
      </c>
      <c r="H199" s="264">
        <f t="shared" ref="H199:K199" si="88">H198-al_reduc</f>
        <v>355.78999999999996</v>
      </c>
      <c r="I199" s="264">
        <f t="shared" si="88"/>
        <v>350.75891945755262</v>
      </c>
      <c r="J199" s="264">
        <f t="shared" si="88"/>
        <v>89.021338915105332</v>
      </c>
      <c r="K199" s="264">
        <f t="shared" si="88"/>
        <v>-5</v>
      </c>
      <c r="M199" s="264">
        <f t="shared" ref="M199:P199" si="89">M198-al_reduc</f>
        <v>355.78999999999996</v>
      </c>
      <c r="N199" s="264">
        <f t="shared" si="89"/>
        <v>350.75891945755262</v>
      </c>
      <c r="O199" s="264">
        <f t="shared" si="89"/>
        <v>89.021338915105332</v>
      </c>
      <c r="P199" s="264">
        <f t="shared" si="89"/>
        <v>-5</v>
      </c>
      <c r="R199" s="264">
        <f t="shared" ref="R199:U199" si="90">R198-al_reduc</f>
        <v>355.78999999999996</v>
      </c>
      <c r="S199" s="264">
        <f t="shared" si="90"/>
        <v>350.75891945755262</v>
      </c>
      <c r="T199" s="264">
        <f t="shared" si="90"/>
        <v>89.021338915105332</v>
      </c>
      <c r="U199" s="264">
        <f t="shared" si="90"/>
        <v>-5</v>
      </c>
    </row>
    <row r="200" spans="1:21" ht="13.5" thickBot="1" x14ac:dyDescent="0.35">
      <c r="A200" s="288" t="s">
        <v>213</v>
      </c>
      <c r="B200" s="290"/>
      <c r="C200" s="291">
        <f t="shared" ref="C200:F200" si="91">IF(ROUNDDOWN(C199,0)&gt;=al_seuil_versement,C199,0)*(1-taux_CRDS)</f>
        <v>354.01104999999995</v>
      </c>
      <c r="D200" s="291">
        <f t="shared" si="91"/>
        <v>349.00512486026486</v>
      </c>
      <c r="E200" s="291">
        <f t="shared" si="91"/>
        <v>88.576232220529803</v>
      </c>
      <c r="F200" s="291">
        <f t="shared" si="91"/>
        <v>0</v>
      </c>
      <c r="H200" s="291">
        <f t="shared" ref="H200:K200" si="92">IF(ROUNDDOWN(H199,0)&gt;=al_seuil_versement,H199,0)*(1-taux_CRDS)</f>
        <v>354.01104999999995</v>
      </c>
      <c r="I200" s="291">
        <f t="shared" si="92"/>
        <v>349.00512486026486</v>
      </c>
      <c r="J200" s="291">
        <f t="shared" si="92"/>
        <v>88.576232220529803</v>
      </c>
      <c r="K200" s="291">
        <f t="shared" si="92"/>
        <v>0</v>
      </c>
      <c r="M200" s="291">
        <f t="shared" ref="M200:P200" si="93">IF(ROUNDDOWN(M199,0)&gt;=al_seuil_versement,M199,0)*(1-taux_CRDS)</f>
        <v>354.01104999999995</v>
      </c>
      <c r="N200" s="291">
        <f t="shared" si="93"/>
        <v>349.00512486026486</v>
      </c>
      <c r="O200" s="291">
        <f t="shared" si="93"/>
        <v>88.576232220529803</v>
      </c>
      <c r="P200" s="291">
        <f t="shared" si="93"/>
        <v>0</v>
      </c>
      <c r="R200" s="291">
        <f t="shared" ref="R200:U200" si="94">IF(ROUNDDOWN(R199,0)&gt;=al_seuil_versement,R199,0)*(1-taux_CRDS)</f>
        <v>354.01104999999995</v>
      </c>
      <c r="S200" s="291">
        <f t="shared" si="94"/>
        <v>349.00512486026486</v>
      </c>
      <c r="T200" s="291">
        <f t="shared" si="94"/>
        <v>88.576232220529803</v>
      </c>
      <c r="U200" s="291">
        <f t="shared" si="94"/>
        <v>0</v>
      </c>
    </row>
    <row r="201" spans="1:21" x14ac:dyDescent="0.25">
      <c r="C201" s="201"/>
      <c r="D201" s="201"/>
      <c r="E201" s="201"/>
      <c r="F201" s="201"/>
      <c r="H201" s="201"/>
      <c r="I201" s="201"/>
      <c r="J201" s="201"/>
      <c r="K201" s="201"/>
      <c r="M201" s="201"/>
      <c r="N201" s="201"/>
      <c r="O201" s="201"/>
      <c r="P201" s="201"/>
      <c r="R201" s="201"/>
      <c r="S201" s="201"/>
      <c r="T201" s="201"/>
      <c r="U201" s="201"/>
    </row>
    <row r="202" spans="1:21" ht="13.5" thickBot="1" x14ac:dyDescent="0.35">
      <c r="A202" s="295" t="s">
        <v>335</v>
      </c>
      <c r="B202" s="89"/>
      <c r="C202" s="289"/>
      <c r="D202" s="289"/>
      <c r="E202" s="289"/>
      <c r="F202" s="289"/>
      <c r="H202" s="289"/>
      <c r="I202" s="289"/>
      <c r="J202" s="289"/>
      <c r="K202" s="289"/>
      <c r="M202" s="289"/>
      <c r="N202" s="289"/>
      <c r="O202" s="289"/>
      <c r="P202" s="289"/>
      <c r="R202" s="289"/>
      <c r="S202" s="289"/>
      <c r="T202" s="289"/>
      <c r="U202" s="289"/>
    </row>
    <row r="203" spans="1:21" s="4" customFormat="1" x14ac:dyDescent="0.25">
      <c r="A203" s="282" t="s">
        <v>353</v>
      </c>
      <c r="B203" s="121"/>
      <c r="C203" s="123">
        <f>AAH_I0*(1+AAH_Sup_enf*C97)</f>
        <v>1016.05</v>
      </c>
      <c r="D203" s="123">
        <f>AAH_I0*(1+AAH_Sup_enf*D97)</f>
        <v>1016.05</v>
      </c>
      <c r="E203" s="123">
        <f>AAH_I0*(1+AAH_Sup_enf*E97)</f>
        <v>1016.05</v>
      </c>
      <c r="F203" s="123">
        <f>AAH_I0*(1+AAH_Sup_enf*F97)</f>
        <v>1016.05</v>
      </c>
      <c r="H203" s="123">
        <f>AAH_I0*(1+AAH_Sup_enf*H97)</f>
        <v>1524.0749999999998</v>
      </c>
      <c r="I203" s="123">
        <f>AAH_I0*(1+AAH_Sup_enf*I97)</f>
        <v>1524.0749999999998</v>
      </c>
      <c r="J203" s="123">
        <f>AAH_I0*(1+AAH_Sup_enf*J97)</f>
        <v>1524.0749999999998</v>
      </c>
      <c r="K203" s="123">
        <f>AAH_I0*(1+AAH_Sup_enf*K97)</f>
        <v>1524.0749999999998</v>
      </c>
      <c r="M203" s="123">
        <f>AAH_I0*(1+AAH_Sup_enf*M97)</f>
        <v>2032.1</v>
      </c>
      <c r="N203" s="123">
        <f>AAH_I0*(1+AAH_Sup_enf*N97)</f>
        <v>2032.1</v>
      </c>
      <c r="O203" s="123">
        <f>AAH_I0*(1+AAH_Sup_enf*O97)</f>
        <v>2032.1</v>
      </c>
      <c r="P203" s="123">
        <f>AAH_I0*(1+AAH_Sup_enf*P97)</f>
        <v>2032.1</v>
      </c>
      <c r="R203" s="123">
        <f>AAH_I0*(1+AAH_Sup_enf*R97)</f>
        <v>2540.125</v>
      </c>
      <c r="S203" s="123">
        <f>AAH_I0*(1+AAH_Sup_enf*S97)</f>
        <v>2540.125</v>
      </c>
      <c r="T203" s="123">
        <f>AAH_I0*(1+AAH_Sup_enf*T97)</f>
        <v>2540.125</v>
      </c>
      <c r="U203" s="123">
        <f>AAH_I0*(1+AAH_Sup_enf*U97)</f>
        <v>2540.125</v>
      </c>
    </row>
    <row r="204" spans="1:21" s="4" customFormat="1" x14ac:dyDescent="0.25">
      <c r="A204" s="275" t="s">
        <v>349</v>
      </c>
      <c r="B204" s="5"/>
      <c r="C204" s="85">
        <f>(Coef_n/12)*(C$52-C$53+C$46+C$111)+(1-AAH_taux_abat1)*MIN(C$38*(Coef_n/0.9/12),AAH_seuil_abat1)+(1-AAH_taux_abat2)*MAX(0,C$38*(Coef_n/0.9/12)-AAH_seuil_abat1)</f>
        <v>0</v>
      </c>
      <c r="D204" s="85">
        <f>(Coef_n/12)*(D$52-D$53+D$46+D$111)+(1-AAH_taux_abat1)*MIN(D$38*(Coef_n/0.9/12),AAH_seuil_abat1)+(1-AAH_taux_abat2)*MAX(0,D$38*(Coef_n/0.9/12)-AAH_seuil_abat1)</f>
        <v>223.03068224993535</v>
      </c>
      <c r="E204" s="85">
        <f>(Coef_n/12)*(E$52-E$53+E$46+E$111)+(1-AAH_taux_abat1)*MIN(E$38*(Coef_n/0.9/12),AAH_seuil_abat1)+(1-AAH_taux_abat2)*MAX(0,E$38*(Coef_n/0.9/12)-AAH_seuil_abat1)</f>
        <v>658.09136449987079</v>
      </c>
      <c r="F204" s="85">
        <f>(Coef_n/12)*(F$52-F$53+F$46+F$111)+(1-AAH_taux_abat1)*MIN(F$38*(Coef_n/0.9/12),AAH_seuil_abat1)+(1-AAH_taux_abat2)*MAX(0,F$38*(Coef_n/0.9/12)-AAH_seuil_abat1)</f>
        <v>1093.1520467498062</v>
      </c>
      <c r="H204" s="85">
        <f>(Coef_n/12)*(H$52-H$53+H$46+H$111)+(1-AAH_taux_abat1)*MIN(H$38*(Coef_n/0.9/12),AAH_seuil_abat1)+(1-AAH_taux_abat2)*MAX(0,H$38*(Coef_n/0.9/12)-AAH_seuil_abat1)</f>
        <v>0</v>
      </c>
      <c r="I204" s="85">
        <f>(Coef_n/12)*(I$52-I$53+I$46+I$111)+(1-AAH_taux_abat1)*MIN(I$38*(Coef_n/0.9/12),AAH_seuil_abat1)+(1-AAH_taux_abat2)*MAX(0,I$38*(Coef_n/0.9/12)-AAH_seuil_abat1)</f>
        <v>223.03068224993535</v>
      </c>
      <c r="J204" s="85">
        <f>(Coef_n/12)*(J$52-J$53+J$46+J$111)+(1-AAH_taux_abat1)*MIN(J$38*(Coef_n/0.9/12),AAH_seuil_abat1)+(1-AAH_taux_abat2)*MAX(0,J$38*(Coef_n/0.9/12)-AAH_seuil_abat1)</f>
        <v>658.09136449987079</v>
      </c>
      <c r="K204" s="85">
        <f>(Coef_n/12)*(K$52-K$53+K$46+K$111)+(1-AAH_taux_abat1)*MIN(K$38*(Coef_n/0.9/12),AAH_seuil_abat1)+(1-AAH_taux_abat2)*MAX(0,K$38*(Coef_n/0.9/12)-AAH_seuil_abat1)</f>
        <v>1093.1520467498062</v>
      </c>
      <c r="M204" s="85">
        <f>(Coef_n/12)*(M$52-M$53+M$46+M$111)+(1-AAH_taux_abat1)*MIN(M$38*(Coef_n/0.9/12),AAH_seuil_abat1)+(1-AAH_taux_abat2)*MAX(0,M$38*(Coef_n/0.9/12)-AAH_seuil_abat1)</f>
        <v>0</v>
      </c>
      <c r="N204" s="85">
        <f>(Coef_n/12)*(N$52-N$53+N$46+N$111)+(1-AAH_taux_abat1)*MIN(N$38*(Coef_n/0.9/12),AAH_seuil_abat1)+(1-AAH_taux_abat2)*MAX(0,N$38*(Coef_n/0.9/12)-AAH_seuil_abat1)</f>
        <v>223.03068224993535</v>
      </c>
      <c r="O204" s="85">
        <f>(Coef_n/12)*(O$52-O$53+O$46+O$111)+(1-AAH_taux_abat1)*MIN(O$38*(Coef_n/0.9/12),AAH_seuil_abat1)+(1-AAH_taux_abat2)*MAX(0,O$38*(Coef_n/0.9/12)-AAH_seuil_abat1)</f>
        <v>658.09136449987079</v>
      </c>
      <c r="P204" s="85">
        <f>(Coef_n/12)*(P$52-P$53+P$46+P$111)+(1-AAH_taux_abat1)*MIN(P$38*(Coef_n/0.9/12),AAH_seuil_abat1)+(1-AAH_taux_abat2)*MAX(0,P$38*(Coef_n/0.9/12)-AAH_seuil_abat1)</f>
        <v>1093.1520467498062</v>
      </c>
      <c r="R204" s="85">
        <f>(Coef_n/12)*(R$52-R$53+R$46+R$111)+(1-AAH_taux_abat1)*MIN(R$38*(Coef_n/0.9/12),AAH_seuil_abat1)+(1-AAH_taux_abat2)*MAX(0,R$38*(Coef_n/0.9/12)-AAH_seuil_abat1)</f>
        <v>0</v>
      </c>
      <c r="S204" s="85">
        <f>(Coef_n/12)*(S$52-S$53+S$46+S$111)+(1-AAH_taux_abat1)*MIN(S$38*(Coef_n/0.9/12),AAH_seuil_abat1)+(1-AAH_taux_abat2)*MAX(0,S$38*(Coef_n/0.9/12)-AAH_seuil_abat1)</f>
        <v>223.03068224993535</v>
      </c>
      <c r="T204" s="85">
        <f>(Coef_n/12)*(T$52-T$53+T$46+T$111)+(1-AAH_taux_abat1)*MIN(T$38*(Coef_n/0.9/12),AAH_seuil_abat1)+(1-AAH_taux_abat2)*MAX(0,T$38*(Coef_n/0.9/12)-AAH_seuil_abat1)</f>
        <v>658.09136449987079</v>
      </c>
      <c r="U204" s="85">
        <f>(Coef_n/12)*(U$52-U$53+U$46+U$111)+(1-AAH_taux_abat1)*MIN(U$38*(Coef_n/0.9/12),AAH_seuil_abat1)+(1-AAH_taux_abat2)*MAX(0,U$38*(Coef_n/0.9/12)-AAH_seuil_abat1)</f>
        <v>1093.1520467498062</v>
      </c>
    </row>
    <row r="205" spans="1:21" s="4" customFormat="1" x14ac:dyDescent="0.25">
      <c r="A205" s="275" t="s">
        <v>350</v>
      </c>
      <c r="B205" s="5"/>
      <c r="C205" s="85">
        <f>MAX(0,MIN(AAH_I0,C$203-C204))</f>
        <v>1016.05</v>
      </c>
      <c r="D205" s="85">
        <f>MAX(0,MIN(AAH_I0,D$203-D204))</f>
        <v>793.0193177500646</v>
      </c>
      <c r="E205" s="85">
        <f>MAX(0,MIN(AAH_I0,E$203-E204))</f>
        <v>357.95863550012916</v>
      </c>
      <c r="F205" s="85">
        <f>MAX(0,MIN(AAH_I0,F$203-F204))</f>
        <v>0</v>
      </c>
      <c r="H205" s="85">
        <f>MAX(0,MIN(AAH_I0,H$203-H204))</f>
        <v>1016.05</v>
      </c>
      <c r="I205" s="85">
        <f>MAX(0,MIN(AAH_I0,I$203-I204))</f>
        <v>1016.05</v>
      </c>
      <c r="J205" s="85">
        <f>MAX(0,MIN(AAH_I0,J$203-J204))</f>
        <v>865.98363550012903</v>
      </c>
      <c r="K205" s="85">
        <f>MAX(0,MIN(AAH_I0,K$203-K204))</f>
        <v>430.92295325019359</v>
      </c>
      <c r="M205" s="85">
        <f>MAX(0,MIN(AAH_I0,M$203-M204))</f>
        <v>1016.05</v>
      </c>
      <c r="N205" s="85">
        <f>MAX(0,MIN(AAH_I0,N$203-N204))</f>
        <v>1016.05</v>
      </c>
      <c r="O205" s="85">
        <f>MAX(0,MIN(AAH_I0,O$203-O204))</f>
        <v>1016.05</v>
      </c>
      <c r="P205" s="85">
        <f>MAX(0,MIN(AAH_I0,P$203-P204))</f>
        <v>938.94795325019368</v>
      </c>
      <c r="R205" s="85">
        <f>MAX(0,MIN(AAH_I0,R$203-R204))</f>
        <v>1016.05</v>
      </c>
      <c r="S205" s="85">
        <f>MAX(0,MIN(AAH_I0,S$203-S204))</f>
        <v>1016.05</v>
      </c>
      <c r="T205" s="85">
        <f>MAX(0,MIN(AAH_I0,T$203-T204))</f>
        <v>1016.05</v>
      </c>
      <c r="U205" s="85">
        <f>MAX(0,MIN(AAH_I0,U$203-U204))</f>
        <v>1016.05</v>
      </c>
    </row>
    <row r="206" spans="1:21" s="4" customFormat="1" x14ac:dyDescent="0.25">
      <c r="A206" s="275" t="s">
        <v>351</v>
      </c>
      <c r="B206" s="5"/>
      <c r="C206" s="85">
        <f>(((Coef_n/12)*(C$49+C$116)+(1-AAH_taux_abat1)*MIN(C$39*Coef_n/0.9/12,AAH_seuil_abat1)+(1-AAH_taux_abat2)*MAX(0,C$39*Coef_n/0.9/12-AAH_seuil_abat1)))</f>
        <v>0</v>
      </c>
      <c r="D206" s="85">
        <f>(((Coef_n/12)*(D$49+D$116)+(1-AAH_taux_abat1)*MIN(D$39*Coef_n/0.9/12,AAH_seuil_abat1)+(1-AAH_taux_abat2)*MAX(0,D$39*Coef_n/0.9/12-AAH_seuil_abat1)))</f>
        <v>0</v>
      </c>
      <c r="E206" s="85">
        <f>(((Coef_n/12)*(E$49+E$116)+(1-AAH_taux_abat1)*MIN(E$39*Coef_n/0.9/12,AAH_seuil_abat1)+(1-AAH_taux_abat2)*MAX(0,E$39*Coef_n/0.9/12-AAH_seuil_abat1)))</f>
        <v>0</v>
      </c>
      <c r="F206" s="85">
        <f>(((Coef_n/12)*(F$49+F$116)+(1-AAH_taux_abat1)*MIN(F$39*Coef_n/0.9/12,AAH_seuil_abat1)+(1-AAH_taux_abat2)*MAX(0,F$39*Coef_n/0.9/12-AAH_seuil_abat1)))</f>
        <v>0</v>
      </c>
      <c r="H206" s="85">
        <f>(((Coef_n/12)*(H$49+H$116)+(1-AAH_taux_abat1)*MIN(H$39*Coef_n/0.9/12,AAH_seuil_abat1)+(1-AAH_taux_abat2)*MAX(0,H$39*Coef_n/0.9/12-AAH_seuil_abat1)))</f>
        <v>0</v>
      </c>
      <c r="I206" s="85">
        <f>(((Coef_n/12)*(I$49+I$116)+(1-AAH_taux_abat1)*MIN(I$39*Coef_n/0.9/12,AAH_seuil_abat1)+(1-AAH_taux_abat2)*MAX(0,I$39*Coef_n/0.9/12-AAH_seuil_abat1)))</f>
        <v>0</v>
      </c>
      <c r="J206" s="85">
        <f>(((Coef_n/12)*(J$49+J$116)+(1-AAH_taux_abat1)*MIN(J$39*Coef_n/0.9/12,AAH_seuil_abat1)+(1-AAH_taux_abat2)*MAX(0,J$39*Coef_n/0.9/12-AAH_seuil_abat1)))</f>
        <v>0</v>
      </c>
      <c r="K206" s="85">
        <f>(((Coef_n/12)*(K$49+K$116)+(1-AAH_taux_abat1)*MIN(K$39*Coef_n/0.9/12,AAH_seuil_abat1)+(1-AAH_taux_abat2)*MAX(0,K$39*Coef_n/0.9/12-AAH_seuil_abat1)))</f>
        <v>0</v>
      </c>
      <c r="M206" s="85">
        <f>(((Coef_n/12)*(M$49+M$116)+(1-AAH_taux_abat1)*MIN(M$39*Coef_n/0.9/12,AAH_seuil_abat1)+(1-AAH_taux_abat2)*MAX(0,M$39*Coef_n/0.9/12-AAH_seuil_abat1)))</f>
        <v>0</v>
      </c>
      <c r="N206" s="85">
        <f>(((Coef_n/12)*(N$49+N$116)+(1-AAH_taux_abat1)*MIN(N$39*Coef_n/0.9/12,AAH_seuil_abat1)+(1-AAH_taux_abat2)*MAX(0,N$39*Coef_n/0.9/12-AAH_seuil_abat1)))</f>
        <v>0</v>
      </c>
      <c r="O206" s="85">
        <f>(((Coef_n/12)*(O$49+O$116)+(1-AAH_taux_abat1)*MIN(O$39*Coef_n/0.9/12,AAH_seuil_abat1)+(1-AAH_taux_abat2)*MAX(0,O$39*Coef_n/0.9/12-AAH_seuil_abat1)))</f>
        <v>0</v>
      </c>
      <c r="P206" s="85">
        <f>(((Coef_n/12)*(P$49+P$116)+(1-AAH_taux_abat1)*MIN(P$39*Coef_n/0.9/12,AAH_seuil_abat1)+(1-AAH_taux_abat2)*MAX(0,P$39*Coef_n/0.9/12-AAH_seuil_abat1)))</f>
        <v>0</v>
      </c>
      <c r="R206" s="85">
        <f>(((Coef_n/12)*(R$49+R$116)+(1-AAH_taux_abat1)*MIN(R$39*Coef_n/0.9/12,AAH_seuil_abat1)+(1-AAH_taux_abat2)*MAX(0,R$39*Coef_n/0.9/12-AAH_seuil_abat1)))</f>
        <v>0</v>
      </c>
      <c r="S206" s="85">
        <f>(((Coef_n/12)*(S$49+S$116)+(1-AAH_taux_abat1)*MIN(S$39*Coef_n/0.9/12,AAH_seuil_abat1)+(1-AAH_taux_abat2)*MAX(0,S$39*Coef_n/0.9/12-AAH_seuil_abat1)))</f>
        <v>0</v>
      </c>
      <c r="T206" s="85">
        <f>(((Coef_n/12)*(T$49+T$116)+(1-AAH_taux_abat1)*MIN(T$39*Coef_n/0.9/12,AAH_seuil_abat1)+(1-AAH_taux_abat2)*MAX(0,T$39*Coef_n/0.9/12-AAH_seuil_abat1)))</f>
        <v>0</v>
      </c>
      <c r="U206" s="85">
        <f>(((Coef_n/12)*(U$49+U$116)+(1-AAH_taux_abat1)*MIN(U$39*Coef_n/0.9/12,AAH_seuil_abat1)+(1-AAH_taux_abat2)*MAX(0,U$39*Coef_n/0.9/12-AAH_seuil_abat1)))</f>
        <v>0</v>
      </c>
    </row>
    <row r="207" spans="1:21" s="4" customFormat="1" x14ac:dyDescent="0.25">
      <c r="A207" s="275" t="s">
        <v>352</v>
      </c>
      <c r="B207" s="5"/>
      <c r="C207" s="85">
        <f>(C$3="couple")*(MAX(0,MIN(AAH_I0,C$203-C206)))</f>
        <v>1016.05</v>
      </c>
      <c r="D207" s="85">
        <f>(D$3="couple")*(MAX(0,MIN(AAH_I0,D$203-D206)))</f>
        <v>1016.05</v>
      </c>
      <c r="E207" s="85">
        <f>(E$3="couple")*(MAX(0,MIN(AAH_I0,E$203-E206)))</f>
        <v>1016.05</v>
      </c>
      <c r="F207" s="85">
        <f>(F$3="couple")*(MAX(0,MIN(AAH_I0,F$203-F206)))</f>
        <v>1016.05</v>
      </c>
      <c r="H207" s="85">
        <f>(H$3="couple")*(MAX(0,MIN(AAH_I0,H$203-H206)))</f>
        <v>1016.05</v>
      </c>
      <c r="I207" s="85">
        <f>(I$3="couple")*(MAX(0,MIN(AAH_I0,I$203-I206)))</f>
        <v>1016.05</v>
      </c>
      <c r="J207" s="85">
        <f>(J$3="couple")*(MAX(0,MIN(AAH_I0,J$203-J206)))</f>
        <v>1016.05</v>
      </c>
      <c r="K207" s="85">
        <f>(K$3="couple")*(MAX(0,MIN(AAH_I0,K$203-K206)))</f>
        <v>1016.05</v>
      </c>
      <c r="M207" s="85">
        <f>(M$3="couple")*(MAX(0,MIN(AAH_I0,M$203-M206)))</f>
        <v>1016.05</v>
      </c>
      <c r="N207" s="85">
        <f>(N$3="couple")*(MAX(0,MIN(AAH_I0,N$203-N206)))</f>
        <v>1016.05</v>
      </c>
      <c r="O207" s="85">
        <f>(O$3="couple")*(MAX(0,MIN(AAH_I0,O$203-O206)))</f>
        <v>1016.05</v>
      </c>
      <c r="P207" s="85">
        <f>(P$3="couple")*(MAX(0,MIN(AAH_I0,P$203-P206)))</f>
        <v>1016.05</v>
      </c>
      <c r="R207" s="85">
        <f>(R$3="couple")*(MAX(0,MIN(AAH_I0,R$203-R206)))</f>
        <v>1016.05</v>
      </c>
      <c r="S207" s="85">
        <f>(S$3="couple")*(MAX(0,MIN(AAH_I0,S$203-S206)))</f>
        <v>1016.05</v>
      </c>
      <c r="T207" s="85">
        <f>(T$3="couple")*(MAX(0,MIN(AAH_I0,T$203-T206)))</f>
        <v>1016.05</v>
      </c>
      <c r="U207" s="85">
        <f>(U$3="couple")*(MAX(0,MIN(AAH_I0,U$203-U206)))</f>
        <v>1016.05</v>
      </c>
    </row>
    <row r="210" spans="1:21" ht="13.5" thickBot="1" x14ac:dyDescent="0.35">
      <c r="A210" s="295" t="s">
        <v>500</v>
      </c>
      <c r="B210" s="89"/>
      <c r="C210" s="289"/>
      <c r="D210" s="289"/>
      <c r="E210" s="289"/>
      <c r="F210" s="289"/>
      <c r="H210" s="289"/>
      <c r="I210" s="289"/>
      <c r="J210" s="289"/>
      <c r="K210" s="289"/>
      <c r="M210" s="289"/>
      <c r="N210" s="289"/>
      <c r="O210" s="289"/>
      <c r="P210" s="289"/>
      <c r="R210" s="289"/>
      <c r="S210" s="289"/>
      <c r="T210" s="289"/>
      <c r="U210" s="289"/>
    </row>
    <row r="211" spans="1:21" ht="13" thickBot="1" x14ac:dyDescent="0.3">
      <c r="A211" s="451" t="s">
        <v>501</v>
      </c>
      <c r="B211" s="452"/>
      <c r="C211" s="453">
        <f>(C13&lt;&gt;"png")*(C13&lt;&gt;"ga_p")*C$99</f>
        <v>0</v>
      </c>
      <c r="D211" s="453">
        <f>(D13&lt;&gt;"png")*(D13&lt;&gt;"ga_p")*D$99</f>
        <v>0</v>
      </c>
      <c r="E211" s="453">
        <f>(E13&lt;&gt;"png")*(E13&lt;&gt;"ga_p")*E$99</f>
        <v>0</v>
      </c>
      <c r="F211" s="453">
        <f>(F13&lt;&gt;"png")*(F13&lt;&gt;"ga_p")*F$99</f>
        <v>0</v>
      </c>
      <c r="H211" s="453">
        <f>(H13&lt;&gt;"png")*(H13&lt;&gt;"ga_p")*H$99</f>
        <v>1</v>
      </c>
      <c r="I211" s="453">
        <f>(I13&lt;&gt;"png")*(I13&lt;&gt;"ga_p")*I$99</f>
        <v>1</v>
      </c>
      <c r="J211" s="453">
        <f>(J13&lt;&gt;"png")*(J13&lt;&gt;"ga_p")*J$99</f>
        <v>1</v>
      </c>
      <c r="K211" s="453">
        <f>(K13&lt;&gt;"png")*(K13&lt;&gt;"ga_p")*K$99</f>
        <v>1</v>
      </c>
      <c r="M211" s="453">
        <f>(M13&lt;&gt;"png")*(M13&lt;&gt;"ga_p")*M$99</f>
        <v>2</v>
      </c>
      <c r="N211" s="453">
        <f>(N13&lt;&gt;"png")*(N13&lt;&gt;"ga_p")*N$99</f>
        <v>2</v>
      </c>
      <c r="O211" s="453">
        <f>(O13&lt;&gt;"png")*(O13&lt;&gt;"ga_p")*O$99</f>
        <v>2</v>
      </c>
      <c r="P211" s="453">
        <f>(P13&lt;&gt;"png")*(P13&lt;&gt;"ga_p")*P$99</f>
        <v>2</v>
      </c>
      <c r="R211" s="453">
        <f>(R13&lt;&gt;"png")*(R13&lt;&gt;"ga_p")*R$99</f>
        <v>3</v>
      </c>
      <c r="S211" s="453">
        <f>(S13&lt;&gt;"png")*(S13&lt;&gt;"ga_p")*S$99</f>
        <v>3</v>
      </c>
      <c r="T211" s="453">
        <f>(T13&lt;&gt;"png")*(T13&lt;&gt;"ga_p")*T$99</f>
        <v>3</v>
      </c>
      <c r="U211" s="453">
        <f>(U13&lt;&gt;"png")*(U13&lt;&gt;"ga_p")*U$99</f>
        <v>3</v>
      </c>
    </row>
    <row r="212" spans="1:21" x14ac:dyDescent="0.25">
      <c r="C212" s="201"/>
      <c r="D212" s="201"/>
      <c r="E212" s="201"/>
      <c r="F212" s="201"/>
      <c r="H212" s="201"/>
      <c r="I212" s="201"/>
      <c r="J212" s="201"/>
      <c r="K212" s="201"/>
      <c r="M212" s="201"/>
      <c r="N212" s="201"/>
      <c r="O212" s="201"/>
      <c r="P212" s="201"/>
      <c r="R212" s="201"/>
      <c r="S212" s="201"/>
      <c r="T212" s="201"/>
      <c r="U212" s="201"/>
    </row>
    <row r="213" spans="1:21" s="4" customFormat="1" ht="13.5" thickBot="1" x14ac:dyDescent="0.35">
      <c r="A213" s="295" t="s">
        <v>84</v>
      </c>
      <c r="B213" s="89"/>
      <c r="C213" s="289"/>
      <c r="D213" s="289"/>
      <c r="E213" s="289"/>
      <c r="F213" s="289"/>
      <c r="H213" s="289"/>
      <c r="I213" s="289"/>
      <c r="J213" s="289"/>
      <c r="K213" s="289"/>
      <c r="M213" s="289"/>
      <c r="N213" s="289"/>
      <c r="O213" s="289"/>
      <c r="P213" s="289"/>
      <c r="R213" s="289"/>
      <c r="S213" s="289"/>
      <c r="T213" s="289"/>
      <c r="U213" s="289"/>
    </row>
    <row r="214" spans="1:21" s="4" customFormat="1" x14ac:dyDescent="0.25">
      <c r="A214" s="117" t="s">
        <v>0</v>
      </c>
      <c r="B214" s="121"/>
      <c r="C214" s="123">
        <f>IF(C$3="couple",(C$211=0)*rsa_C0+(C$211=1)*rsa_C1+(C$211&gt;=2)*(rsa_C2+(C$211-2)*rsa_sup_enf),0)+IF(C$3="isolé",(C19=0)*((C$211=0)*rsa_I0+(C$211=1)*rsa_I1+(C$211&gt;=2)*(rsa_I2+(C$211-2)*rsa_sup_enf))+(C19=1)*((C$211=0)*rsam_I0+(C$211=1)*rsam_I1+(C$211&gt;=2)*(rsam_I2+(C$211-2)*rsam_sup_enf)),0)</f>
        <v>953.56500000000005</v>
      </c>
      <c r="D214" s="123">
        <f>IF(D$3="couple",(D$211=0)*rsa_C0+(D$211=1)*rsa_C1+(D$211&gt;=2)*(rsa_C2+(D$211-2)*rsa_sup_enf),0)+IF(D$3="isolé",(D19=0)*((D$211=0)*rsa_I0+(D$211=1)*rsa_I1+(D$211&gt;=2)*(rsa_I2+(D$211-2)*rsa_sup_enf))+(D19=1)*((D$211=0)*rsam_I0+(D$211=1)*rsam_I1+(D$211&gt;=2)*(rsam_I2+(D$211-2)*rsam_sup_enf)),0)</f>
        <v>953.56500000000005</v>
      </c>
      <c r="E214" s="123">
        <f>IF(E$3="couple",(E$211=0)*rsa_C0+(E$211=1)*rsa_C1+(E$211&gt;=2)*(rsa_C2+(E$211-2)*rsa_sup_enf),0)+IF(E$3="isolé",(E19=0)*((E$211=0)*rsa_I0+(E$211=1)*rsa_I1+(E$211&gt;=2)*(rsa_I2+(E$211-2)*rsa_sup_enf))+(E19=1)*((E$211=0)*rsam_I0+(E$211=1)*rsam_I1+(E$211&gt;=2)*(rsam_I2+(E$211-2)*rsam_sup_enf)),0)</f>
        <v>953.56500000000005</v>
      </c>
      <c r="F214" s="123">
        <f>IF(F$3="couple",(F$211=0)*rsa_C0+(F$211=1)*rsa_C1+(F$211&gt;=2)*(rsa_C2+(F$211-2)*rsa_sup_enf),0)+IF(F$3="isolé",(F19=0)*((F$211=0)*rsa_I0+(F$211=1)*rsa_I1+(F$211&gt;=2)*(rsa_I2+(F$211-2)*rsa_sup_enf))+(F19=1)*((F$211=0)*rsam_I0+(F$211=1)*rsam_I1+(F$211&gt;=2)*(rsam_I2+(F$211-2)*rsam_sup_enf)),0)</f>
        <v>953.56500000000005</v>
      </c>
      <c r="H214" s="123">
        <f>IF(H$3="couple",(H$211=0)*rsa_C0+(H$211=1)*rsa_C1+(H$211&gt;=2)*(rsa_C2+(H$211-2)*rsa_sup_enf),0)+IF(H$3="isolé",(H19=0)*((H$211=0)*rsa_I0+(H$211=1)*rsa_I1+(H$211&gt;=2)*(rsa_I2+(H$211-2)*rsa_sup_enf))+(H19=1)*((H$211=0)*rsam_I0+(H$211=1)*rsam_I1+(H$211&gt;=2)*(rsam_I2+(H$211-2)*rsam_sup_enf)),0)</f>
        <v>1144.278</v>
      </c>
      <c r="I214" s="123">
        <f>IF(I$3="couple",(I$211=0)*rsa_C0+(I$211=1)*rsa_C1+(I$211&gt;=2)*(rsa_C2+(I$211-2)*rsa_sup_enf),0)+IF(I$3="isolé",(I19=0)*((I$211=0)*rsa_I0+(I$211=1)*rsa_I1+(I$211&gt;=2)*(rsa_I2+(I$211-2)*rsa_sup_enf))+(I19=1)*((I$211=0)*rsam_I0+(I$211=1)*rsam_I1+(I$211&gt;=2)*(rsam_I2+(I$211-2)*rsam_sup_enf)),0)</f>
        <v>1144.278</v>
      </c>
      <c r="J214" s="123">
        <f>IF(J$3="couple",(J$211=0)*rsa_C0+(J$211=1)*rsa_C1+(J$211&gt;=2)*(rsa_C2+(J$211-2)*rsa_sup_enf),0)+IF(J$3="isolé",(J19=0)*((J$211=0)*rsa_I0+(J$211=1)*rsa_I1+(J$211&gt;=2)*(rsa_I2+(J$211-2)*rsa_sup_enf))+(J19=1)*((J$211=0)*rsam_I0+(J$211=1)*rsam_I1+(J$211&gt;=2)*(rsam_I2+(J$211-2)*rsam_sup_enf)),0)</f>
        <v>1144.278</v>
      </c>
      <c r="K214" s="123">
        <f>IF(K$3="couple",(K$211=0)*rsa_C0+(K$211=1)*rsa_C1+(K$211&gt;=2)*(rsa_C2+(K$211-2)*rsa_sup_enf),0)+IF(K$3="isolé",(K19=0)*((K$211=0)*rsa_I0+(K$211=1)*rsa_I1+(K$211&gt;=2)*(rsa_I2+(K$211-2)*rsa_sup_enf))+(K19=1)*((K$211=0)*rsam_I0+(K$211=1)*rsam_I1+(K$211&gt;=2)*(rsam_I2+(K$211-2)*rsam_sup_enf)),0)</f>
        <v>1144.278</v>
      </c>
      <c r="M214" s="123">
        <f>IF(M$3="couple",(M$211=0)*rsa_C0+(M$211=1)*rsa_C1+(M$211&gt;=2)*(rsa_C2+(M$211-2)*rsa_sup_enf),0)+IF(M$3="isolé",(M19=0)*((M$211=0)*rsa_I0+(M$211=1)*rsa_I1+(M$211&gt;=2)*(rsa_I2+(M$211-2)*rsa_sup_enf))+(M19=1)*((M$211=0)*rsam_I0+(M$211=1)*rsam_I1+(M$211&gt;=2)*(rsam_I2+(M$211-2)*rsam_sup_enf)),0)</f>
        <v>1334.991</v>
      </c>
      <c r="N214" s="123">
        <f>IF(N$3="couple",(N$211=0)*rsa_C0+(N$211=1)*rsa_C1+(N$211&gt;=2)*(rsa_C2+(N$211-2)*rsa_sup_enf),0)+IF(N$3="isolé",(N19=0)*((N$211=0)*rsa_I0+(N$211=1)*rsa_I1+(N$211&gt;=2)*(rsa_I2+(N$211-2)*rsa_sup_enf))+(N19=1)*((N$211=0)*rsam_I0+(N$211=1)*rsam_I1+(N$211&gt;=2)*(rsam_I2+(N$211-2)*rsam_sup_enf)),0)</f>
        <v>1334.991</v>
      </c>
      <c r="O214" s="123">
        <f>IF(O$3="couple",(O$211=0)*rsa_C0+(O$211=1)*rsa_C1+(O$211&gt;=2)*(rsa_C2+(O$211-2)*rsa_sup_enf),0)+IF(O$3="isolé",(O19=0)*((O$211=0)*rsa_I0+(O$211=1)*rsa_I1+(O$211&gt;=2)*(rsa_I2+(O$211-2)*rsa_sup_enf))+(O19=1)*((O$211=0)*rsam_I0+(O$211=1)*rsam_I1+(O$211&gt;=2)*(rsam_I2+(O$211-2)*rsam_sup_enf)),0)</f>
        <v>1334.991</v>
      </c>
      <c r="P214" s="123">
        <f>IF(P$3="couple",(P$211=0)*rsa_C0+(P$211=1)*rsa_C1+(P$211&gt;=2)*(rsa_C2+(P$211-2)*rsa_sup_enf),0)+IF(P$3="isolé",(P19=0)*((P$211=0)*rsa_I0+(P$211=1)*rsa_I1+(P$211&gt;=2)*(rsa_I2+(P$211-2)*rsa_sup_enf))+(P19=1)*((P$211=0)*rsam_I0+(P$211=1)*rsam_I1+(P$211&gt;=2)*(rsam_I2+(P$211-2)*rsam_sup_enf)),0)</f>
        <v>1334.991</v>
      </c>
      <c r="R214" s="123">
        <f>IF(R$3="couple",(R$211=0)*rsa_C0+(R$211=1)*rsa_C1+(R$211&gt;=2)*(rsa_C2+(R$211-2)*rsa_sup_enf),0)+IF(R$3="isolé",(R19=0)*((R$211=0)*rsa_I0+(R$211=1)*rsa_I1+(R$211&gt;=2)*(rsa_I2+(R$211-2)*rsa_sup_enf))+(R19=1)*((R$211=0)*rsam_I0+(R$211=1)*rsam_I1+(R$211&gt;=2)*(rsam_I2+(R$211-2)*rsam_sup_enf)),0)</f>
        <v>1589.2750000000001</v>
      </c>
      <c r="S214" s="123">
        <f>IF(S$3="couple",(S$211=0)*rsa_C0+(S$211=1)*rsa_C1+(S$211&gt;=2)*(rsa_C2+(S$211-2)*rsa_sup_enf),0)+IF(S$3="isolé",(S19=0)*((S$211=0)*rsa_I0+(S$211=1)*rsa_I1+(S$211&gt;=2)*(rsa_I2+(S$211-2)*rsa_sup_enf))+(S19=1)*((S$211=0)*rsam_I0+(S$211=1)*rsam_I1+(S$211&gt;=2)*(rsam_I2+(S$211-2)*rsam_sup_enf)),0)</f>
        <v>1589.2750000000001</v>
      </c>
      <c r="T214" s="123">
        <f>IF(T$3="couple",(T$211=0)*rsa_C0+(T$211=1)*rsa_C1+(T$211&gt;=2)*(rsa_C2+(T$211-2)*rsa_sup_enf),0)+IF(T$3="isolé",(T19=0)*((T$211=0)*rsa_I0+(T$211=1)*rsa_I1+(T$211&gt;=2)*(rsa_I2+(T$211-2)*rsa_sup_enf))+(T19=1)*((T$211=0)*rsam_I0+(T$211=1)*rsam_I1+(T$211&gt;=2)*(rsam_I2+(T$211-2)*rsam_sup_enf)),0)</f>
        <v>1589.2750000000001</v>
      </c>
      <c r="U214" s="123">
        <f>IF(U$3="couple",(U$211=0)*rsa_C0+(U$211=1)*rsa_C1+(U$211&gt;=2)*(rsa_C2+(U$211-2)*rsa_sup_enf),0)+IF(U$3="isolé",(U19=0)*((U$211=0)*rsa_I0+(U$211=1)*rsa_I1+(U$211&gt;=2)*(rsa_I2+(U$211-2)*rsa_sup_enf))+(U19=1)*((U$211=0)*rsam_I0+(U$211=1)*rsam_I1+(U$211&gt;=2)*(rsam_I2+(U$211-2)*rsam_sup_enf)),0)</f>
        <v>1589.2750000000001</v>
      </c>
    </row>
    <row r="215" spans="1:21" s="4" customFormat="1" x14ac:dyDescent="0.25">
      <c r="A215" s="275" t="s">
        <v>215</v>
      </c>
      <c r="B215" s="5"/>
      <c r="C215" s="85">
        <f>MIN(IF(C$3="isolé",(C$211=0)*rsa_fl_1+(C$211=1)*rsa_fl_2+(C$211&gt;1)*rsa_fl_3,(C$211=0)*rsa_fl_2+(C$211&gt;0)*rsa_fl_3),C$185)</f>
        <v>152.57040000000001</v>
      </c>
      <c r="D215" s="85">
        <f>MIN(IF(D$3="isolé",(D$211=0)*rsa_fl_1+(D$211=1)*rsa_fl_2+(D$211&gt;1)*rsa_fl_3,(D$211=0)*rsa_fl_2+(D$211&gt;0)*rsa_fl_3),D$185)</f>
        <v>152.57040000000001</v>
      </c>
      <c r="E215" s="85">
        <f>MIN(IF(E$3="isolé",(E$211=0)*rsa_fl_1+(E$211=1)*rsa_fl_2+(E$211&gt;1)*rsa_fl_3,(E$211=0)*rsa_fl_2+(E$211&gt;0)*rsa_fl_3),E$185)</f>
        <v>88.576232220529803</v>
      </c>
      <c r="F215" s="85">
        <f>MIN(IF(F$3="isolé",(F$211=0)*rsa_fl_1+(F$211=1)*rsa_fl_2+(F$211&gt;1)*rsa_fl_3,(F$211=0)*rsa_fl_2+(F$211&gt;0)*rsa_fl_3),F$185)</f>
        <v>0</v>
      </c>
      <c r="H215" s="85">
        <f>MIN(IF(H$3="isolé",(H$211=0)*rsa_fl_1+(H$211=1)*rsa_fl_2+(H$211&gt;1)*rsa_fl_3,(H$211=0)*rsa_fl_2+(H$211&gt;0)*rsa_fl_3),H$185)</f>
        <v>188.80587</v>
      </c>
      <c r="I215" s="85">
        <f>MIN(IF(I$3="isolé",(I$211=0)*rsa_fl_1+(I$211=1)*rsa_fl_2+(I$211&gt;1)*rsa_fl_3,(I$211=0)*rsa_fl_2+(I$211&gt;0)*rsa_fl_3),I$185)</f>
        <v>188.80587</v>
      </c>
      <c r="J215" s="85">
        <f>MIN(IF(J$3="isolé",(J$211=0)*rsa_fl_1+(J$211=1)*rsa_fl_2+(J$211&gt;1)*rsa_fl_3,(J$211=0)*rsa_fl_2+(J$211&gt;0)*rsa_fl_3),J$185)</f>
        <v>188.80587</v>
      </c>
      <c r="K215" s="85">
        <f>MIN(IF(K$3="isolé",(K$211=0)*rsa_fl_1+(K$211=1)*rsa_fl_2+(K$211&gt;1)*rsa_fl_3,(K$211=0)*rsa_fl_2+(K$211&gt;0)*rsa_fl_3),K$185)</f>
        <v>0</v>
      </c>
      <c r="M215" s="85">
        <f>MIN(IF(M$3="isolé",(M$211=0)*rsa_fl_1+(M$211=1)*rsa_fl_2+(M$211&gt;1)*rsa_fl_3,(M$211=0)*rsa_fl_2+(M$211&gt;0)*rsa_fl_3),M$185)</f>
        <v>188.80587</v>
      </c>
      <c r="N215" s="85">
        <f>MIN(IF(N$3="isolé",(N$211=0)*rsa_fl_1+(N$211=1)*rsa_fl_2+(N$211&gt;1)*rsa_fl_3,(N$211=0)*rsa_fl_2+(N$211&gt;0)*rsa_fl_3),N$185)</f>
        <v>188.80587</v>
      </c>
      <c r="O215" s="85">
        <f>MIN(IF(O$3="isolé",(O$211=0)*rsa_fl_1+(O$211=1)*rsa_fl_2+(O$211&gt;1)*rsa_fl_3,(O$211=0)*rsa_fl_2+(O$211&gt;0)*rsa_fl_3),O$185)</f>
        <v>188.80587</v>
      </c>
      <c r="P215" s="85">
        <f>MIN(IF(P$3="isolé",(P$211=0)*rsa_fl_1+(P$211=1)*rsa_fl_2+(P$211&gt;1)*rsa_fl_3,(P$211=0)*rsa_fl_2+(P$211&gt;0)*rsa_fl_3),P$185)</f>
        <v>106.52656054361321</v>
      </c>
      <c r="R215" s="85">
        <f>MIN(IF(R$3="isolé",(R$211=0)*rsa_fl_1+(R$211=1)*rsa_fl_2+(R$211&gt;1)*rsa_fl_3,(R$211=0)*rsa_fl_2+(R$211&gt;0)*rsa_fl_3),R$185)</f>
        <v>188.80587</v>
      </c>
      <c r="S215" s="85">
        <f>MIN(IF(S$3="isolé",(S$211=0)*rsa_fl_1+(S$211=1)*rsa_fl_2+(S$211&gt;1)*rsa_fl_3,(S$211=0)*rsa_fl_2+(S$211&gt;0)*rsa_fl_3),S$185)</f>
        <v>188.80587</v>
      </c>
      <c r="T215" s="85">
        <f>MIN(IF(T$3="isolé",(T$211=0)*rsa_fl_1+(T$211=1)*rsa_fl_2+(T$211&gt;1)*rsa_fl_3,(T$211=0)*rsa_fl_2+(T$211&gt;0)*rsa_fl_3),T$185)</f>
        <v>188.80587</v>
      </c>
      <c r="U215" s="85">
        <f>MIN(IF(U$3="isolé",(U$211=0)*rsa_fl_1+(U$211=1)*rsa_fl_2+(U$211&gt;1)*rsa_fl_3,(U$211=0)*rsa_fl_2+(U$211&gt;0)*rsa_fl_3),U$185)</f>
        <v>188.80587</v>
      </c>
    </row>
    <row r="216" spans="1:21" s="4" customFormat="1" x14ac:dyDescent="0.25">
      <c r="A216" s="275" t="s">
        <v>209</v>
      </c>
      <c r="B216" s="5"/>
      <c r="C216" s="85">
        <f>(C$127+C$137+C$64)/(1-crds)+(C$62&gt;0)*MAX(0,(ASF_à_déduire_du_RSA/(1-crds))*C$97-C$52)</f>
        <v>0</v>
      </c>
      <c r="D216" s="85">
        <f>(D$127+D$137+D$64)/(1-crds)+(D$62&gt;0)*MAX(0,(ASF_à_déduire_du_RSA/(1-crds))*D$97-D$52)</f>
        <v>0</v>
      </c>
      <c r="E216" s="85">
        <f>(E$127+E$137+E$64)/(1-crds)+(E$62&gt;0)*MAX(0,(ASF_à_déduire_du_RSA/(1-crds))*E$97-E$52)</f>
        <v>0</v>
      </c>
      <c r="F216" s="85">
        <f>(F$127+F$137+F$64)/(1-crds)+(F$62&gt;0)*MAX(0,(ASF_à_déduire_du_RSA/(1-crds))*F$97-F$52)</f>
        <v>0</v>
      </c>
      <c r="H216" s="85">
        <f>(H$127+H$137+H$64)/(1-crds)+(H$62&gt;0)*MAX(0,(ASF_à_déduire_du_RSA/(1-crds))*H$97-H$52)</f>
        <v>0</v>
      </c>
      <c r="I216" s="85">
        <f>(I$127+I$137+I$64)/(1-crds)+(I$62&gt;0)*MAX(0,(ASF_à_déduire_du_RSA/(1-crds))*I$97-I$52)</f>
        <v>0</v>
      </c>
      <c r="J216" s="85">
        <f>(J$127+J$137+J$64)/(1-crds)+(J$62&gt;0)*MAX(0,(ASF_à_déduire_du_RSA/(1-crds))*J$97-J$52)</f>
        <v>0</v>
      </c>
      <c r="K216" s="85">
        <f>(K$127+K$137+K$64)/(1-crds)+(K$62&gt;0)*MAX(0,(ASF_à_déduire_du_RSA/(1-crds))*K$97-K$52)</f>
        <v>0</v>
      </c>
      <c r="M216" s="85">
        <f>(M$127+M$137+M$64)/(1-crds)+(M$62&gt;0)*MAX(0,(ASF_à_déduire_du_RSA/(1-crds))*M$97-M$52)</f>
        <v>149.26079999999999</v>
      </c>
      <c r="N216" s="85">
        <f>(N$127+N$137+N$64)/(1-crds)+(N$62&gt;0)*MAX(0,(ASF_à_déduire_du_RSA/(1-crds))*N$97-N$52)</f>
        <v>149.26079999999999</v>
      </c>
      <c r="O216" s="85">
        <f>(O$127+O$137+O$64)/(1-crds)+(O$62&gt;0)*MAX(0,(ASF_à_déduire_du_RSA/(1-crds))*O$97-O$52)</f>
        <v>149.26079999999999</v>
      </c>
      <c r="P216" s="85">
        <f>(P$127+P$137+P$64)/(1-crds)+(P$62&gt;0)*MAX(0,(ASF_à_déduire_du_RSA/(1-crds))*P$97-P$52)</f>
        <v>149.26079999999999</v>
      </c>
      <c r="R216" s="85">
        <f>(R$127+R$137+R$64)/(1-crds)+(R$62&gt;0)*MAX(0,(ASF_à_déduire_du_RSA/(1-crds))*R$97-R$52)</f>
        <v>534.77345999999989</v>
      </c>
      <c r="S216" s="85">
        <f>(S$127+S$137+S$64)/(1-crds)+(S$62&gt;0)*MAX(0,(ASF_à_déduire_du_RSA/(1-crds))*S$97-S$52)</f>
        <v>534.77345999999989</v>
      </c>
      <c r="T216" s="85">
        <f>(T$127+T$137+T$64)/(1-crds)+(T$62&gt;0)*MAX(0,(ASF_à_déduire_du_RSA/(1-crds))*T$97-T$52)</f>
        <v>534.77345999999989</v>
      </c>
      <c r="U216" s="85">
        <f>(U$127+U$137+U$64)/(1-crds)+(U$62&gt;0)*MAX(0,(ASF_à_déduire_du_RSA/(1-crds))*U$97-U$52)</f>
        <v>534.77345999999989</v>
      </c>
    </row>
    <row r="217" spans="1:21" s="4" customFormat="1" x14ac:dyDescent="0.25">
      <c r="A217" s="275" t="s">
        <v>331</v>
      </c>
      <c r="B217" s="5"/>
      <c r="C217" s="85">
        <f>C$216+C$38+C$39+C$52+C$74+C$57</f>
        <v>0</v>
      </c>
      <c r="D217" s="85">
        <f>D$216+D$38+D$39+D$52+D$74+D$57</f>
        <v>699.35</v>
      </c>
      <c r="E217" s="85">
        <f>E$216+E$38+E$39+E$52+E$74+E$57</f>
        <v>1398.7</v>
      </c>
      <c r="F217" s="85">
        <f>F$216+F$38+F$39+F$52+F$74+F$57</f>
        <v>2098.0500000000002</v>
      </c>
      <c r="H217" s="85">
        <f>H$216+H$38+H$39+H$52+H$74+H$57</f>
        <v>0</v>
      </c>
      <c r="I217" s="85">
        <f>I$216+I$38+I$39+I$52+I$74+I$57</f>
        <v>699.35</v>
      </c>
      <c r="J217" s="85">
        <f>J$216+J$38+J$39+J$52+J$74+J$57</f>
        <v>1398.7</v>
      </c>
      <c r="K217" s="85">
        <f>K$216+K$38+K$39+K$52+K$74+K$57</f>
        <v>2098.0500000000002</v>
      </c>
      <c r="M217" s="85">
        <f>M$216+M$38+M$39+M$52+M$74+M$57</f>
        <v>149.26079999999999</v>
      </c>
      <c r="N217" s="85">
        <f>N$216+N$38+N$39+N$52+N$74+N$57</f>
        <v>848.61080000000004</v>
      </c>
      <c r="O217" s="85">
        <f>O$216+O$38+O$39+O$52+O$74+O$57</f>
        <v>1547.9608000000001</v>
      </c>
      <c r="P217" s="85">
        <f>P$216+P$38+P$39+P$52+P$74+P$57</f>
        <v>2247.3108000000002</v>
      </c>
      <c r="R217" s="85">
        <f>R$216+R$38+R$39+R$52+R$74+R$57</f>
        <v>534.77345999999989</v>
      </c>
      <c r="S217" s="85">
        <f>S$216+S$38+S$39+S$52+S$74+S$57</f>
        <v>1234.1234599999998</v>
      </c>
      <c r="T217" s="85">
        <f>T$216+T$38+T$39+T$52+T$74+T$57</f>
        <v>1933.4734599999999</v>
      </c>
      <c r="U217" s="85">
        <f>U$216+U$38+U$39+U$52+U$74+U$57</f>
        <v>2632.8234600000001</v>
      </c>
    </row>
    <row r="218" spans="1:21" s="4" customFormat="1" ht="13" thickBot="1" x14ac:dyDescent="0.3">
      <c r="A218" s="127" t="s">
        <v>116</v>
      </c>
      <c r="B218" s="125"/>
      <c r="C218" s="126">
        <f>MAX(0,C$214-C$215-C$217)</f>
        <v>800.99459999999999</v>
      </c>
      <c r="D218" s="126">
        <f>MAX(0,D$214-D$215-D$217)</f>
        <v>101.64459999999997</v>
      </c>
      <c r="E218" s="126">
        <f>MAX(0,E$214-E$215-E$217)</f>
        <v>0</v>
      </c>
      <c r="F218" s="126">
        <f>MAX(0,F$214-F$215-F$217)</f>
        <v>0</v>
      </c>
      <c r="H218" s="126">
        <f>MAX(0,H$214-H$215-H$217)</f>
        <v>955.47212999999999</v>
      </c>
      <c r="I218" s="126">
        <f>MAX(0,I$214-I$215-I$217)</f>
        <v>256.12212999999997</v>
      </c>
      <c r="J218" s="126">
        <f>MAX(0,J$214-J$215-J$217)</f>
        <v>0</v>
      </c>
      <c r="K218" s="126">
        <f>MAX(0,K$214-K$215-K$217)</f>
        <v>0</v>
      </c>
      <c r="M218" s="126">
        <f>MAX(0,M$214-M$215-M$217)</f>
        <v>996.92433000000005</v>
      </c>
      <c r="N218" s="126">
        <f>MAX(0,N$214-N$215-N$217)</f>
        <v>297.57433000000003</v>
      </c>
      <c r="O218" s="126">
        <f>MAX(0,O$214-O$215-O$217)</f>
        <v>0</v>
      </c>
      <c r="P218" s="126">
        <f>MAX(0,P$214-P$215-P$217)</f>
        <v>0</v>
      </c>
      <c r="R218" s="126">
        <f>MAX(0,R$214-R$215-R$217)</f>
        <v>865.69567000000029</v>
      </c>
      <c r="S218" s="126">
        <f>MAX(0,S$214-S$215-S$217)</f>
        <v>166.34567000000038</v>
      </c>
      <c r="T218" s="126">
        <f>MAX(0,T$214-T$215-T$217)</f>
        <v>0</v>
      </c>
      <c r="U218" s="126">
        <f>MAX(0,U$214-U$215-U$217)</f>
        <v>0</v>
      </c>
    </row>
    <row r="219" spans="1:21" s="188" customFormat="1" x14ac:dyDescent="0.25">
      <c r="A219" s="4"/>
      <c r="B219" s="5"/>
      <c r="C219" s="189"/>
      <c r="D219" s="189"/>
      <c r="E219" s="189"/>
      <c r="F219" s="189"/>
      <c r="H219" s="189"/>
      <c r="I219" s="189"/>
      <c r="J219" s="189"/>
      <c r="K219" s="189"/>
      <c r="M219" s="189"/>
      <c r="N219" s="189"/>
      <c r="O219" s="189"/>
      <c r="P219" s="189"/>
      <c r="R219" s="189"/>
      <c r="S219" s="189"/>
      <c r="T219" s="189"/>
      <c r="U219" s="189"/>
    </row>
    <row r="220" spans="1:21" s="4" customFormat="1" ht="15" customHeight="1" thickBot="1" x14ac:dyDescent="0.35">
      <c r="A220" s="295" t="s">
        <v>142</v>
      </c>
      <c r="B220" s="89"/>
      <c r="C220" s="289"/>
      <c r="D220" s="289"/>
      <c r="E220" s="289"/>
      <c r="F220" s="289"/>
      <c r="H220" s="289"/>
      <c r="I220" s="289"/>
      <c r="J220" s="289"/>
      <c r="K220" s="289"/>
      <c r="M220" s="289"/>
      <c r="N220" s="289"/>
      <c r="O220" s="289"/>
      <c r="P220" s="289"/>
      <c r="R220" s="289"/>
      <c r="S220" s="289"/>
      <c r="T220" s="289"/>
      <c r="U220" s="289"/>
    </row>
    <row r="221" spans="1:21" s="4" customFormat="1" x14ac:dyDescent="0.25">
      <c r="A221" s="282" t="s">
        <v>214</v>
      </c>
      <c r="B221" s="121"/>
      <c r="C221" s="123">
        <f>IF(C$3="couple",(C$211=0)*pa_forf_c0+(C$211=1)*pa_forf_c1+(C$211&gt;=2)*(pa_forf_c2+(C$211-2)*pa_sup_enf),0)+IF(C$3="isolé",(C19=0)*((C$211=0)*pa_forf_I0+(C$211=1)*pa_forf_I1+(C$211&gt;=2)*(pa_forf_I2+(C$211-2)*pa_sup_enf))+(C19=1)*((C$211=0)*pa_forfm_I0+(C$211=1)*pa_forfm_I1+(C$211&gt;=2)*(pa_forfm_I2+(C$211-2)*pa_forfm_supenf)),0)</f>
        <v>933.94499999999994</v>
      </c>
      <c r="D221" s="123">
        <f>IF(D$3="couple",(D$211=0)*pa_forf_c0+(D$211=1)*pa_forf_c1+(D$211&gt;=2)*(pa_forf_c2+(D$211-2)*pa_sup_enf),0)+IF(D$3="isolé",(D19=0)*((D$211=0)*pa_forf_I0+(D$211=1)*pa_forf_I1+(D$211&gt;=2)*(pa_forf_I2+(D$211-2)*pa_sup_enf))+(D19=1)*((D$211=0)*pa_forfm_I0+(D$211=1)*pa_forfm_I1+(D$211&gt;=2)*(pa_forfm_I2+(D$211-2)*pa_forfm_supenf)),0)</f>
        <v>933.94499999999994</v>
      </c>
      <c r="E221" s="123">
        <f>IF(E$3="couple",(E$211=0)*pa_forf_c0+(E$211=1)*pa_forf_c1+(E$211&gt;=2)*(pa_forf_c2+(E$211-2)*pa_sup_enf),0)+IF(E$3="isolé",(E19=0)*((E$211=0)*pa_forf_I0+(E$211=1)*pa_forf_I1+(E$211&gt;=2)*(pa_forf_I2+(E$211-2)*pa_sup_enf))+(E19=1)*((E$211=0)*pa_forfm_I0+(E$211=1)*pa_forfm_I1+(E$211&gt;=2)*(pa_forfm_I2+(E$211-2)*pa_forfm_supenf)),0)</f>
        <v>933.94499999999994</v>
      </c>
      <c r="F221" s="123">
        <f>IF(F$3="couple",(F$211=0)*pa_forf_c0+(F$211=1)*pa_forf_c1+(F$211&gt;=2)*(pa_forf_c2+(F$211-2)*pa_sup_enf),0)+IF(F$3="isolé",(F19=0)*((F$211=0)*pa_forf_I0+(F$211=1)*pa_forf_I1+(F$211&gt;=2)*(pa_forf_I2+(F$211-2)*pa_sup_enf))+(F19=1)*((F$211=0)*pa_forfm_I0+(F$211=1)*pa_forfm_I1+(F$211&gt;=2)*(pa_forfm_I2+(F$211-2)*pa_forfm_supenf)),0)</f>
        <v>933.94499999999994</v>
      </c>
      <c r="H221" s="123">
        <f>IF(H$3="couple",(H$211=0)*pa_forf_c0+(H$211=1)*pa_forf_c1+(H$211&gt;=2)*(pa_forf_c2+(H$211-2)*pa_sup_enf),0)+IF(H$3="isolé",(H19=0)*((H$211=0)*pa_forf_I0+(H$211=1)*pa_forf_I1+(H$211&gt;=2)*(pa_forf_I2+(H$211-2)*pa_sup_enf))+(H19=1)*((H$211=0)*pa_forfm_I0+(H$211=1)*pa_forfm_I1+(H$211&gt;=2)*(pa_forfm_I2+(H$211-2)*pa_forfm_supenf)),0)</f>
        <v>1120.7339999999999</v>
      </c>
      <c r="I221" s="123">
        <f>IF(I$3="couple",(I$211=0)*pa_forf_c0+(I$211=1)*pa_forf_c1+(I$211&gt;=2)*(pa_forf_c2+(I$211-2)*pa_sup_enf),0)+IF(I$3="isolé",(I19=0)*((I$211=0)*pa_forf_I0+(I$211=1)*pa_forf_I1+(I$211&gt;=2)*(pa_forf_I2+(I$211-2)*pa_sup_enf))+(I19=1)*((I$211=0)*pa_forfm_I0+(I$211=1)*pa_forfm_I1+(I$211&gt;=2)*(pa_forfm_I2+(I$211-2)*pa_forfm_supenf)),0)</f>
        <v>1120.7339999999999</v>
      </c>
      <c r="J221" s="123">
        <f>IF(J$3="couple",(J$211=0)*pa_forf_c0+(J$211=1)*pa_forf_c1+(J$211&gt;=2)*(pa_forf_c2+(J$211-2)*pa_sup_enf),0)+IF(J$3="isolé",(J19=0)*((J$211=0)*pa_forf_I0+(J$211=1)*pa_forf_I1+(J$211&gt;=2)*(pa_forf_I2+(J$211-2)*pa_sup_enf))+(J19=1)*((J$211=0)*pa_forfm_I0+(J$211=1)*pa_forfm_I1+(J$211&gt;=2)*(pa_forfm_I2+(J$211-2)*pa_forfm_supenf)),0)</f>
        <v>1120.7339999999999</v>
      </c>
      <c r="K221" s="123">
        <f>IF(K$3="couple",(K$211=0)*pa_forf_c0+(K$211=1)*pa_forf_c1+(K$211&gt;=2)*(pa_forf_c2+(K$211-2)*pa_sup_enf),0)+IF(K$3="isolé",(K19=0)*((K$211=0)*pa_forf_I0+(K$211=1)*pa_forf_I1+(K$211&gt;=2)*(pa_forf_I2+(K$211-2)*pa_sup_enf))+(K19=1)*((K$211=0)*pa_forfm_I0+(K$211=1)*pa_forfm_I1+(K$211&gt;=2)*(pa_forfm_I2+(K$211-2)*pa_forfm_supenf)),0)</f>
        <v>1120.7339999999999</v>
      </c>
      <c r="M221" s="123">
        <f>IF(M$3="couple",(M$211=0)*pa_forf_c0+(M$211=1)*pa_forf_c1+(M$211&gt;=2)*(pa_forf_c2+(M$211-2)*pa_sup_enf),0)+IF(M$3="isolé",(M19=0)*((M$211=0)*pa_forf_I0+(M$211=1)*pa_forf_I1+(M$211&gt;=2)*(pa_forf_I2+(M$211-2)*pa_sup_enf))+(M19=1)*((M$211=0)*pa_forfm_I0+(M$211=1)*pa_forfm_I1+(M$211&gt;=2)*(pa_forfm_I2+(M$211-2)*pa_forfm_supenf)),0)</f>
        <v>1307.5229999999999</v>
      </c>
      <c r="N221" s="123">
        <f>IF(N$3="couple",(N$211=0)*pa_forf_c0+(N$211=1)*pa_forf_c1+(N$211&gt;=2)*(pa_forf_c2+(N$211-2)*pa_sup_enf),0)+IF(N$3="isolé",(N19=0)*((N$211=0)*pa_forf_I0+(N$211=1)*pa_forf_I1+(N$211&gt;=2)*(pa_forf_I2+(N$211-2)*pa_sup_enf))+(N19=1)*((N$211=0)*pa_forfm_I0+(N$211=1)*pa_forfm_I1+(N$211&gt;=2)*(pa_forfm_I2+(N$211-2)*pa_forfm_supenf)),0)</f>
        <v>1307.5229999999999</v>
      </c>
      <c r="O221" s="123">
        <f>IF(O$3="couple",(O$211=0)*pa_forf_c0+(O$211=1)*pa_forf_c1+(O$211&gt;=2)*(pa_forf_c2+(O$211-2)*pa_sup_enf),0)+IF(O$3="isolé",(O19=0)*((O$211=0)*pa_forf_I0+(O$211=1)*pa_forf_I1+(O$211&gt;=2)*(pa_forf_I2+(O$211-2)*pa_sup_enf))+(O19=1)*((O$211=0)*pa_forfm_I0+(O$211=1)*pa_forfm_I1+(O$211&gt;=2)*(pa_forfm_I2+(O$211-2)*pa_forfm_supenf)),0)</f>
        <v>1307.5229999999999</v>
      </c>
      <c r="P221" s="123">
        <f>IF(P$3="couple",(P$211=0)*pa_forf_c0+(P$211=1)*pa_forf_c1+(P$211&gt;=2)*(pa_forf_c2+(P$211-2)*pa_sup_enf),0)+IF(P$3="isolé",(P19=0)*((P$211=0)*pa_forf_I0+(P$211=1)*pa_forf_I1+(P$211&gt;=2)*(pa_forf_I2+(P$211-2)*pa_sup_enf))+(P19=1)*((P$211=0)*pa_forfm_I0+(P$211=1)*pa_forfm_I1+(P$211&gt;=2)*(pa_forfm_I2+(P$211-2)*pa_forfm_supenf)),0)</f>
        <v>1307.5229999999999</v>
      </c>
      <c r="R221" s="123">
        <f>IF(R$3="couple",(R$211=0)*pa_forf_c0+(R$211=1)*pa_forf_c1+(R$211&gt;=2)*(pa_forf_c2+(R$211-2)*pa_sup_enf),0)+IF(R$3="isolé",(R19=0)*((R$211=0)*pa_forf_I0+(R$211=1)*pa_forf_I1+(R$211&gt;=2)*(pa_forf_I2+(R$211-2)*pa_sup_enf))+(R19=1)*((R$211=0)*pa_forfm_I0+(R$211=1)*pa_forfm_I1+(R$211&gt;=2)*(pa_forfm_I2+(R$211-2)*pa_forfm_supenf)),0)</f>
        <v>1556.5749999999998</v>
      </c>
      <c r="S221" s="123">
        <f>IF(S$3="couple",(S$211=0)*pa_forf_c0+(S$211=1)*pa_forf_c1+(S$211&gt;=2)*(pa_forf_c2+(S$211-2)*pa_sup_enf),0)+IF(S$3="isolé",(S19=0)*((S$211=0)*pa_forf_I0+(S$211=1)*pa_forf_I1+(S$211&gt;=2)*(pa_forf_I2+(S$211-2)*pa_sup_enf))+(S19=1)*((S$211=0)*pa_forfm_I0+(S$211=1)*pa_forfm_I1+(S$211&gt;=2)*(pa_forfm_I2+(S$211-2)*pa_forfm_supenf)),0)</f>
        <v>1556.5749999999998</v>
      </c>
      <c r="T221" s="123">
        <f>IF(T$3="couple",(T$211=0)*pa_forf_c0+(T$211=1)*pa_forf_c1+(T$211&gt;=2)*(pa_forf_c2+(T$211-2)*pa_sup_enf),0)+IF(T$3="isolé",(T19=0)*((T$211=0)*pa_forf_I0+(T$211=1)*pa_forf_I1+(T$211&gt;=2)*(pa_forf_I2+(T$211-2)*pa_sup_enf))+(T19=1)*((T$211=0)*pa_forfm_I0+(T$211=1)*pa_forfm_I1+(T$211&gt;=2)*(pa_forfm_I2+(T$211-2)*pa_forfm_supenf)),0)</f>
        <v>1556.5749999999998</v>
      </c>
      <c r="U221" s="123">
        <f>IF(U$3="couple",(U$211=0)*pa_forf_c0+(U$211=1)*pa_forf_c1+(U$211&gt;=2)*(pa_forf_c2+(U$211-2)*pa_sup_enf),0)+IF(U$3="isolé",(U19=0)*((U$211=0)*pa_forf_I0+(U$211=1)*pa_forf_I1+(U$211&gt;=2)*(pa_forf_I2+(U$211-2)*pa_sup_enf))+(U19=1)*((U$211=0)*pa_forfm_I0+(U$211=1)*pa_forfm_I1+(U$211&gt;=2)*(pa_forfm_I2+(U$211-2)*pa_forfm_supenf)),0)</f>
        <v>1556.5749999999998</v>
      </c>
    </row>
    <row r="222" spans="1:21" s="4" customFormat="1" x14ac:dyDescent="0.25">
      <c r="A222" s="275" t="s">
        <v>162</v>
      </c>
      <c r="B222" s="5"/>
      <c r="C222" s="85">
        <f>MIN(C$185,IF(C$3="isolé",(C$211=0)*pa_fl1+(C$211=1)*pa_fl2+(C$211&gt;1)*pa_fl3,(C$211=0)*pa_fl2+(C$211&gt;0)*pa_fl3))</f>
        <v>149.43119999999999</v>
      </c>
      <c r="D222" s="85">
        <f>MIN(D$185,IF(D$3="isolé",(D$211=0)*pa_fl1+(D$211=1)*pa_fl2+(D$211&gt;1)*pa_fl3,(D$211=0)*pa_fl2+(D$211&gt;0)*pa_fl3))</f>
        <v>149.43119999999999</v>
      </c>
      <c r="E222" s="85">
        <f>MIN(E$185,IF(E$3="isolé",(E$211=0)*pa_fl1+(E$211=1)*pa_fl2+(E$211&gt;1)*pa_fl3,(E$211=0)*pa_fl2+(E$211&gt;0)*pa_fl3))</f>
        <v>88.576232220529803</v>
      </c>
      <c r="F222" s="85">
        <f>MIN(F$185,IF(F$3="isolé",(F$211=0)*pa_fl1+(F$211=1)*pa_fl2+(F$211&gt;1)*pa_fl3,(F$211=0)*pa_fl2+(F$211&gt;0)*pa_fl3))</f>
        <v>0</v>
      </c>
      <c r="H222" s="85">
        <f>MIN(H$185,IF(H$3="isolé",(H$211=0)*pa_fl1+(H$211=1)*pa_fl2+(H$211&gt;1)*pa_fl3,(H$211=0)*pa_fl2+(H$211&gt;0)*pa_fl3))</f>
        <v>184.92111</v>
      </c>
      <c r="I222" s="85">
        <f>MIN(I$185,IF(I$3="isolé",(I$211=0)*pa_fl1+(I$211=1)*pa_fl2+(I$211&gt;1)*pa_fl3,(I$211=0)*pa_fl2+(I$211&gt;0)*pa_fl3))</f>
        <v>184.92111</v>
      </c>
      <c r="J222" s="85">
        <f>MIN(J$185,IF(J$3="isolé",(J$211=0)*pa_fl1+(J$211=1)*pa_fl2+(J$211&gt;1)*pa_fl3,(J$211=0)*pa_fl2+(J$211&gt;0)*pa_fl3))</f>
        <v>184.92111</v>
      </c>
      <c r="K222" s="85">
        <f>MIN(K$185,IF(K$3="isolé",(K$211=0)*pa_fl1+(K$211=1)*pa_fl2+(K$211&gt;1)*pa_fl3,(K$211=0)*pa_fl2+(K$211&gt;0)*pa_fl3))</f>
        <v>0</v>
      </c>
      <c r="M222" s="85">
        <f>MIN(M$185,IF(M$3="isolé",(M$211=0)*pa_fl1+(M$211=1)*pa_fl2+(M$211&gt;1)*pa_fl3,(M$211=0)*pa_fl2+(M$211&gt;0)*pa_fl3))</f>
        <v>184.92111</v>
      </c>
      <c r="N222" s="85">
        <f>MIN(N$185,IF(N$3="isolé",(N$211=0)*pa_fl1+(N$211=1)*pa_fl2+(N$211&gt;1)*pa_fl3,(N$211=0)*pa_fl2+(N$211&gt;0)*pa_fl3))</f>
        <v>184.92111</v>
      </c>
      <c r="O222" s="85">
        <f>MIN(O$185,IF(O$3="isolé",(O$211=0)*pa_fl1+(O$211=1)*pa_fl2+(O$211&gt;1)*pa_fl3,(O$211=0)*pa_fl2+(O$211&gt;0)*pa_fl3))</f>
        <v>184.92111</v>
      </c>
      <c r="P222" s="85">
        <f>MIN(P$185,IF(P$3="isolé",(P$211=0)*pa_fl1+(P$211=1)*pa_fl2+(P$211&gt;1)*pa_fl3,(P$211=0)*pa_fl2+(P$211&gt;0)*pa_fl3))</f>
        <v>106.52656054361321</v>
      </c>
      <c r="R222" s="85">
        <f>MIN(R$185,IF(R$3="isolé",(R$211=0)*pa_fl1+(R$211=1)*pa_fl2+(R$211&gt;1)*pa_fl3,(R$211=0)*pa_fl2+(R$211&gt;0)*pa_fl3))</f>
        <v>184.92111</v>
      </c>
      <c r="S222" s="85">
        <f>MIN(S$185,IF(S$3="isolé",(S$211=0)*pa_fl1+(S$211=1)*pa_fl2+(S$211&gt;1)*pa_fl3,(S$211=0)*pa_fl2+(S$211&gt;0)*pa_fl3))</f>
        <v>184.92111</v>
      </c>
      <c r="T222" s="85">
        <f>MIN(T$185,IF(T$3="isolé",(T$211=0)*pa_fl1+(T$211=1)*pa_fl2+(T$211&gt;1)*pa_fl3,(T$211=0)*pa_fl2+(T$211&gt;0)*pa_fl3))</f>
        <v>184.92111</v>
      </c>
      <c r="U222" s="85">
        <f>MIN(U$185,IF(U$3="isolé",(U$211=0)*pa_fl1+(U$211=1)*pa_fl2+(U$211&gt;1)*pa_fl3,(U$211=0)*pa_fl2+(U$211&gt;0)*pa_fl3))</f>
        <v>184.92111</v>
      </c>
    </row>
    <row r="223" spans="1:21" s="4" customFormat="1" x14ac:dyDescent="0.25">
      <c r="A223" s="275" t="s">
        <v>526</v>
      </c>
      <c r="B223" s="5"/>
      <c r="C223" s="85">
        <f>(((C$38+C$32*IF(C$38&gt;=AAH_salmin_revact,C$205,0))/smic&gt;=pa_seuil1_BPA)*MIN(1,((C$38+C$32*IF(C$38&gt;=AAH_salmin_revact,C$205,0))/smic-pa_seuil1_BPA)/(pa_seuil2_BPA-pa_seuil1_BPA))*pa_max_BPA)</f>
        <v>0</v>
      </c>
      <c r="D223" s="85">
        <f>(((D$38+D$32*IF(D$38&gt;=AAH_salmin_revact,D$205,0))/smic&gt;=pa_seuil1_BPA)*MIN(1,((D$38+D$32*IF(D$38&gt;=AAH_salmin_revact,D$205,0))/smic-pa_seuil1_BPA)/(pa_seuil2_BPA-pa_seuil1_BPA))*pa_max_BPA)</f>
        <v>0</v>
      </c>
      <c r="E223" s="85">
        <f>(((E$38+E$32*IF(E$38&gt;=AAH_salmin_revact,E$205,0))/smic&gt;=pa_seuil1_BPA)*MIN(1,((E$38+E$32*IF(E$38&gt;=AAH_salmin_revact,E$205,0))/smic-pa_seuil1_BPA)/(pa_seuil2_BPA-pa_seuil1_BPA))*pa_max_BPA)</f>
        <v>181.19</v>
      </c>
      <c r="F223" s="85">
        <f>(((F$38+F$32*IF(F$38&gt;=AAH_salmin_revact,F$205,0))/smic&gt;=pa_seuil1_BPA)*MIN(1,((F$38+F$32*IF(F$38&gt;=AAH_salmin_revact,F$205,0))/smic-pa_seuil1_BPA)/(pa_seuil2_BPA-pa_seuil1_BPA))*pa_max_BPA)</f>
        <v>181.19</v>
      </c>
      <c r="H223" s="85">
        <f>(((H$38+H$32*IF(H$38&gt;=AAH_salmin_revact,H$205,0))/smic&gt;=pa_seuil1_BPA)*MIN(1,((H$38+H$32*IF(H$38&gt;=AAH_salmin_revact,H$205,0))/smic-pa_seuil1_BPA)/(pa_seuil2_BPA-pa_seuil1_BPA))*pa_max_BPA)</f>
        <v>0</v>
      </c>
      <c r="I223" s="85">
        <f>(((I$38+I$32*IF(I$38&gt;=AAH_salmin_revact,I$205,0))/smic&gt;=pa_seuil1_BPA)*MIN(1,((I$38+I$32*IF(I$38&gt;=AAH_salmin_revact,I$205,0))/smic-pa_seuil1_BPA)/(pa_seuil2_BPA-pa_seuil1_BPA))*pa_max_BPA)</f>
        <v>0</v>
      </c>
      <c r="J223" s="85">
        <f>(((J$38+J$32*IF(J$38&gt;=AAH_salmin_revact,J$205,0))/smic&gt;=pa_seuil1_BPA)*MIN(1,((J$38+J$32*IF(J$38&gt;=AAH_salmin_revact,J$205,0))/smic-pa_seuil1_BPA)/(pa_seuil2_BPA-pa_seuil1_BPA))*pa_max_BPA)</f>
        <v>181.19</v>
      </c>
      <c r="K223" s="85">
        <f>(((K$38+K$32*IF(K$38&gt;=AAH_salmin_revact,K$205,0))/smic&gt;=pa_seuil1_BPA)*MIN(1,((K$38+K$32*IF(K$38&gt;=AAH_salmin_revact,K$205,0))/smic-pa_seuil1_BPA)/(pa_seuil2_BPA-pa_seuil1_BPA))*pa_max_BPA)</f>
        <v>181.19</v>
      </c>
      <c r="M223" s="85">
        <f>(((M$38+M$32*IF(M$38&gt;=AAH_salmin_revact,M$205,0))/smic&gt;=pa_seuil1_BPA)*MIN(1,((M$38+M$32*IF(M$38&gt;=AAH_salmin_revact,M$205,0))/smic-pa_seuil1_BPA)/(pa_seuil2_BPA-pa_seuil1_BPA))*pa_max_BPA)</f>
        <v>0</v>
      </c>
      <c r="N223" s="85">
        <f>(((N$38+N$32*IF(N$38&gt;=AAH_salmin_revact,N$205,0))/smic&gt;=pa_seuil1_BPA)*MIN(1,((N$38+N$32*IF(N$38&gt;=AAH_salmin_revact,N$205,0))/smic-pa_seuil1_BPA)/(pa_seuil2_BPA-pa_seuil1_BPA))*pa_max_BPA)</f>
        <v>0</v>
      </c>
      <c r="O223" s="85">
        <f>(((O$38+O$32*IF(O$38&gt;=AAH_salmin_revact,O$205,0))/smic&gt;=pa_seuil1_BPA)*MIN(1,((O$38+O$32*IF(O$38&gt;=AAH_salmin_revact,O$205,0))/smic-pa_seuil1_BPA)/(pa_seuil2_BPA-pa_seuil1_BPA))*pa_max_BPA)</f>
        <v>181.19</v>
      </c>
      <c r="P223" s="85">
        <f>(((P$38+P$32*IF(P$38&gt;=AAH_salmin_revact,P$205,0))/smic&gt;=pa_seuil1_BPA)*MIN(1,((P$38+P$32*IF(P$38&gt;=AAH_salmin_revact,P$205,0))/smic-pa_seuil1_BPA)/(pa_seuil2_BPA-pa_seuil1_BPA))*pa_max_BPA)</f>
        <v>181.19</v>
      </c>
      <c r="R223" s="85">
        <f>(((R$38+R$32*IF(R$38&gt;=AAH_salmin_revact,R$205,0))/smic&gt;=pa_seuil1_BPA)*MIN(1,((R$38+R$32*IF(R$38&gt;=AAH_salmin_revact,R$205,0))/smic-pa_seuil1_BPA)/(pa_seuil2_BPA-pa_seuil1_BPA))*pa_max_BPA)</f>
        <v>0</v>
      </c>
      <c r="S223" s="85">
        <f>(((S$38+S$32*IF(S$38&gt;=AAH_salmin_revact,S$205,0))/smic&gt;=pa_seuil1_BPA)*MIN(1,((S$38+S$32*IF(S$38&gt;=AAH_salmin_revact,S$205,0))/smic-pa_seuil1_BPA)/(pa_seuil2_BPA-pa_seuil1_BPA))*pa_max_BPA)</f>
        <v>0</v>
      </c>
      <c r="T223" s="85">
        <f>(((T$38+T$32*IF(T$38&gt;=AAH_salmin_revact,T$205,0))/smic&gt;=pa_seuil1_BPA)*MIN(1,((T$38+T$32*IF(T$38&gt;=AAH_salmin_revact,T$205,0))/smic-pa_seuil1_BPA)/(pa_seuil2_BPA-pa_seuil1_BPA))*pa_max_BPA)</f>
        <v>181.19</v>
      </c>
      <c r="U223" s="85">
        <f>(((U$38+U$32*IF(U$38&gt;=AAH_salmin_revact,U$205,0))/smic&gt;=pa_seuil1_BPA)*MIN(1,((U$38+U$32*IF(U$38&gt;=AAH_salmin_revact,U$205,0))/smic-pa_seuil1_BPA)/(pa_seuil2_BPA-pa_seuil1_BPA))*pa_max_BPA)</f>
        <v>181.19</v>
      </c>
    </row>
    <row r="224" spans="1:21" s="4" customFormat="1" x14ac:dyDescent="0.25">
      <c r="A224" s="275" t="s">
        <v>527</v>
      </c>
      <c r="B224" s="5"/>
      <c r="C224" s="85">
        <f>(C$3="couple")*(((C$39+C$33*IF(C$39&gt;=AAH_salmin_revact,C$207,0))/smic&gt;=pa_seuil1_BPA)*MIN(1,((C$39+C$33*IF(C$39&gt;=AAH_salmin_revact,C$207,0))/smic-pa_seuil1_BPA)/(pa_seuil2_BPA-pa_seuil1_BPA))*pa_max_BPA)</f>
        <v>0</v>
      </c>
      <c r="D224" s="85">
        <f>(D$3="couple")*(((D$39+D$33*IF(D$39&gt;=AAH_salmin_revact,D$207,0))/smic&gt;=pa_seuil1_BPA)*MIN(1,((D$39+D$33*IF(D$39&gt;=AAH_salmin_revact,D$207,0))/smic-pa_seuil1_BPA)/(pa_seuil2_BPA-pa_seuil1_BPA))*pa_max_BPA)</f>
        <v>0</v>
      </c>
      <c r="E224" s="85">
        <f>(E$3="couple")*(((E$39+E$33*IF(E$39&gt;=AAH_salmin_revact,E$207,0))/smic&gt;=pa_seuil1_BPA)*MIN(1,((E$39+E$33*IF(E$39&gt;=AAH_salmin_revact,E$207,0))/smic-pa_seuil1_BPA)/(pa_seuil2_BPA-pa_seuil1_BPA))*pa_max_BPA)</f>
        <v>0</v>
      </c>
      <c r="F224" s="85">
        <f>(F$3="couple")*(((F$39+F$33*IF(F$39&gt;=AAH_salmin_revact,F$207,0))/smic&gt;=pa_seuil1_BPA)*MIN(1,((F$39+F$33*IF(F$39&gt;=AAH_salmin_revact,F$207,0))/smic-pa_seuil1_BPA)/(pa_seuil2_BPA-pa_seuil1_BPA))*pa_max_BPA)</f>
        <v>0</v>
      </c>
      <c r="H224" s="85">
        <f>(H$3="couple")*(((H$39+H$33*IF(H$39&gt;=AAH_salmin_revact,H$207,0))/smic&gt;=pa_seuil1_BPA)*MIN(1,((H$39+H$33*IF(H$39&gt;=AAH_salmin_revact,H$207,0))/smic-pa_seuil1_BPA)/(pa_seuil2_BPA-pa_seuil1_BPA))*pa_max_BPA)</f>
        <v>0</v>
      </c>
      <c r="I224" s="85">
        <f>(I$3="couple")*(((I$39+I$33*IF(I$39&gt;=AAH_salmin_revact,I$207,0))/smic&gt;=pa_seuil1_BPA)*MIN(1,((I$39+I$33*IF(I$39&gt;=AAH_salmin_revact,I$207,0))/smic-pa_seuil1_BPA)/(pa_seuil2_BPA-pa_seuil1_BPA))*pa_max_BPA)</f>
        <v>0</v>
      </c>
      <c r="J224" s="85">
        <f>(J$3="couple")*(((J$39+J$33*IF(J$39&gt;=AAH_salmin_revact,J$207,0))/smic&gt;=pa_seuil1_BPA)*MIN(1,((J$39+J$33*IF(J$39&gt;=AAH_salmin_revact,J$207,0))/smic-pa_seuil1_BPA)/(pa_seuil2_BPA-pa_seuil1_BPA))*pa_max_BPA)</f>
        <v>0</v>
      </c>
      <c r="K224" s="85">
        <f>(K$3="couple")*(((K$39+K$33*IF(K$39&gt;=AAH_salmin_revact,K$207,0))/smic&gt;=pa_seuil1_BPA)*MIN(1,((K$39+K$33*IF(K$39&gt;=AAH_salmin_revact,K$207,0))/smic-pa_seuil1_BPA)/(pa_seuil2_BPA-pa_seuil1_BPA))*pa_max_BPA)</f>
        <v>0</v>
      </c>
      <c r="M224" s="85">
        <f>(M$3="couple")*(((M$39+M$33*IF(M$39&gt;=AAH_salmin_revact,M$207,0))/smic&gt;=pa_seuil1_BPA)*MIN(1,((M$39+M$33*IF(M$39&gt;=AAH_salmin_revact,M$207,0))/smic-pa_seuil1_BPA)/(pa_seuil2_BPA-pa_seuil1_BPA))*pa_max_BPA)</f>
        <v>0</v>
      </c>
      <c r="N224" s="85">
        <f>(N$3="couple")*(((N$39+N$33*IF(N$39&gt;=AAH_salmin_revact,N$207,0))/smic&gt;=pa_seuil1_BPA)*MIN(1,((N$39+N$33*IF(N$39&gt;=AAH_salmin_revact,N$207,0))/smic-pa_seuil1_BPA)/(pa_seuil2_BPA-pa_seuil1_BPA))*pa_max_BPA)</f>
        <v>0</v>
      </c>
      <c r="O224" s="85">
        <f>(O$3="couple")*(((O$39+O$33*IF(O$39&gt;=AAH_salmin_revact,O$207,0))/smic&gt;=pa_seuil1_BPA)*MIN(1,((O$39+O$33*IF(O$39&gt;=AAH_salmin_revact,O$207,0))/smic-pa_seuil1_BPA)/(pa_seuil2_BPA-pa_seuil1_BPA))*pa_max_BPA)</f>
        <v>0</v>
      </c>
      <c r="P224" s="85">
        <f>(P$3="couple")*(((P$39+P$33*IF(P$39&gt;=AAH_salmin_revact,P$207,0))/smic&gt;=pa_seuil1_BPA)*MIN(1,((P$39+P$33*IF(P$39&gt;=AAH_salmin_revact,P$207,0))/smic-pa_seuil1_BPA)/(pa_seuil2_BPA-pa_seuil1_BPA))*pa_max_BPA)</f>
        <v>0</v>
      </c>
      <c r="R224" s="85">
        <f>(R$3="couple")*(((R$39+R$33*IF(R$39&gt;=AAH_salmin_revact,R$207,0))/smic&gt;=pa_seuil1_BPA)*MIN(1,((R$39+R$33*IF(R$39&gt;=AAH_salmin_revact,R$207,0))/smic-pa_seuil1_BPA)/(pa_seuil2_BPA-pa_seuil1_BPA))*pa_max_BPA)</f>
        <v>0</v>
      </c>
      <c r="S224" s="85">
        <f>(S$3="couple")*(((S$39+S$33*IF(S$39&gt;=AAH_salmin_revact,S$207,0))/smic&gt;=pa_seuil1_BPA)*MIN(1,((S$39+S$33*IF(S$39&gt;=AAH_salmin_revact,S$207,0))/smic-pa_seuil1_BPA)/(pa_seuil2_BPA-pa_seuil1_BPA))*pa_max_BPA)</f>
        <v>0</v>
      </c>
      <c r="T224" s="85">
        <f>(T$3="couple")*(((T$39+T$33*IF(T$39&gt;=AAH_salmin_revact,T$207,0))/smic&gt;=pa_seuil1_BPA)*MIN(1,((T$39+T$33*IF(T$39&gt;=AAH_salmin_revact,T$207,0))/smic-pa_seuil1_BPA)/(pa_seuil2_BPA-pa_seuil1_BPA))*pa_max_BPA)</f>
        <v>0</v>
      </c>
      <c r="U224" s="85">
        <f>(U$3="couple")*(((U$39+U$33*IF(U$39&gt;=AAH_salmin_revact,U$207,0))/smic&gt;=pa_seuil1_BPA)*MIN(1,((U$39+U$33*IF(U$39&gt;=AAH_salmin_revact,U$207,0))/smic-pa_seuil1_BPA)/(pa_seuil2_BPA-pa_seuil1_BPA))*pa_max_BPA)</f>
        <v>0</v>
      </c>
    </row>
    <row r="225" spans="1:21" s="4" customFormat="1" x14ac:dyDescent="0.25">
      <c r="A225" s="116" t="s">
        <v>92</v>
      </c>
      <c r="B225" s="5"/>
      <c r="C225" s="85">
        <f>C$38+C$32*IF(C$38&gt;=AAH_salmin_revact,C$205,0)+(C$3="couple")*(C$39+C$33*IF(C$39&gt;=AAH_salmin_revact,C$207,0))</f>
        <v>0</v>
      </c>
      <c r="D225" s="85">
        <f>D$38+D$32*IF(D$38&gt;=AAH_salmin_revact,D$205,0)+(D$3="couple")*(D$39+D$33*IF(D$39&gt;=AAH_salmin_revact,D$207,0))</f>
        <v>699.35</v>
      </c>
      <c r="E225" s="85">
        <f>E$38+E$32*IF(E$38&gt;=AAH_salmin_revact,E$205,0)+(E$3="couple")*(E$39+E$33*IF(E$39&gt;=AAH_salmin_revact,E$207,0))</f>
        <v>1398.7</v>
      </c>
      <c r="F225" s="85">
        <f>F$38+F$32*IF(F$38&gt;=AAH_salmin_revact,F$205,0)+(F$3="couple")*(F$39+F$33*IF(F$39&gt;=AAH_salmin_revact,F$207,0))</f>
        <v>2098.0500000000002</v>
      </c>
      <c r="H225" s="85">
        <f>H$38+H$32*IF(H$38&gt;=AAH_salmin_revact,H$205,0)+(H$3="couple")*(H$39+H$33*IF(H$39&gt;=AAH_salmin_revact,H$207,0))</f>
        <v>0</v>
      </c>
      <c r="I225" s="85">
        <f>I$38+I$32*IF(I$38&gt;=AAH_salmin_revact,I$205,0)+(I$3="couple")*(I$39+I$33*IF(I$39&gt;=AAH_salmin_revact,I$207,0))</f>
        <v>699.35</v>
      </c>
      <c r="J225" s="85">
        <f>J$38+J$32*IF(J$38&gt;=AAH_salmin_revact,J$205,0)+(J$3="couple")*(J$39+J$33*IF(J$39&gt;=AAH_salmin_revact,J$207,0))</f>
        <v>1398.7</v>
      </c>
      <c r="K225" s="85">
        <f>K$38+K$32*IF(K$38&gt;=AAH_salmin_revact,K$205,0)+(K$3="couple")*(K$39+K$33*IF(K$39&gt;=AAH_salmin_revact,K$207,0))</f>
        <v>2098.0500000000002</v>
      </c>
      <c r="M225" s="85">
        <f>M$38+M$32*IF(M$38&gt;=AAH_salmin_revact,M$205,0)+(M$3="couple")*(M$39+M$33*IF(M$39&gt;=AAH_salmin_revact,M$207,0))</f>
        <v>0</v>
      </c>
      <c r="N225" s="85">
        <f>N$38+N$32*IF(N$38&gt;=AAH_salmin_revact,N$205,0)+(N$3="couple")*(N$39+N$33*IF(N$39&gt;=AAH_salmin_revact,N$207,0))</f>
        <v>699.35</v>
      </c>
      <c r="O225" s="85">
        <f>O$38+O$32*IF(O$38&gt;=AAH_salmin_revact,O$205,0)+(O$3="couple")*(O$39+O$33*IF(O$39&gt;=AAH_salmin_revact,O$207,0))</f>
        <v>1398.7</v>
      </c>
      <c r="P225" s="85">
        <f>P$38+P$32*IF(P$38&gt;=AAH_salmin_revact,P$205,0)+(P$3="couple")*(P$39+P$33*IF(P$39&gt;=AAH_salmin_revact,P$207,0))</f>
        <v>2098.0500000000002</v>
      </c>
      <c r="R225" s="85">
        <f>R$38+R$32*IF(R$38&gt;=AAH_salmin_revact,R$205,0)+(R$3="couple")*(R$39+R$33*IF(R$39&gt;=AAH_salmin_revact,R$207,0))</f>
        <v>0</v>
      </c>
      <c r="S225" s="85">
        <f>S$38+S$32*IF(S$38&gt;=AAH_salmin_revact,S$205,0)+(S$3="couple")*(S$39+S$33*IF(S$39&gt;=AAH_salmin_revact,S$207,0))</f>
        <v>699.35</v>
      </c>
      <c r="T225" s="85">
        <f>T$38+T$32*IF(T$38&gt;=AAH_salmin_revact,T$205,0)+(T$3="couple")*(T$39+T$33*IF(T$39&gt;=AAH_salmin_revact,T$207,0))</f>
        <v>1398.7</v>
      </c>
      <c r="U225" s="85">
        <f>U$38+U$32*IF(U$38&gt;=AAH_salmin_revact,U$205,0)+(U$3="couple")*(U$39+U$33*IF(U$39&gt;=AAH_salmin_revact,U$207,0))</f>
        <v>2098.0500000000002</v>
      </c>
    </row>
    <row r="226" spans="1:21" s="4" customFormat="1" x14ac:dyDescent="0.25">
      <c r="A226" s="275" t="s">
        <v>216</v>
      </c>
      <c r="B226" s="5"/>
      <c r="C226" s="85">
        <f>C$221+C223+C224+pa_taux_rev_act*C225</f>
        <v>933.94499999999994</v>
      </c>
      <c r="D226" s="85">
        <f>D$221+D223+D224+pa_taux_rev_act*D225</f>
        <v>1360.5484999999999</v>
      </c>
      <c r="E226" s="85">
        <f>E$221+E223+E224+pa_taux_rev_act*E225</f>
        <v>1968.3420000000001</v>
      </c>
      <c r="F226" s="85">
        <f>F$221+F223+F224+pa_taux_rev_act*F225</f>
        <v>2394.9454999999998</v>
      </c>
      <c r="H226" s="85">
        <f>H$221+H223+H224+pa_taux_rev_act*H225</f>
        <v>1120.7339999999999</v>
      </c>
      <c r="I226" s="85">
        <f>I$221+I223+I224+pa_taux_rev_act*I225</f>
        <v>1547.3374999999999</v>
      </c>
      <c r="J226" s="85">
        <f>J$221+J223+J224+pa_taux_rev_act*J225</f>
        <v>2155.1309999999999</v>
      </c>
      <c r="K226" s="85">
        <f>K$221+K223+K224+pa_taux_rev_act*K225</f>
        <v>2581.7345</v>
      </c>
      <c r="M226" s="85">
        <f>M$221+M223+M224+pa_taux_rev_act*M225</f>
        <v>1307.5229999999999</v>
      </c>
      <c r="N226" s="85">
        <f>N$221+N223+N224+pa_taux_rev_act*N225</f>
        <v>1734.1264999999999</v>
      </c>
      <c r="O226" s="85">
        <f>O$221+O223+O224+pa_taux_rev_act*O225</f>
        <v>2341.92</v>
      </c>
      <c r="P226" s="85">
        <f>P$221+P223+P224+pa_taux_rev_act*P225</f>
        <v>2768.5235000000002</v>
      </c>
      <c r="R226" s="85">
        <f>R$221+R223+R224+pa_taux_rev_act*R225</f>
        <v>1556.5749999999998</v>
      </c>
      <c r="S226" s="85">
        <f>S$221+S223+S224+pa_taux_rev_act*S225</f>
        <v>1983.1784999999998</v>
      </c>
      <c r="T226" s="85">
        <f>T$221+T223+T224+pa_taux_rev_act*T225</f>
        <v>2590.9719999999998</v>
      </c>
      <c r="U226" s="85">
        <f>U$221+U223+U224+pa_taux_rev_act*U225</f>
        <v>3017.5754999999999</v>
      </c>
    </row>
    <row r="227" spans="1:21" s="4" customFormat="1" x14ac:dyDescent="0.25">
      <c r="A227" s="275" t="s">
        <v>209</v>
      </c>
      <c r="B227" s="5"/>
      <c r="C227" s="85">
        <f>(C$127+C$137+C$64)/(1-crds)+(C$62&gt;0)*MAX(0,(ASF_à_déduire_du_RSA/(1-crds))*C$97-C$52)</f>
        <v>0</v>
      </c>
      <c r="D227" s="85">
        <f>(D$127+D$137+D$64)/(1-crds)+(D$62&gt;0)*MAX(0,(ASF_à_déduire_du_RSA/(1-crds))*D$97-D$52)</f>
        <v>0</v>
      </c>
      <c r="E227" s="85">
        <f>(E$127+E$137+E$64)/(1-crds)+(E$62&gt;0)*MAX(0,(ASF_à_déduire_du_RSA/(1-crds))*E$97-E$52)</f>
        <v>0</v>
      </c>
      <c r="F227" s="85">
        <f>(F$127+F$137+F$64)/(1-crds)+(F$62&gt;0)*MAX(0,(ASF_à_déduire_du_RSA/(1-crds))*F$97-F$52)</f>
        <v>0</v>
      </c>
      <c r="H227" s="85">
        <f>(H$127+H$137+H$64)/(1-crds)+(H$62&gt;0)*MAX(0,(ASF_à_déduire_du_RSA/(1-crds))*H$97-H$52)</f>
        <v>0</v>
      </c>
      <c r="I227" s="85">
        <f>(I$127+I$137+I$64)/(1-crds)+(I$62&gt;0)*MAX(0,(ASF_à_déduire_du_RSA/(1-crds))*I$97-I$52)</f>
        <v>0</v>
      </c>
      <c r="J227" s="85">
        <f>(J$127+J$137+J$64)/(1-crds)+(J$62&gt;0)*MAX(0,(ASF_à_déduire_du_RSA/(1-crds))*J$97-J$52)</f>
        <v>0</v>
      </c>
      <c r="K227" s="85">
        <f>(K$127+K$137+K$64)/(1-crds)+(K$62&gt;0)*MAX(0,(ASF_à_déduire_du_RSA/(1-crds))*K$97-K$52)</f>
        <v>0</v>
      </c>
      <c r="M227" s="85">
        <f>(M$127+M$137+M$64)/(1-crds)+(M$62&gt;0)*MAX(0,(ASF_à_déduire_du_RSA/(1-crds))*M$97-M$52)</f>
        <v>149.26079999999999</v>
      </c>
      <c r="N227" s="85">
        <f>(N$127+N$137+N$64)/(1-crds)+(N$62&gt;0)*MAX(0,(ASF_à_déduire_du_RSA/(1-crds))*N$97-N$52)</f>
        <v>149.26079999999999</v>
      </c>
      <c r="O227" s="85">
        <f>(O$127+O$137+O$64)/(1-crds)+(O$62&gt;0)*MAX(0,(ASF_à_déduire_du_RSA/(1-crds))*O$97-O$52)</f>
        <v>149.26079999999999</v>
      </c>
      <c r="P227" s="85">
        <f>(P$127+P$137+P$64)/(1-crds)+(P$62&gt;0)*MAX(0,(ASF_à_déduire_du_RSA/(1-crds))*P$97-P$52)</f>
        <v>149.26079999999999</v>
      </c>
      <c r="R227" s="85">
        <f>(R$127+R$137+R$64)/(1-crds)+(R$62&gt;0)*MAX(0,(ASF_à_déduire_du_RSA/(1-crds))*R$97-R$52)</f>
        <v>534.77345999999989</v>
      </c>
      <c r="S227" s="85">
        <f>(S$127+S$137+S$64)/(1-crds)+(S$62&gt;0)*MAX(0,(ASF_à_déduire_du_RSA/(1-crds))*S$97-S$52)</f>
        <v>534.77345999999989</v>
      </c>
      <c r="T227" s="85">
        <f>(T$127+T$137+T$64)/(1-crds)+(T$62&gt;0)*MAX(0,(ASF_à_déduire_du_RSA/(1-crds))*T$97-T$52)</f>
        <v>534.77345999999989</v>
      </c>
      <c r="U227" s="85">
        <f>(U$127+U$137+U$64)/(1-crds)+(U$62&gt;0)*MAX(0,(ASF_à_déduire_du_RSA/(1-crds))*U$97-U$52)</f>
        <v>534.77345999999989</v>
      </c>
    </row>
    <row r="228" spans="1:21" x14ac:dyDescent="0.25">
      <c r="A228" s="275" t="s">
        <v>331</v>
      </c>
      <c r="B228" s="5"/>
      <c r="C228" s="85">
        <f>C$218+C$227+C$38+C$39+C$52+C$57+C$74</f>
        <v>800.99459999999999</v>
      </c>
      <c r="D228" s="85">
        <f t="shared" ref="D228:F228" si="95">D$218+D$227+D$38+D$39+D$52+D$57+D$74</f>
        <v>800.99459999999999</v>
      </c>
      <c r="E228" s="85">
        <f t="shared" si="95"/>
        <v>1398.7</v>
      </c>
      <c r="F228" s="85">
        <f t="shared" si="95"/>
        <v>2098.0500000000002</v>
      </c>
      <c r="H228" s="85">
        <f>H$218+H$227+H$38+H$39+H$52+H$57+H$74</f>
        <v>955.47212999999999</v>
      </c>
      <c r="I228" s="85">
        <f t="shared" ref="I228:K228" si="96">I$218+I$227+I$38+I$39+I$52+I$57+I$74</f>
        <v>955.47212999999999</v>
      </c>
      <c r="J228" s="85">
        <f t="shared" si="96"/>
        <v>1398.7</v>
      </c>
      <c r="K228" s="85">
        <f t="shared" si="96"/>
        <v>2098.0500000000002</v>
      </c>
      <c r="M228" s="85">
        <f>M$218+M$227+M$38+M$39+M$52+M$57+M$74</f>
        <v>1146.1851300000001</v>
      </c>
      <c r="N228" s="85">
        <f t="shared" ref="N228:P228" si="97">N$218+N$227+N$38+N$39+N$52+N$57+N$74</f>
        <v>1146.1851300000001</v>
      </c>
      <c r="O228" s="85">
        <f t="shared" si="97"/>
        <v>1547.9608000000001</v>
      </c>
      <c r="P228" s="85">
        <f t="shared" si="97"/>
        <v>2247.3108000000002</v>
      </c>
      <c r="R228" s="85">
        <f>R$218+R$227+R$38+R$39+R$52+R$57+R$74</f>
        <v>1400.4691300000002</v>
      </c>
      <c r="S228" s="85">
        <f t="shared" ref="S228:U228" si="98">S$218+S$227+S$38+S$39+S$52+S$57+S$74</f>
        <v>1400.4691300000004</v>
      </c>
      <c r="T228" s="85">
        <f t="shared" si="98"/>
        <v>1933.4734599999999</v>
      </c>
      <c r="U228" s="85">
        <f t="shared" si="98"/>
        <v>2632.8234600000001</v>
      </c>
    </row>
    <row r="229" spans="1:21" ht="13" thickBot="1" x14ac:dyDescent="0.3">
      <c r="A229" s="288" t="s">
        <v>143</v>
      </c>
      <c r="B229" s="125"/>
      <c r="C229" s="126">
        <f>(C$225&gt;0)*MAX(0,C$226-C$222-C$228)</f>
        <v>0</v>
      </c>
      <c r="D229" s="126">
        <f t="shared" ref="D229:F229" si="99">(D$225&gt;0)*MAX(0,D$226-D$222-D$228)</f>
        <v>410.1226999999999</v>
      </c>
      <c r="E229" s="126">
        <f t="shared" si="99"/>
        <v>481.06576777947021</v>
      </c>
      <c r="F229" s="126">
        <f t="shared" si="99"/>
        <v>296.89549999999963</v>
      </c>
      <c r="H229" s="126">
        <f>(H$225&gt;0)*MAX(0,H$226-H$222-H$228)</f>
        <v>0</v>
      </c>
      <c r="I229" s="126">
        <f t="shared" ref="I229:K229" si="100">(I$225&gt;0)*MAX(0,I$226-I$222-I$228)</f>
        <v>406.94425999999987</v>
      </c>
      <c r="J229" s="126">
        <f t="shared" si="100"/>
        <v>571.50988999999981</v>
      </c>
      <c r="K229" s="126">
        <f t="shared" si="100"/>
        <v>483.68449999999984</v>
      </c>
      <c r="M229" s="126">
        <f>(M$225&gt;0)*MAX(0,M$226-M$222-M$228)</f>
        <v>0</v>
      </c>
      <c r="N229" s="126">
        <f t="shared" ref="N229:P229" si="101">(N$225&gt;0)*MAX(0,N$226-N$222-N$228)</f>
        <v>403.02025999999978</v>
      </c>
      <c r="O229" s="126">
        <f t="shared" si="101"/>
        <v>609.03808999999978</v>
      </c>
      <c r="P229" s="126">
        <f t="shared" si="101"/>
        <v>414.68613945638663</v>
      </c>
      <c r="R229" s="126">
        <f>(R$225&gt;0)*MAX(0,R$226-R$222-R$228)</f>
        <v>0</v>
      </c>
      <c r="S229" s="126">
        <f t="shared" ref="S229:U229" si="102">(S$225&gt;0)*MAX(0,S$226-S$222-S$228)</f>
        <v>397.78825999999935</v>
      </c>
      <c r="T229" s="126">
        <f t="shared" si="102"/>
        <v>472.57742999999959</v>
      </c>
      <c r="U229" s="126">
        <f t="shared" si="102"/>
        <v>199.83092999999963</v>
      </c>
    </row>
    <row r="230" spans="1:21" x14ac:dyDescent="0.25">
      <c r="C230" s="201"/>
      <c r="D230" s="201"/>
      <c r="E230" s="201"/>
      <c r="F230" s="201"/>
      <c r="H230" s="201"/>
      <c r="I230" s="201"/>
      <c r="J230" s="201"/>
      <c r="K230" s="201"/>
      <c r="M230" s="201"/>
      <c r="N230" s="201"/>
      <c r="O230" s="201"/>
      <c r="P230" s="201"/>
      <c r="R230" s="201"/>
      <c r="S230" s="201"/>
      <c r="T230" s="201"/>
      <c r="U230" s="201"/>
    </row>
    <row r="231" spans="1:21" ht="13.5" hidden="1" thickBot="1" x14ac:dyDescent="0.35">
      <c r="A231" s="295" t="s">
        <v>420</v>
      </c>
    </row>
    <row r="232" spans="1:21" ht="13" hidden="1" thickBot="1" x14ac:dyDescent="0.3">
      <c r="A232" s="424" t="s">
        <v>483</v>
      </c>
      <c r="B232" s="425"/>
      <c r="C232" s="426">
        <f>(C$13&lt;&gt;"png")*C$96</f>
        <v>0</v>
      </c>
      <c r="D232" s="426">
        <f t="shared" ref="D232:F232" si="103">(D$13&lt;&gt;"png")*D$96</f>
        <v>0</v>
      </c>
      <c r="E232" s="426">
        <f t="shared" si="103"/>
        <v>0</v>
      </c>
      <c r="F232" s="426">
        <f t="shared" si="103"/>
        <v>0</v>
      </c>
      <c r="H232" s="426">
        <f>(H$13&lt;&gt;"png")*H$96</f>
        <v>1</v>
      </c>
      <c r="I232" s="426">
        <f t="shared" ref="I232:K232" si="104">(I$13&lt;&gt;"png")*I$96</f>
        <v>1</v>
      </c>
      <c r="J232" s="426">
        <f t="shared" si="104"/>
        <v>1</v>
      </c>
      <c r="K232" s="426">
        <f t="shared" si="104"/>
        <v>1</v>
      </c>
      <c r="M232" s="426">
        <f>(M$13&lt;&gt;"png")*M$96</f>
        <v>2</v>
      </c>
      <c r="N232" s="426">
        <f t="shared" ref="N232:P232" si="105">(N$13&lt;&gt;"png")*N$96</f>
        <v>2</v>
      </c>
      <c r="O232" s="426">
        <f t="shared" si="105"/>
        <v>2</v>
      </c>
      <c r="P232" s="426">
        <f t="shared" si="105"/>
        <v>2</v>
      </c>
      <c r="R232" s="426">
        <f>(R$13&lt;&gt;"png")*R$96</f>
        <v>3</v>
      </c>
      <c r="S232" s="426">
        <f t="shared" ref="S232:U232" si="106">(S$13&lt;&gt;"png")*S$96</f>
        <v>3</v>
      </c>
      <c r="T232" s="426">
        <f t="shared" si="106"/>
        <v>3</v>
      </c>
      <c r="U232" s="426">
        <f t="shared" si="106"/>
        <v>3</v>
      </c>
    </row>
    <row r="233" spans="1:21" hidden="1" x14ac:dyDescent="0.25">
      <c r="A233" s="274" t="s">
        <v>10</v>
      </c>
      <c r="B233" s="294"/>
      <c r="C233" s="436">
        <f>IF(C$3="isolé",1,2)+(C$232&gt;0)*(IF(C$3="isolé",0.5,0)*IF(AND(OR(C$13="ga_m",C$13="ga_p"),C$232=1),0.5,1)+(0.5*MIN(2,C$232)+1*MAX(0,C$232-2))*IF(OR(C$13="ga_m",C$13="ga_p"),0.5,1))</f>
        <v>2</v>
      </c>
      <c r="D233" s="436">
        <f t="shared" ref="D233:F233" si="107">IF(D$3="isolé",1,2)+(D$232&gt;0)*(IF(D$3="isolé",0.5,0)*IF(AND(OR(D$13="ga_m",D$13="ga_p"),D$232=1),0.5,1)+(0.5*MIN(2,D$232)+1*MAX(0,D$232-2))*IF(OR(D$13="ga_m",D$13="ga_p"),0.5,1))</f>
        <v>2</v>
      </c>
      <c r="E233" s="436">
        <f t="shared" si="107"/>
        <v>2</v>
      </c>
      <c r="F233" s="436">
        <f t="shared" si="107"/>
        <v>2</v>
      </c>
      <c r="H233" s="436">
        <f>IF(H$3="isolé",1,2)+(H$232&gt;0)*(IF(H$3="isolé",0.5,0)*IF(AND(OR(H$13="ga_m",H$13="ga_p"),H$232=1),0.5,1)+(0.5*MIN(2,H$232)+1*MAX(0,H$232-2))*IF(OR(H$13="ga_m",H$13="ga_p"),0.5,1))</f>
        <v>2.5</v>
      </c>
      <c r="I233" s="436">
        <f t="shared" ref="I233:K233" si="108">IF(I$3="isolé",1,2)+(I$232&gt;0)*(IF(I$3="isolé",0.5,0)*IF(AND(OR(I$13="ga_m",I$13="ga_p"),I$232=1),0.5,1)+(0.5*MIN(2,I$232)+1*MAX(0,I$232-2))*IF(OR(I$13="ga_m",I$13="ga_p"),0.5,1))</f>
        <v>2.5</v>
      </c>
      <c r="J233" s="436">
        <f t="shared" si="108"/>
        <v>2.5</v>
      </c>
      <c r="K233" s="436">
        <f t="shared" si="108"/>
        <v>2.5</v>
      </c>
      <c r="M233" s="436">
        <f>IF(M$3="isolé",1,2)+(M$232&gt;0)*(IF(M$3="isolé",0.5,0)*IF(AND(OR(M$13="ga_m",M$13="ga_p"),M$232=1),0.5,1)+(0.5*MIN(2,M$232)+1*MAX(0,M$232-2))*IF(OR(M$13="ga_m",M$13="ga_p"),0.5,1))</f>
        <v>3</v>
      </c>
      <c r="N233" s="436">
        <f t="shared" ref="N233:P233" si="109">IF(N$3="isolé",1,2)+(N$232&gt;0)*(IF(N$3="isolé",0.5,0)*IF(AND(OR(N$13="ga_m",N$13="ga_p"),N$232=1),0.5,1)+(0.5*MIN(2,N$232)+1*MAX(0,N$232-2))*IF(OR(N$13="ga_m",N$13="ga_p"),0.5,1))</f>
        <v>3</v>
      </c>
      <c r="O233" s="436">
        <f t="shared" si="109"/>
        <v>3</v>
      </c>
      <c r="P233" s="436">
        <f t="shared" si="109"/>
        <v>3</v>
      </c>
      <c r="R233" s="436">
        <f>IF(R$3="isolé",1,2)+(R$232&gt;0)*(IF(R$3="isolé",0.5,0)*IF(AND(OR(R$13="ga_m",R$13="ga_p"),R$232=1),0.5,1)+(0.5*MIN(2,R$232)+1*MAX(0,R$232-2))*IF(OR(R$13="ga_m",R$13="ga_p"),0.5,1))</f>
        <v>4</v>
      </c>
      <c r="S233" s="436">
        <f t="shared" ref="S233:U233" si="110">IF(S$3="isolé",1,2)+(S$232&gt;0)*(IF(S$3="isolé",0.5,0)*IF(AND(OR(S$13="ga_m",S$13="ga_p"),S$232=1),0.5,1)+(0.5*MIN(2,S$232)+1*MAX(0,S$232-2))*IF(OR(S$13="ga_m",S$13="ga_p"),0.5,1))</f>
        <v>4</v>
      </c>
      <c r="T233" s="436">
        <f t="shared" si="110"/>
        <v>4</v>
      </c>
      <c r="U233" s="436">
        <f t="shared" si="110"/>
        <v>4</v>
      </c>
    </row>
    <row r="234" spans="1:21" hidden="1" x14ac:dyDescent="0.25">
      <c r="A234" s="274" t="s">
        <v>58</v>
      </c>
      <c r="B234" s="255"/>
      <c r="C234" s="262">
        <f t="shared" ref="C234:U234" si="111">IF(C$3="isolé",1,2)</f>
        <v>2</v>
      </c>
      <c r="D234" s="262">
        <f t="shared" si="111"/>
        <v>2</v>
      </c>
      <c r="E234" s="262">
        <f t="shared" si="111"/>
        <v>2</v>
      </c>
      <c r="F234" s="262">
        <f t="shared" si="111"/>
        <v>2</v>
      </c>
      <c r="H234" s="262">
        <f t="shared" si="111"/>
        <v>2</v>
      </c>
      <c r="I234" s="262">
        <f t="shared" si="111"/>
        <v>2</v>
      </c>
      <c r="J234" s="262">
        <f t="shared" si="111"/>
        <v>2</v>
      </c>
      <c r="K234" s="262">
        <f t="shared" si="111"/>
        <v>2</v>
      </c>
      <c r="M234" s="262">
        <f t="shared" si="111"/>
        <v>2</v>
      </c>
      <c r="N234" s="262">
        <f t="shared" si="111"/>
        <v>2</v>
      </c>
      <c r="O234" s="262">
        <f t="shared" si="111"/>
        <v>2</v>
      </c>
      <c r="P234" s="262">
        <f t="shared" si="111"/>
        <v>2</v>
      </c>
      <c r="R234" s="262">
        <f t="shared" si="111"/>
        <v>2</v>
      </c>
      <c r="S234" s="262">
        <f t="shared" si="111"/>
        <v>2</v>
      </c>
      <c r="T234" s="262">
        <f t="shared" si="111"/>
        <v>2</v>
      </c>
      <c r="U234" s="262">
        <f t="shared" si="111"/>
        <v>2</v>
      </c>
    </row>
    <row r="235" spans="1:21" hidden="1" x14ac:dyDescent="0.25">
      <c r="A235" s="275" t="s">
        <v>430</v>
      </c>
      <c r="B235" s="260"/>
      <c r="C235" s="265">
        <f>MAX(0,(Coef_impot/evol_smic)*C$58-MAX(irpp_min_reduc_fp,MIN(irpp_max_reduc_fp,irpp_taux_reduc_fp*(Coef_impot/evol_smic)*C$58)))
+(MAX(0,12*C$52-MAX(irpp_min_reduc_pens,MIN(irpp_max_reduc_pens,irpp_taux_reduc_pens*12*C$52)))
 -12*C$53)*(C$13&lt;&gt;"ga_m")*(C$13&lt;&gt;"ga_p")</f>
        <v>0</v>
      </c>
      <c r="D235" s="265">
        <f>MAX(0,(Coef_impot/evol_smic)*D$58-MAX(irpp_min_reduc_fp,MIN(irpp_max_reduc_fp,irpp_taux_reduc_fp*(Coef_impot/evol_smic)*D$58)))
+(MAX(0,12*D$52-MAX(irpp_min_reduc_pens,MIN(irpp_max_reduc_pens,irpp_taux_reduc_pens*12*D$52)))
 -12*D$53)*(D$13&lt;&gt;"ga_m")*(D$13&lt;&gt;"ga_p")</f>
        <v>7575.6173818363923</v>
      </c>
      <c r="E235" s="265">
        <f>MAX(0,(Coef_impot/evol_smic)*E$58-MAX(irpp_min_reduc_fp,MIN(irpp_max_reduc_fp,irpp_taux_reduc_fp*(Coef_impot/evol_smic)*E$58)))
+(MAX(0,12*E$52-MAX(irpp_min_reduc_pens,MIN(irpp_max_reduc_pens,irpp_taux_reduc_pens*12*E$52)))
 -12*E$53)*(E$13&lt;&gt;"ga_m")*(E$13&lt;&gt;"ga_p")</f>
        <v>15151.234763672785</v>
      </c>
      <c r="F235" s="265">
        <f>MAX(0,(Coef_impot/evol_smic)*F$58-MAX(irpp_min_reduc_fp,MIN(irpp_max_reduc_fp,irpp_taux_reduc_fp*(Coef_impot/evol_smic)*F$58)))
+(MAX(0,12*F$52-MAX(irpp_min_reduc_pens,MIN(irpp_max_reduc_pens,irpp_taux_reduc_pens*12*F$52)))
 -12*F$53)*(F$13&lt;&gt;"ga_m")*(F$13&lt;&gt;"ga_p")</f>
        <v>22726.852145509176</v>
      </c>
      <c r="H235" s="265">
        <f>MAX(0,(Coef_impot/evol_smic)*H$58-MAX(irpp_min_reduc_fp,MIN(irpp_max_reduc_fp,irpp_taux_reduc_fp*(Coef_impot/evol_smic)*H$58)))
+(MAX(0,12*H$52-MAX(irpp_min_reduc_pens,MIN(irpp_max_reduc_pens,irpp_taux_reduc_pens*12*H$52)))
 -12*H$53)*(H$13&lt;&gt;"ga_m")*(H$13&lt;&gt;"ga_p")</f>
        <v>0</v>
      </c>
      <c r="I235" s="265">
        <f>MAX(0,(Coef_impot/evol_smic)*I$58-MAX(irpp_min_reduc_fp,MIN(irpp_max_reduc_fp,irpp_taux_reduc_fp*(Coef_impot/evol_smic)*I$58)))
+(MAX(0,12*I$52-MAX(irpp_min_reduc_pens,MIN(irpp_max_reduc_pens,irpp_taux_reduc_pens*12*I$52)))
 -12*I$53)*(I$13&lt;&gt;"ga_m")*(I$13&lt;&gt;"ga_p")</f>
        <v>7575.6173818363923</v>
      </c>
      <c r="J235" s="265">
        <f>MAX(0,(Coef_impot/evol_smic)*J$58-MAX(irpp_min_reduc_fp,MIN(irpp_max_reduc_fp,irpp_taux_reduc_fp*(Coef_impot/evol_smic)*J$58)))
+(MAX(0,12*J$52-MAX(irpp_min_reduc_pens,MIN(irpp_max_reduc_pens,irpp_taux_reduc_pens*12*J$52)))
 -12*J$53)*(J$13&lt;&gt;"ga_m")*(J$13&lt;&gt;"ga_p")</f>
        <v>15151.234763672785</v>
      </c>
      <c r="K235" s="265">
        <f>MAX(0,(Coef_impot/evol_smic)*K$58-MAX(irpp_min_reduc_fp,MIN(irpp_max_reduc_fp,irpp_taux_reduc_fp*(Coef_impot/evol_smic)*K$58)))
+(MAX(0,12*K$52-MAX(irpp_min_reduc_pens,MIN(irpp_max_reduc_pens,irpp_taux_reduc_pens*12*K$52)))
 -12*K$53)*(K$13&lt;&gt;"ga_m")*(K$13&lt;&gt;"ga_p")</f>
        <v>22726.852145509176</v>
      </c>
      <c r="M235" s="265">
        <f>MAX(0,(Coef_impot/evol_smic)*M$58-MAX(irpp_min_reduc_fp,MIN(irpp_max_reduc_fp,irpp_taux_reduc_fp*(Coef_impot/evol_smic)*M$58)))
+(MAX(0,12*M$52-MAX(irpp_min_reduc_pens,MIN(irpp_max_reduc_pens,irpp_taux_reduc_pens*12*M$52)))
 -12*M$53)*(M$13&lt;&gt;"ga_m")*(M$13&lt;&gt;"ga_p")</f>
        <v>0</v>
      </c>
      <c r="N235" s="265">
        <f>MAX(0,(Coef_impot/evol_smic)*N$58-MAX(irpp_min_reduc_fp,MIN(irpp_max_reduc_fp,irpp_taux_reduc_fp*(Coef_impot/evol_smic)*N$58)))
+(MAX(0,12*N$52-MAX(irpp_min_reduc_pens,MIN(irpp_max_reduc_pens,irpp_taux_reduc_pens*12*N$52)))
 -12*N$53)*(N$13&lt;&gt;"ga_m")*(N$13&lt;&gt;"ga_p")</f>
        <v>7575.6173818363923</v>
      </c>
      <c r="O235" s="265">
        <f>MAX(0,(Coef_impot/evol_smic)*O$58-MAX(irpp_min_reduc_fp,MIN(irpp_max_reduc_fp,irpp_taux_reduc_fp*(Coef_impot/evol_smic)*O$58)))
+(MAX(0,12*O$52-MAX(irpp_min_reduc_pens,MIN(irpp_max_reduc_pens,irpp_taux_reduc_pens*12*O$52)))
 -12*O$53)*(O$13&lt;&gt;"ga_m")*(O$13&lt;&gt;"ga_p")</f>
        <v>15151.234763672785</v>
      </c>
      <c r="P235" s="265">
        <f>MAX(0,(Coef_impot/evol_smic)*P$58-MAX(irpp_min_reduc_fp,MIN(irpp_max_reduc_fp,irpp_taux_reduc_fp*(Coef_impot/evol_smic)*P$58)))
+(MAX(0,12*P$52-MAX(irpp_min_reduc_pens,MIN(irpp_max_reduc_pens,irpp_taux_reduc_pens*12*P$52)))
 -12*P$53)*(P$13&lt;&gt;"ga_m")*(P$13&lt;&gt;"ga_p")</f>
        <v>22726.852145509176</v>
      </c>
      <c r="R235" s="265">
        <f>MAX(0,(Coef_impot/evol_smic)*R$58-MAX(irpp_min_reduc_fp,MIN(irpp_max_reduc_fp,irpp_taux_reduc_fp*(Coef_impot/evol_smic)*R$58)))
+(MAX(0,12*R$52-MAX(irpp_min_reduc_pens,MIN(irpp_max_reduc_pens,irpp_taux_reduc_pens*12*R$52)))
 -12*R$53)*(R$13&lt;&gt;"ga_m")*(R$13&lt;&gt;"ga_p")</f>
        <v>0</v>
      </c>
      <c r="S235" s="265">
        <f>MAX(0,(Coef_impot/evol_smic)*S$58-MAX(irpp_min_reduc_fp,MIN(irpp_max_reduc_fp,irpp_taux_reduc_fp*(Coef_impot/evol_smic)*S$58)))
+(MAX(0,12*S$52-MAX(irpp_min_reduc_pens,MIN(irpp_max_reduc_pens,irpp_taux_reduc_pens*12*S$52)))
 -12*S$53)*(S$13&lt;&gt;"ga_m")*(S$13&lt;&gt;"ga_p")</f>
        <v>7575.6173818363923</v>
      </c>
      <c r="T235" s="265">
        <f>MAX(0,(Coef_impot/evol_smic)*T$58-MAX(irpp_min_reduc_fp,MIN(irpp_max_reduc_fp,irpp_taux_reduc_fp*(Coef_impot/evol_smic)*T$58)))
+(MAX(0,12*T$52-MAX(irpp_min_reduc_pens,MIN(irpp_max_reduc_pens,irpp_taux_reduc_pens*12*T$52)))
 -12*T$53)*(T$13&lt;&gt;"ga_m")*(T$13&lt;&gt;"ga_p")</f>
        <v>15151.234763672785</v>
      </c>
      <c r="U235" s="265">
        <f>MAX(0,(Coef_impot/evol_smic)*U$58-MAX(irpp_min_reduc_fp,MIN(irpp_max_reduc_fp,irpp_taux_reduc_fp*(Coef_impot/evol_smic)*U$58)))
+(MAX(0,12*U$52-MAX(irpp_min_reduc_pens,MIN(irpp_max_reduc_pens,irpp_taux_reduc_pens*12*U$52)))
 -12*U$53)*(U$13&lt;&gt;"ga_m")*(U$13&lt;&gt;"ga_p")</f>
        <v>22726.852145509176</v>
      </c>
    </row>
    <row r="236" spans="1:21" hidden="1" x14ac:dyDescent="0.25">
      <c r="A236" s="116" t="s">
        <v>93</v>
      </c>
      <c r="B236" s="260"/>
      <c r="C236" s="265">
        <f>C$235/C$233</f>
        <v>0</v>
      </c>
      <c r="D236" s="265">
        <f t="shared" ref="D236:F236" si="112">D$235/D$233</f>
        <v>3787.8086909181961</v>
      </c>
      <c r="E236" s="265">
        <f t="shared" si="112"/>
        <v>7575.6173818363923</v>
      </c>
      <c r="F236" s="265">
        <f t="shared" si="112"/>
        <v>11363.426072754588</v>
      </c>
      <c r="H236" s="265">
        <f>H$235/H$233</f>
        <v>0</v>
      </c>
      <c r="I236" s="265">
        <f t="shared" ref="I236:K236" si="113">I$235/I$233</f>
        <v>3030.246952734557</v>
      </c>
      <c r="J236" s="265">
        <f t="shared" si="113"/>
        <v>6060.493905469114</v>
      </c>
      <c r="K236" s="265">
        <f t="shared" si="113"/>
        <v>9090.7408582036696</v>
      </c>
      <c r="M236" s="265">
        <f>M$235/M$233</f>
        <v>0</v>
      </c>
      <c r="N236" s="265">
        <f t="shared" ref="N236:P236" si="114">N$235/N$233</f>
        <v>2525.2057939454639</v>
      </c>
      <c r="O236" s="265">
        <f t="shared" si="114"/>
        <v>5050.4115878909279</v>
      </c>
      <c r="P236" s="265">
        <f t="shared" si="114"/>
        <v>7575.6173818363923</v>
      </c>
      <c r="R236" s="265">
        <f>R$235/R$233</f>
        <v>0</v>
      </c>
      <c r="S236" s="265">
        <f t="shared" ref="S236:U236" si="115">S$235/S$233</f>
        <v>1893.9043454590981</v>
      </c>
      <c r="T236" s="265">
        <f t="shared" si="115"/>
        <v>3787.8086909181961</v>
      </c>
      <c r="U236" s="265">
        <f t="shared" si="115"/>
        <v>5681.713036377294</v>
      </c>
    </row>
    <row r="237" spans="1:21" hidden="1" x14ac:dyDescent="0.25">
      <c r="A237" s="116" t="s">
        <v>94</v>
      </c>
      <c r="B237" s="260"/>
      <c r="C237" s="265">
        <f>C$235/C$234</f>
        <v>0</v>
      </c>
      <c r="D237" s="265">
        <f t="shared" ref="D237:F237" si="116">D$235/D$234</f>
        <v>3787.8086909181961</v>
      </c>
      <c r="E237" s="265">
        <f t="shared" si="116"/>
        <v>7575.6173818363923</v>
      </c>
      <c r="F237" s="265">
        <f t="shared" si="116"/>
        <v>11363.426072754588</v>
      </c>
      <c r="H237" s="265">
        <f>H$235/H$234</f>
        <v>0</v>
      </c>
      <c r="I237" s="265">
        <f t="shared" ref="I237:K237" si="117">I$235/I$234</f>
        <v>3787.8086909181961</v>
      </c>
      <c r="J237" s="265">
        <f t="shared" si="117"/>
        <v>7575.6173818363923</v>
      </c>
      <c r="K237" s="265">
        <f t="shared" si="117"/>
        <v>11363.426072754588</v>
      </c>
      <c r="M237" s="265">
        <f>M$235/M$234</f>
        <v>0</v>
      </c>
      <c r="N237" s="265">
        <f t="shared" ref="N237:P237" si="118">N$235/N$234</f>
        <v>3787.8086909181961</v>
      </c>
      <c r="O237" s="265">
        <f t="shared" si="118"/>
        <v>7575.6173818363923</v>
      </c>
      <c r="P237" s="265">
        <f t="shared" si="118"/>
        <v>11363.426072754588</v>
      </c>
      <c r="R237" s="265">
        <f>R$235/R$234</f>
        <v>0</v>
      </c>
      <c r="S237" s="265">
        <f t="shared" ref="S237:U237" si="119">S$235/S$234</f>
        <v>3787.8086909181961</v>
      </c>
      <c r="T237" s="265">
        <f t="shared" si="119"/>
        <v>7575.6173818363923</v>
      </c>
      <c r="U237" s="265">
        <f t="shared" si="119"/>
        <v>11363.426072754588</v>
      </c>
    </row>
    <row r="238" spans="1:21" ht="13" hidden="1" x14ac:dyDescent="0.3">
      <c r="A238" s="276" t="s">
        <v>4</v>
      </c>
      <c r="B238" s="255"/>
      <c r="C238" s="262"/>
      <c r="D238" s="262"/>
      <c r="E238" s="262"/>
      <c r="F238" s="262"/>
      <c r="H238" s="262"/>
      <c r="I238" s="262"/>
      <c r="J238" s="262"/>
      <c r="K238" s="262"/>
      <c r="M238" s="262"/>
      <c r="N238" s="262"/>
      <c r="O238" s="262"/>
      <c r="P238" s="262"/>
      <c r="R238" s="262"/>
      <c r="S238" s="262"/>
      <c r="T238" s="262"/>
      <c r="U238" s="262"/>
    </row>
    <row r="239" spans="1:21" hidden="1" x14ac:dyDescent="0.25">
      <c r="A239" s="274" t="s">
        <v>5</v>
      </c>
      <c r="B239" s="255"/>
      <c r="C239" s="262">
        <f>(C$236&gt;=irpp_seuil1)*(C$236&lt;irpp_seuil2)*(irpp_taux1*C$235-irpp_reduc1*C$233)+(C$236&gt;=irpp_seuil2)*(C$236&lt;irpp_seuil3)*(irpp_taux2*C$235-irpp_reduc2*C$233)+(C$236&gt;=irpp_seuil3)*(C$236&lt;irpp_seuil4)*(irpp_taux3*C$235-irpp_reduc3*C$233)+(C$236&gt;=irpp_seuil4)*(irpp_taux4*C$235-irpp_reduc4*C$233)</f>
        <v>0</v>
      </c>
      <c r="D239" s="262">
        <f>(D$236&gt;=irpp_seuil1)*(D$236&lt;irpp_seuil2)*(irpp_taux1*D$235-irpp_reduc1*D$233)+(D$236&gt;=irpp_seuil2)*(D$236&lt;irpp_seuil3)*(irpp_taux2*D$235-irpp_reduc2*D$233)+(D$236&gt;=irpp_seuil3)*(D$236&lt;irpp_seuil4)*(irpp_taux3*D$235-irpp_reduc3*D$233)+(D$236&gt;=irpp_seuil4)*(irpp_taux4*D$235-irpp_reduc4*D$233)</f>
        <v>0</v>
      </c>
      <c r="E239" s="262">
        <f>(E$236&gt;=irpp_seuil1)*(E$236&lt;irpp_seuil2)*(irpp_taux1*E$235-irpp_reduc1*E$233)+(E$236&gt;=irpp_seuil2)*(E$236&lt;irpp_seuil3)*(irpp_taux2*E$235-irpp_reduc2*E$233)+(E$236&gt;=irpp_seuil3)*(E$236&lt;irpp_seuil4)*(irpp_taux3*E$235-irpp_reduc3*E$233)+(E$236&gt;=irpp_seuil4)*(irpp_taux4*E$235-irpp_reduc4*E$233)</f>
        <v>0</v>
      </c>
      <c r="F239" s="262">
        <f>(F$236&gt;=irpp_seuil1)*(F$236&lt;irpp_seuil2)*(irpp_taux1*F$235-irpp_reduc1*F$233)+(F$236&gt;=irpp_seuil2)*(F$236&lt;irpp_seuil3)*(irpp_taux2*F$235-irpp_reduc2*F$233)+(F$236&gt;=irpp_seuil3)*(F$236&lt;irpp_seuil4)*(irpp_taux3*F$235-irpp_reduc3*F$233)+(F$236&gt;=irpp_seuil4)*(irpp_taux4*F$235-irpp_reduc4*F$233)</f>
        <v>15.273736006009585</v>
      </c>
      <c r="H239" s="262">
        <f>(H$236&gt;=irpp_seuil1)*(H$236&lt;irpp_seuil2)*(irpp_taux1*H$235-irpp_reduc1*H$233)+(H$236&gt;=irpp_seuil2)*(H$236&lt;irpp_seuil3)*(irpp_taux2*H$235-irpp_reduc2*H$233)+(H$236&gt;=irpp_seuil3)*(H$236&lt;irpp_seuil4)*(irpp_taux3*H$235-irpp_reduc3*H$233)+(H$236&gt;=irpp_seuil4)*(irpp_taux4*H$235-irpp_reduc4*H$233)</f>
        <v>0</v>
      </c>
      <c r="I239" s="262">
        <f>(I$236&gt;=irpp_seuil1)*(I$236&lt;irpp_seuil2)*(irpp_taux1*I$235-irpp_reduc1*I$233)+(I$236&gt;=irpp_seuil2)*(I$236&lt;irpp_seuil3)*(irpp_taux2*I$235-irpp_reduc2*I$233)+(I$236&gt;=irpp_seuil3)*(I$236&lt;irpp_seuil4)*(irpp_taux3*I$235-irpp_reduc3*I$233)+(I$236&gt;=irpp_seuil4)*(irpp_taux4*I$235-irpp_reduc4*I$233)</f>
        <v>0</v>
      </c>
      <c r="J239" s="262">
        <f>(J$236&gt;=irpp_seuil1)*(J$236&lt;irpp_seuil2)*(irpp_taux1*J$235-irpp_reduc1*J$233)+(J$236&gt;=irpp_seuil2)*(J$236&lt;irpp_seuil3)*(irpp_taux2*J$235-irpp_reduc2*J$233)+(J$236&gt;=irpp_seuil3)*(J$236&lt;irpp_seuil4)*(irpp_taux3*J$235-irpp_reduc3*J$233)+(J$236&gt;=irpp_seuil4)*(irpp_taux4*J$235-irpp_reduc4*J$233)</f>
        <v>0</v>
      </c>
      <c r="K239" s="262">
        <f>(K$236&gt;=irpp_seuil1)*(K$236&lt;irpp_seuil2)*(irpp_taux1*K$235-irpp_reduc1*K$233)+(K$236&gt;=irpp_seuil2)*(K$236&lt;irpp_seuil3)*(irpp_taux2*K$235-irpp_reduc2*K$233)+(K$236&gt;=irpp_seuil3)*(K$236&lt;irpp_seuil4)*(irpp_taux3*K$235-irpp_reduc3*K$233)+(K$236&gt;=irpp_seuil4)*(irpp_taux4*K$235-irpp_reduc4*K$233)</f>
        <v>0</v>
      </c>
      <c r="M239" s="262">
        <f>(M$236&gt;=irpp_seuil1)*(M$236&lt;irpp_seuil2)*(irpp_taux1*M$235-irpp_reduc1*M$233)+(M$236&gt;=irpp_seuil2)*(M$236&lt;irpp_seuil3)*(irpp_taux2*M$235-irpp_reduc2*M$233)+(M$236&gt;=irpp_seuil3)*(M$236&lt;irpp_seuil4)*(irpp_taux3*M$235-irpp_reduc3*M$233)+(M$236&gt;=irpp_seuil4)*(irpp_taux4*M$235-irpp_reduc4*M$233)</f>
        <v>0</v>
      </c>
      <c r="N239" s="262">
        <f>(N$236&gt;=irpp_seuil1)*(N$236&lt;irpp_seuil2)*(irpp_taux1*N$235-irpp_reduc1*N$233)+(N$236&gt;=irpp_seuil2)*(N$236&lt;irpp_seuil3)*(irpp_taux2*N$235-irpp_reduc2*N$233)+(N$236&gt;=irpp_seuil3)*(N$236&lt;irpp_seuil4)*(irpp_taux3*N$235-irpp_reduc3*N$233)+(N$236&gt;=irpp_seuil4)*(irpp_taux4*N$235-irpp_reduc4*N$233)</f>
        <v>0</v>
      </c>
      <c r="O239" s="262">
        <f>(O$236&gt;=irpp_seuil1)*(O$236&lt;irpp_seuil2)*(irpp_taux1*O$235-irpp_reduc1*O$233)+(O$236&gt;=irpp_seuil2)*(O$236&lt;irpp_seuil3)*(irpp_taux2*O$235-irpp_reduc2*O$233)+(O$236&gt;=irpp_seuil3)*(O$236&lt;irpp_seuil4)*(irpp_taux3*O$235-irpp_reduc3*O$233)+(O$236&gt;=irpp_seuil4)*(irpp_taux4*O$235-irpp_reduc4*O$233)</f>
        <v>0</v>
      </c>
      <c r="P239" s="262">
        <f>(P$236&gt;=irpp_seuil1)*(P$236&lt;irpp_seuil2)*(irpp_taux1*P$235-irpp_reduc1*P$233)+(P$236&gt;=irpp_seuil2)*(P$236&lt;irpp_seuil3)*(irpp_taux2*P$235-irpp_reduc2*P$233)+(P$236&gt;=irpp_seuil3)*(P$236&lt;irpp_seuil4)*(irpp_taux3*P$235-irpp_reduc3*P$233)+(P$236&gt;=irpp_seuil4)*(irpp_taux4*P$235-irpp_reduc4*P$233)</f>
        <v>0</v>
      </c>
      <c r="R239" s="262">
        <f>(R$236&gt;=irpp_seuil1)*(R$236&lt;irpp_seuil2)*(irpp_taux1*R$235-irpp_reduc1*R$233)+(R$236&gt;=irpp_seuil2)*(R$236&lt;irpp_seuil3)*(irpp_taux2*R$235-irpp_reduc2*R$233)+(R$236&gt;=irpp_seuil3)*(R$236&lt;irpp_seuil4)*(irpp_taux3*R$235-irpp_reduc3*R$233)+(R$236&gt;=irpp_seuil4)*(irpp_taux4*R$235-irpp_reduc4*R$233)</f>
        <v>0</v>
      </c>
      <c r="S239" s="262">
        <f>(S$236&gt;=irpp_seuil1)*(S$236&lt;irpp_seuil2)*(irpp_taux1*S$235-irpp_reduc1*S$233)+(S$236&gt;=irpp_seuil2)*(S$236&lt;irpp_seuil3)*(irpp_taux2*S$235-irpp_reduc2*S$233)+(S$236&gt;=irpp_seuil3)*(S$236&lt;irpp_seuil4)*(irpp_taux3*S$235-irpp_reduc3*S$233)+(S$236&gt;=irpp_seuil4)*(irpp_taux4*S$235-irpp_reduc4*S$233)</f>
        <v>0</v>
      </c>
      <c r="T239" s="262">
        <f>(T$236&gt;=irpp_seuil1)*(T$236&lt;irpp_seuil2)*(irpp_taux1*T$235-irpp_reduc1*T$233)+(T$236&gt;=irpp_seuil2)*(T$236&lt;irpp_seuil3)*(irpp_taux2*T$235-irpp_reduc2*T$233)+(T$236&gt;=irpp_seuil3)*(T$236&lt;irpp_seuil4)*(irpp_taux3*T$235-irpp_reduc3*T$233)+(T$236&gt;=irpp_seuil4)*(irpp_taux4*T$235-irpp_reduc4*T$233)</f>
        <v>0</v>
      </c>
      <c r="U239" s="262">
        <f>(U$236&gt;=irpp_seuil1)*(U$236&lt;irpp_seuil2)*(irpp_taux1*U$235-irpp_reduc1*U$233)+(U$236&gt;=irpp_seuil2)*(U$236&lt;irpp_seuil3)*(irpp_taux2*U$235-irpp_reduc2*U$233)+(U$236&gt;=irpp_seuil3)*(U$236&lt;irpp_seuil4)*(irpp_taux3*U$235-irpp_reduc3*U$233)+(U$236&gt;=irpp_seuil4)*(irpp_taux4*U$235-irpp_reduc4*U$233)</f>
        <v>0</v>
      </c>
    </row>
    <row r="240" spans="1:21" hidden="1" x14ac:dyDescent="0.25">
      <c r="A240" s="274" t="s">
        <v>6</v>
      </c>
      <c r="B240" s="255"/>
      <c r="C240" s="262">
        <f>(C$237&gt;=irpp_seuil1)*(C$237&lt;irpp_seuil2)*(irpp_taux1*C$235-irpp_reduc1*C$234)+(C$237&gt;=irpp_seuil2)*(C$237&lt;irpp_seuil3)*(irpp_taux2*C$235-irpp_reduc2*C$234)+(C$237&gt;=irpp_seuil3)*(C$237&lt;irpp_seuil4)*(irpp_taux3*C$235-irpp_reduc3*C$234)+(C$237&gt;=irpp_seuil4)*(irpp_taux4*C$235-irpp_reduc4*C$234)</f>
        <v>0</v>
      </c>
      <c r="D240" s="262">
        <f>(D$237&gt;=irpp_seuil1)*(D$237&lt;irpp_seuil2)*(irpp_taux1*D$235-irpp_reduc1*D$234)+(D$237&gt;=irpp_seuil2)*(D$237&lt;irpp_seuil3)*(irpp_taux2*D$235-irpp_reduc2*D$234)+(D$237&gt;=irpp_seuil3)*(D$237&lt;irpp_seuil4)*(irpp_taux3*D$235-irpp_reduc3*D$234)+(D$237&gt;=irpp_seuil4)*(irpp_taux4*D$235-irpp_reduc4*D$234)</f>
        <v>0</v>
      </c>
      <c r="E240" s="262">
        <f>(E$237&gt;=irpp_seuil1)*(E$237&lt;irpp_seuil2)*(irpp_taux1*E$235-irpp_reduc1*E$234)+(E$237&gt;=irpp_seuil2)*(E$237&lt;irpp_seuil3)*(irpp_taux2*E$235-irpp_reduc2*E$234)+(E$237&gt;=irpp_seuil3)*(E$237&lt;irpp_seuil4)*(irpp_taux3*E$235-irpp_reduc3*E$234)+(E$237&gt;=irpp_seuil4)*(irpp_taux4*E$235-irpp_reduc4*E$234)</f>
        <v>0</v>
      </c>
      <c r="F240" s="262">
        <f>(F$237&gt;=irpp_seuil1)*(F$237&lt;irpp_seuil2)*(irpp_taux1*F$235-irpp_reduc1*F$234)+(F$237&gt;=irpp_seuil2)*(F$237&lt;irpp_seuil3)*(irpp_taux2*F$235-irpp_reduc2*F$234)+(F$237&gt;=irpp_seuil3)*(F$237&lt;irpp_seuil4)*(irpp_taux3*F$235-irpp_reduc3*F$234)+(F$237&gt;=irpp_seuil4)*(irpp_taux4*F$235-irpp_reduc4*F$234)</f>
        <v>15.273736006009585</v>
      </c>
      <c r="H240" s="262">
        <f>(H$237&gt;=irpp_seuil1)*(H$237&lt;irpp_seuil2)*(irpp_taux1*H$235-irpp_reduc1*H$234)+(H$237&gt;=irpp_seuil2)*(H$237&lt;irpp_seuil3)*(irpp_taux2*H$235-irpp_reduc2*H$234)+(H$237&gt;=irpp_seuil3)*(H$237&lt;irpp_seuil4)*(irpp_taux3*H$235-irpp_reduc3*H$234)+(H$237&gt;=irpp_seuil4)*(irpp_taux4*H$235-irpp_reduc4*H$234)</f>
        <v>0</v>
      </c>
      <c r="I240" s="262">
        <f>(I$237&gt;=irpp_seuil1)*(I$237&lt;irpp_seuil2)*(irpp_taux1*I$235-irpp_reduc1*I$234)+(I$237&gt;=irpp_seuil2)*(I$237&lt;irpp_seuil3)*(irpp_taux2*I$235-irpp_reduc2*I$234)+(I$237&gt;=irpp_seuil3)*(I$237&lt;irpp_seuil4)*(irpp_taux3*I$235-irpp_reduc3*I$234)+(I$237&gt;=irpp_seuil4)*(irpp_taux4*I$235-irpp_reduc4*I$234)</f>
        <v>0</v>
      </c>
      <c r="J240" s="262">
        <f>(J$237&gt;=irpp_seuil1)*(J$237&lt;irpp_seuil2)*(irpp_taux1*J$235-irpp_reduc1*J$234)+(J$237&gt;=irpp_seuil2)*(J$237&lt;irpp_seuil3)*(irpp_taux2*J$235-irpp_reduc2*J$234)+(J$237&gt;=irpp_seuil3)*(J$237&lt;irpp_seuil4)*(irpp_taux3*J$235-irpp_reduc3*J$234)+(J$237&gt;=irpp_seuil4)*(irpp_taux4*J$235-irpp_reduc4*J$234)</f>
        <v>0</v>
      </c>
      <c r="K240" s="262">
        <f>(K$237&gt;=irpp_seuil1)*(K$237&lt;irpp_seuil2)*(irpp_taux1*K$235-irpp_reduc1*K$234)+(K$237&gt;=irpp_seuil2)*(K$237&lt;irpp_seuil3)*(irpp_taux2*K$235-irpp_reduc2*K$234)+(K$237&gt;=irpp_seuil3)*(K$237&lt;irpp_seuil4)*(irpp_taux3*K$235-irpp_reduc3*K$234)+(K$237&gt;=irpp_seuil4)*(irpp_taux4*K$235-irpp_reduc4*K$234)</f>
        <v>15.273736006009585</v>
      </c>
      <c r="M240" s="262">
        <f>(M$237&gt;=irpp_seuil1)*(M$237&lt;irpp_seuil2)*(irpp_taux1*M$235-irpp_reduc1*M$234)+(M$237&gt;=irpp_seuil2)*(M$237&lt;irpp_seuil3)*(irpp_taux2*M$235-irpp_reduc2*M$234)+(M$237&gt;=irpp_seuil3)*(M$237&lt;irpp_seuil4)*(irpp_taux3*M$235-irpp_reduc3*M$234)+(M$237&gt;=irpp_seuil4)*(irpp_taux4*M$235-irpp_reduc4*M$234)</f>
        <v>0</v>
      </c>
      <c r="N240" s="262">
        <f>(N$237&gt;=irpp_seuil1)*(N$237&lt;irpp_seuil2)*(irpp_taux1*N$235-irpp_reduc1*N$234)+(N$237&gt;=irpp_seuil2)*(N$237&lt;irpp_seuil3)*(irpp_taux2*N$235-irpp_reduc2*N$234)+(N$237&gt;=irpp_seuil3)*(N$237&lt;irpp_seuil4)*(irpp_taux3*N$235-irpp_reduc3*N$234)+(N$237&gt;=irpp_seuil4)*(irpp_taux4*N$235-irpp_reduc4*N$234)</f>
        <v>0</v>
      </c>
      <c r="O240" s="262">
        <f>(O$237&gt;=irpp_seuil1)*(O$237&lt;irpp_seuil2)*(irpp_taux1*O$235-irpp_reduc1*O$234)+(O$237&gt;=irpp_seuil2)*(O$237&lt;irpp_seuil3)*(irpp_taux2*O$235-irpp_reduc2*O$234)+(O$237&gt;=irpp_seuil3)*(O$237&lt;irpp_seuil4)*(irpp_taux3*O$235-irpp_reduc3*O$234)+(O$237&gt;=irpp_seuil4)*(irpp_taux4*O$235-irpp_reduc4*O$234)</f>
        <v>0</v>
      </c>
      <c r="P240" s="262">
        <f>(P$237&gt;=irpp_seuil1)*(P$237&lt;irpp_seuil2)*(irpp_taux1*P$235-irpp_reduc1*P$234)+(P$237&gt;=irpp_seuil2)*(P$237&lt;irpp_seuil3)*(irpp_taux2*P$235-irpp_reduc2*P$234)+(P$237&gt;=irpp_seuil3)*(P$237&lt;irpp_seuil4)*(irpp_taux3*P$235-irpp_reduc3*P$234)+(P$237&gt;=irpp_seuil4)*(irpp_taux4*P$235-irpp_reduc4*P$234)</f>
        <v>15.273736006009585</v>
      </c>
      <c r="R240" s="262">
        <f>(R$237&gt;=irpp_seuil1)*(R$237&lt;irpp_seuil2)*(irpp_taux1*R$235-irpp_reduc1*R$234)+(R$237&gt;=irpp_seuil2)*(R$237&lt;irpp_seuil3)*(irpp_taux2*R$235-irpp_reduc2*R$234)+(R$237&gt;=irpp_seuil3)*(R$237&lt;irpp_seuil4)*(irpp_taux3*R$235-irpp_reduc3*R$234)+(R$237&gt;=irpp_seuil4)*(irpp_taux4*R$235-irpp_reduc4*R$234)</f>
        <v>0</v>
      </c>
      <c r="S240" s="262">
        <f>(S$237&gt;=irpp_seuil1)*(S$237&lt;irpp_seuil2)*(irpp_taux1*S$235-irpp_reduc1*S$234)+(S$237&gt;=irpp_seuil2)*(S$237&lt;irpp_seuil3)*(irpp_taux2*S$235-irpp_reduc2*S$234)+(S$237&gt;=irpp_seuil3)*(S$237&lt;irpp_seuil4)*(irpp_taux3*S$235-irpp_reduc3*S$234)+(S$237&gt;=irpp_seuil4)*(irpp_taux4*S$235-irpp_reduc4*S$234)</f>
        <v>0</v>
      </c>
      <c r="T240" s="262">
        <f>(T$237&gt;=irpp_seuil1)*(T$237&lt;irpp_seuil2)*(irpp_taux1*T$235-irpp_reduc1*T$234)+(T$237&gt;=irpp_seuil2)*(T$237&lt;irpp_seuil3)*(irpp_taux2*T$235-irpp_reduc2*T$234)+(T$237&gt;=irpp_seuil3)*(T$237&lt;irpp_seuil4)*(irpp_taux3*T$235-irpp_reduc3*T$234)+(T$237&gt;=irpp_seuil4)*(irpp_taux4*T$235-irpp_reduc4*T$234)</f>
        <v>0</v>
      </c>
      <c r="U240" s="262">
        <f>(U$237&gt;=irpp_seuil1)*(U$237&lt;irpp_seuil2)*(irpp_taux1*U$235-irpp_reduc1*U$234)+(U$237&gt;=irpp_seuil2)*(U$237&lt;irpp_seuil3)*(irpp_taux2*U$235-irpp_reduc2*U$234)+(U$237&gt;=irpp_seuil3)*(U$237&lt;irpp_seuil4)*(irpp_taux3*U$235-irpp_reduc3*U$234)+(U$237&gt;=irpp_seuil4)*(irpp_taux4*U$235-irpp_reduc4*U$234)</f>
        <v>15.273736006009585</v>
      </c>
    </row>
    <row r="241" spans="1:21" hidden="1" x14ac:dyDescent="0.25">
      <c r="A241" s="433" t="s">
        <v>7</v>
      </c>
      <c r="B241" s="434"/>
      <c r="C241" s="435">
        <f>(C$3="isolé")*(C$232&gt;0)*(irpp_max_avqf_iso*IF(OR(C$13="ga_m",C$13="ga_p"),0.5,1)+irpp_max_avqf_couple*2*MAX(0,C$233-1-IF(OR(C$13="ga_m",C$13="ga_p"),0.5,1)))
+(C$3="couple")*(C$232&gt;0)*(irpp_max_avqf_couple*2*MAX(C$233-2))</f>
        <v>0</v>
      </c>
      <c r="D241" s="435">
        <f>(D$3="isolé")*(D$232&gt;0)*(irpp_max_avqf_iso*IF(OR(D$13="ga_m",D$13="ga_p"),0.5,1)+irpp_max_avqf_couple*2*MAX(0,D$233-1-IF(OR(D$13="ga_m",D$13="ga_p"),0.5,1)))
+(D$3="couple")*(D$232&gt;0)*(irpp_max_avqf_couple*2*MAX(D$233-2))</f>
        <v>0</v>
      </c>
      <c r="E241" s="435">
        <f>(E$3="isolé")*(E$232&gt;0)*(irpp_max_avqf_iso*IF(OR(E$13="ga_m",E$13="ga_p"),0.5,1)+irpp_max_avqf_couple*2*MAX(0,E$233-1-IF(OR(E$13="ga_m",E$13="ga_p"),0.5,1)))
+(E$3="couple")*(E$232&gt;0)*(irpp_max_avqf_couple*2*MAX(E$233-2))</f>
        <v>0</v>
      </c>
      <c r="F241" s="435">
        <f>(F$3="isolé")*(F$232&gt;0)*(irpp_max_avqf_iso*IF(OR(F$13="ga_m",F$13="ga_p"),0.5,1)+irpp_max_avqf_couple*2*MAX(0,F$233-1-IF(OR(F$13="ga_m",F$13="ga_p"),0.5,1)))
+(F$3="couple")*(F$232&gt;0)*(irpp_max_avqf_couple*2*MAX(F$233-2))</f>
        <v>0</v>
      </c>
      <c r="H241" s="435">
        <f>(H$3="isolé")*(H$232&gt;0)*(irpp_max_avqf_iso*IF(OR(H$13="ga_m",H$13="ga_p"),0.5,1)+irpp_max_avqf_couple*2*MAX(0,H$233-1-IF(OR(H$13="ga_m",H$13="ga_p"),0.5,1)))
+(H$3="couple")*(H$232&gt;0)*(irpp_max_avqf_couple*2*MAX(H$233-2))</f>
        <v>1759</v>
      </c>
      <c r="I241" s="435">
        <f>(I$3="isolé")*(I$232&gt;0)*(irpp_max_avqf_iso*IF(OR(I$13="ga_m",I$13="ga_p"),0.5,1)+irpp_max_avqf_couple*2*MAX(0,I$233-1-IF(OR(I$13="ga_m",I$13="ga_p"),0.5,1)))
+(I$3="couple")*(I$232&gt;0)*(irpp_max_avqf_couple*2*MAX(I$233-2))</f>
        <v>1759</v>
      </c>
      <c r="J241" s="435">
        <f>(J$3="isolé")*(J$232&gt;0)*(irpp_max_avqf_iso*IF(OR(J$13="ga_m",J$13="ga_p"),0.5,1)+irpp_max_avqf_couple*2*MAX(0,J$233-1-IF(OR(J$13="ga_m",J$13="ga_p"),0.5,1)))
+(J$3="couple")*(J$232&gt;0)*(irpp_max_avqf_couple*2*MAX(J$233-2))</f>
        <v>1759</v>
      </c>
      <c r="K241" s="435">
        <f>(K$3="isolé")*(K$232&gt;0)*(irpp_max_avqf_iso*IF(OR(K$13="ga_m",K$13="ga_p"),0.5,1)+irpp_max_avqf_couple*2*MAX(0,K$233-1-IF(OR(K$13="ga_m",K$13="ga_p"),0.5,1)))
+(K$3="couple")*(K$232&gt;0)*(irpp_max_avqf_couple*2*MAX(K$233-2))</f>
        <v>1759</v>
      </c>
      <c r="M241" s="435">
        <f>(M$3="isolé")*(M$232&gt;0)*(irpp_max_avqf_iso*IF(OR(M$13="ga_m",M$13="ga_p"),0.5,1)+irpp_max_avqf_couple*2*MAX(0,M$233-1-IF(OR(M$13="ga_m",M$13="ga_p"),0.5,1)))
+(M$3="couple")*(M$232&gt;0)*(irpp_max_avqf_couple*2*MAX(M$233-2))</f>
        <v>3518</v>
      </c>
      <c r="N241" s="435">
        <f>(N$3="isolé")*(N$232&gt;0)*(irpp_max_avqf_iso*IF(OR(N$13="ga_m",N$13="ga_p"),0.5,1)+irpp_max_avqf_couple*2*MAX(0,N$233-1-IF(OR(N$13="ga_m",N$13="ga_p"),0.5,1)))
+(N$3="couple")*(N$232&gt;0)*(irpp_max_avqf_couple*2*MAX(N$233-2))</f>
        <v>3518</v>
      </c>
      <c r="O241" s="435">
        <f>(O$3="isolé")*(O$232&gt;0)*(irpp_max_avqf_iso*IF(OR(O$13="ga_m",O$13="ga_p"),0.5,1)+irpp_max_avqf_couple*2*MAX(0,O$233-1-IF(OR(O$13="ga_m",O$13="ga_p"),0.5,1)))
+(O$3="couple")*(O$232&gt;0)*(irpp_max_avqf_couple*2*MAX(O$233-2))</f>
        <v>3518</v>
      </c>
      <c r="P241" s="435">
        <f>(P$3="isolé")*(P$232&gt;0)*(irpp_max_avqf_iso*IF(OR(P$13="ga_m",P$13="ga_p"),0.5,1)+irpp_max_avqf_couple*2*MAX(0,P$233-1-IF(OR(P$13="ga_m",P$13="ga_p"),0.5,1)))
+(P$3="couple")*(P$232&gt;0)*(irpp_max_avqf_couple*2*MAX(P$233-2))</f>
        <v>3518</v>
      </c>
      <c r="R241" s="435">
        <f>(R$3="isolé")*(R$232&gt;0)*(irpp_max_avqf_iso*IF(OR(R$13="ga_m",R$13="ga_p"),0.5,1)+irpp_max_avqf_couple*2*MAX(0,R$233-1-IF(OR(R$13="ga_m",R$13="ga_p"),0.5,1)))
+(R$3="couple")*(R$232&gt;0)*(irpp_max_avqf_couple*2*MAX(R$233-2))</f>
        <v>7036</v>
      </c>
      <c r="S241" s="435">
        <f>(S$3="isolé")*(S$232&gt;0)*(irpp_max_avqf_iso*IF(OR(S$13="ga_m",S$13="ga_p"),0.5,1)+irpp_max_avqf_couple*2*MAX(0,S$233-1-IF(OR(S$13="ga_m",S$13="ga_p"),0.5,1)))
+(S$3="couple")*(S$232&gt;0)*(irpp_max_avqf_couple*2*MAX(S$233-2))</f>
        <v>7036</v>
      </c>
      <c r="T241" s="435">
        <f>(T$3="isolé")*(T$232&gt;0)*(irpp_max_avqf_iso*IF(OR(T$13="ga_m",T$13="ga_p"),0.5,1)+irpp_max_avqf_couple*2*MAX(0,T$233-1-IF(OR(T$13="ga_m",T$13="ga_p"),0.5,1)))
+(T$3="couple")*(T$232&gt;0)*(irpp_max_avqf_couple*2*MAX(T$233-2))</f>
        <v>7036</v>
      </c>
      <c r="U241" s="435">
        <f>(U$3="isolé")*(U$232&gt;0)*(irpp_max_avqf_iso*IF(OR(U$13="ga_m",U$13="ga_p"),0.5,1)+irpp_max_avqf_couple*2*MAX(0,U$233-1-IF(OR(U$13="ga_m",U$13="ga_p"),0.5,1)))
+(U$3="couple")*(U$232&gt;0)*(irpp_max_avqf_couple*2*MAX(U$233-2))</f>
        <v>7036</v>
      </c>
    </row>
    <row r="242" spans="1:21" hidden="1" x14ac:dyDescent="0.25">
      <c r="A242" s="116" t="s">
        <v>105</v>
      </c>
      <c r="B242" s="255"/>
      <c r="C242" s="262">
        <f>MIN(C$240-C$239,C$241)</f>
        <v>0</v>
      </c>
      <c r="D242" s="262">
        <f t="shared" ref="D242:F242" si="120">MIN(D$240-D$239,D$241)</f>
        <v>0</v>
      </c>
      <c r="E242" s="262">
        <f t="shared" si="120"/>
        <v>0</v>
      </c>
      <c r="F242" s="262">
        <f t="shared" si="120"/>
        <v>0</v>
      </c>
      <c r="H242" s="262">
        <f>MIN(H$240-H$239,H$241)</f>
        <v>0</v>
      </c>
      <c r="I242" s="262">
        <f t="shared" ref="I242:K242" si="121">MIN(I$240-I$239,I$241)</f>
        <v>0</v>
      </c>
      <c r="J242" s="262">
        <f t="shared" si="121"/>
        <v>0</v>
      </c>
      <c r="K242" s="262">
        <f t="shared" si="121"/>
        <v>15.273736006009585</v>
      </c>
      <c r="M242" s="262">
        <f>MIN(M$240-M$239,M$241)</f>
        <v>0</v>
      </c>
      <c r="N242" s="262">
        <f t="shared" ref="N242:P242" si="122">MIN(N$240-N$239,N$241)</f>
        <v>0</v>
      </c>
      <c r="O242" s="262">
        <f t="shared" si="122"/>
        <v>0</v>
      </c>
      <c r="P242" s="262">
        <f t="shared" si="122"/>
        <v>15.273736006009585</v>
      </c>
      <c r="R242" s="262">
        <f>MIN(R$240-R$239,R$241)</f>
        <v>0</v>
      </c>
      <c r="S242" s="262">
        <f t="shared" ref="S242:U242" si="123">MIN(S$240-S$239,S$241)</f>
        <v>0</v>
      </c>
      <c r="T242" s="262">
        <f t="shared" si="123"/>
        <v>0</v>
      </c>
      <c r="U242" s="262">
        <f t="shared" si="123"/>
        <v>15.273736006009585</v>
      </c>
    </row>
    <row r="243" spans="1:21" hidden="1" x14ac:dyDescent="0.25">
      <c r="A243" s="274" t="s">
        <v>8</v>
      </c>
      <c r="B243" s="255"/>
      <c r="C243" s="262">
        <f>C$240-C$242</f>
        <v>0</v>
      </c>
      <c r="D243" s="262">
        <f t="shared" ref="D243:F243" si="124">D$240-D$242</f>
        <v>0</v>
      </c>
      <c r="E243" s="262">
        <f t="shared" si="124"/>
        <v>0</v>
      </c>
      <c r="F243" s="262">
        <f t="shared" si="124"/>
        <v>15.273736006009585</v>
      </c>
      <c r="H243" s="262">
        <f>H$240-H$242</f>
        <v>0</v>
      </c>
      <c r="I243" s="262">
        <f t="shared" ref="I243:K243" si="125">I$240-I$242</f>
        <v>0</v>
      </c>
      <c r="J243" s="262">
        <f t="shared" si="125"/>
        <v>0</v>
      </c>
      <c r="K243" s="262">
        <f t="shared" si="125"/>
        <v>0</v>
      </c>
      <c r="M243" s="262">
        <f>M$240-M$242</f>
        <v>0</v>
      </c>
      <c r="N243" s="262">
        <f t="shared" ref="N243:P243" si="126">N$240-N$242</f>
        <v>0</v>
      </c>
      <c r="O243" s="262">
        <f t="shared" si="126"/>
        <v>0</v>
      </c>
      <c r="P243" s="262">
        <f t="shared" si="126"/>
        <v>0</v>
      </c>
      <c r="R243" s="262">
        <f>R$240-R$242</f>
        <v>0</v>
      </c>
      <c r="S243" s="262">
        <f t="shared" ref="S243:U243" si="127">S$240-S$242</f>
        <v>0</v>
      </c>
      <c r="T243" s="262">
        <f t="shared" si="127"/>
        <v>0</v>
      </c>
      <c r="U243" s="262">
        <f t="shared" si="127"/>
        <v>0</v>
      </c>
    </row>
    <row r="244" spans="1:21" ht="13" hidden="1" x14ac:dyDescent="0.3">
      <c r="A244" s="276" t="s">
        <v>156</v>
      </c>
      <c r="B244" s="255"/>
      <c r="C244" s="262"/>
      <c r="D244" s="262"/>
      <c r="E244" s="262"/>
      <c r="F244" s="262"/>
      <c r="H244" s="262"/>
      <c r="I244" s="262"/>
      <c r="J244" s="262"/>
      <c r="K244" s="262"/>
      <c r="M244" s="262"/>
      <c r="N244" s="262"/>
      <c r="O244" s="262"/>
      <c r="P244" s="262"/>
      <c r="R244" s="262"/>
      <c r="S244" s="262"/>
      <c r="T244" s="262"/>
      <c r="U244" s="262"/>
    </row>
    <row r="245" spans="1:21" hidden="1" x14ac:dyDescent="0.25">
      <c r="A245" s="274" t="s">
        <v>9</v>
      </c>
      <c r="B245" s="255"/>
      <c r="C245" s="262">
        <f>(C$243&gt;0)*IF(C$3="isolé",(MIN(C$243,IF(C$243&lt;irpp_plaf_decote,irpp_taux_decote*(irpp_plaf_decote-C$243),0))),(MIN(C$243,IF(C$243&lt;irpp_plaf_decote_couple,irpp_taux_decote*(irpp_plaf_decote_couple-C$243)))))</f>
        <v>0</v>
      </c>
      <c r="D245" s="262">
        <f>(D$243&gt;0)*IF(D$3="isolé",(MIN(D$243,IF(D$243&lt;irpp_plaf_decote,irpp_taux_decote*(irpp_plaf_decote-D$243),0))),(MIN(D$243,IF(D$243&lt;irpp_plaf_decote_couple,irpp_taux_decote*(irpp_plaf_decote_couple-D$243)))))</f>
        <v>0</v>
      </c>
      <c r="E245" s="262">
        <f>(E$243&gt;0)*IF(E$3="isolé",(MIN(E$243,IF(E$243&lt;irpp_plaf_decote,irpp_taux_decote*(irpp_plaf_decote-E$243),0))),(MIN(E$243,IF(E$243&lt;irpp_plaf_decote_couple,irpp_taux_decote*(irpp_plaf_decote_couple-E$243)))))</f>
        <v>0</v>
      </c>
      <c r="F245" s="262">
        <f>(F$243&gt;0)*IF(F$3="isolé",(MIN(F$243,IF(F$243&lt;irpp_plaf_decote,irpp_taux_decote*(irpp_plaf_decote-F$243),0))),(MIN(F$243,IF(F$243&lt;irpp_plaf_decote_couple,irpp_taux_decote*(irpp_plaf_decote_couple-F$243)))))</f>
        <v>15.273736006009585</v>
      </c>
      <c r="H245" s="262">
        <f>(H$243&gt;0)*IF(H$3="isolé",(MIN(H$243,IF(H$243&lt;irpp_plaf_decote,irpp_taux_decote*(irpp_plaf_decote-H$243),0))),(MIN(H$243,IF(H$243&lt;irpp_plaf_decote_couple,irpp_taux_decote*(irpp_plaf_decote_couple-H$243)))))</f>
        <v>0</v>
      </c>
      <c r="I245" s="262">
        <f>(I$243&gt;0)*IF(I$3="isolé",(MIN(I$243,IF(I$243&lt;irpp_plaf_decote,irpp_taux_decote*(irpp_plaf_decote-I$243),0))),(MIN(I$243,IF(I$243&lt;irpp_plaf_decote_couple,irpp_taux_decote*(irpp_plaf_decote_couple-I$243)))))</f>
        <v>0</v>
      </c>
      <c r="J245" s="262">
        <f>(J$243&gt;0)*IF(J$3="isolé",(MIN(J$243,IF(J$243&lt;irpp_plaf_decote,irpp_taux_decote*(irpp_plaf_decote-J$243),0))),(MIN(J$243,IF(J$243&lt;irpp_plaf_decote_couple,irpp_taux_decote*(irpp_plaf_decote_couple-J$243)))))</f>
        <v>0</v>
      </c>
      <c r="K245" s="262">
        <f>(K$243&gt;0)*IF(K$3="isolé",(MIN(K$243,IF(K$243&lt;irpp_plaf_decote,irpp_taux_decote*(irpp_plaf_decote-K$243),0))),(MIN(K$243,IF(K$243&lt;irpp_plaf_decote_couple,irpp_taux_decote*(irpp_plaf_decote_couple-K$243)))))</f>
        <v>0</v>
      </c>
      <c r="M245" s="262">
        <f>(M$243&gt;0)*IF(M$3="isolé",(MIN(M$243,IF(M$243&lt;irpp_plaf_decote,irpp_taux_decote*(irpp_plaf_decote-M$243),0))),(MIN(M$243,IF(M$243&lt;irpp_plaf_decote_couple,irpp_taux_decote*(irpp_plaf_decote_couple-M$243)))))</f>
        <v>0</v>
      </c>
      <c r="N245" s="262">
        <f>(N$243&gt;0)*IF(N$3="isolé",(MIN(N$243,IF(N$243&lt;irpp_plaf_decote,irpp_taux_decote*(irpp_plaf_decote-N$243),0))),(MIN(N$243,IF(N$243&lt;irpp_plaf_decote_couple,irpp_taux_decote*(irpp_plaf_decote_couple-N$243)))))</f>
        <v>0</v>
      </c>
      <c r="O245" s="262">
        <f>(O$243&gt;0)*IF(O$3="isolé",(MIN(O$243,IF(O$243&lt;irpp_plaf_decote,irpp_taux_decote*(irpp_plaf_decote-O$243),0))),(MIN(O$243,IF(O$243&lt;irpp_plaf_decote_couple,irpp_taux_decote*(irpp_plaf_decote_couple-O$243)))))</f>
        <v>0</v>
      </c>
      <c r="P245" s="262">
        <f>(P$243&gt;0)*IF(P$3="isolé",(MIN(P$243,IF(P$243&lt;irpp_plaf_decote,irpp_taux_decote*(irpp_plaf_decote-P$243),0))),(MIN(P$243,IF(P$243&lt;irpp_plaf_decote_couple,irpp_taux_decote*(irpp_plaf_decote_couple-P$243)))))</f>
        <v>0</v>
      </c>
      <c r="R245" s="262">
        <f>(R$243&gt;0)*IF(R$3="isolé",(MIN(R$243,IF(R$243&lt;irpp_plaf_decote,irpp_taux_decote*(irpp_plaf_decote-R$243),0))),(MIN(R$243,IF(R$243&lt;irpp_plaf_decote_couple,irpp_taux_decote*(irpp_plaf_decote_couple-R$243)))))</f>
        <v>0</v>
      </c>
      <c r="S245" s="262">
        <f>(S$243&gt;0)*IF(S$3="isolé",(MIN(S$243,IF(S$243&lt;irpp_plaf_decote,irpp_taux_decote*(irpp_plaf_decote-S$243),0))),(MIN(S$243,IF(S$243&lt;irpp_plaf_decote_couple,irpp_taux_decote*(irpp_plaf_decote_couple-S$243)))))</f>
        <v>0</v>
      </c>
      <c r="T245" s="262">
        <f>(T$243&gt;0)*IF(T$3="isolé",(MIN(T$243,IF(T$243&lt;irpp_plaf_decote,irpp_taux_decote*(irpp_plaf_decote-T$243),0))),(MIN(T$243,IF(T$243&lt;irpp_plaf_decote_couple,irpp_taux_decote*(irpp_plaf_decote_couple-T$243)))))</f>
        <v>0</v>
      </c>
      <c r="U245" s="262">
        <f>(U$243&gt;0)*IF(U$3="isolé",(MIN(U$243,IF(U$243&lt;irpp_plaf_decote,irpp_taux_decote*(irpp_plaf_decote-U$243),0))),(MIN(U$243,IF(U$243&lt;irpp_plaf_decote_couple,irpp_taux_decote*(irpp_plaf_decote_couple-U$243)))))</f>
        <v>0</v>
      </c>
    </row>
    <row r="246" spans="1:21" hidden="1" x14ac:dyDescent="0.25">
      <c r="A246" s="275" t="s">
        <v>157</v>
      </c>
      <c r="B246" s="255"/>
      <c r="C246" s="262">
        <f>C$243-C$245</f>
        <v>0</v>
      </c>
      <c r="D246" s="262">
        <f t="shared" ref="D246:F246" si="128">D$243-D$245</f>
        <v>0</v>
      </c>
      <c r="E246" s="262">
        <f t="shared" si="128"/>
        <v>0</v>
      </c>
      <c r="F246" s="262">
        <f t="shared" si="128"/>
        <v>0</v>
      </c>
      <c r="H246" s="262">
        <f>H$243-H$245</f>
        <v>0</v>
      </c>
      <c r="I246" s="262">
        <f t="shared" ref="I246:K246" si="129">I$243-I$245</f>
        <v>0</v>
      </c>
      <c r="J246" s="262">
        <f t="shared" si="129"/>
        <v>0</v>
      </c>
      <c r="K246" s="262">
        <f t="shared" si="129"/>
        <v>0</v>
      </c>
      <c r="M246" s="262">
        <f>M$243-M$245</f>
        <v>0</v>
      </c>
      <c r="N246" s="262">
        <f t="shared" ref="N246:P246" si="130">N$243-N$245</f>
        <v>0</v>
      </c>
      <c r="O246" s="262">
        <f t="shared" si="130"/>
        <v>0</v>
      </c>
      <c r="P246" s="262">
        <f t="shared" si="130"/>
        <v>0</v>
      </c>
      <c r="R246" s="262">
        <f>R$243-R$245</f>
        <v>0</v>
      </c>
      <c r="S246" s="262">
        <f t="shared" ref="S246:U246" si="131">S$243-S$245</f>
        <v>0</v>
      </c>
      <c r="T246" s="262">
        <f t="shared" si="131"/>
        <v>0</v>
      </c>
      <c r="U246" s="262">
        <f t="shared" si="131"/>
        <v>0</v>
      </c>
    </row>
    <row r="247" spans="1:21" hidden="1" x14ac:dyDescent="0.25">
      <c r="A247" s="274" t="s">
        <v>106</v>
      </c>
      <c r="B247" s="255"/>
      <c r="C247" s="262">
        <f>C$246</f>
        <v>0</v>
      </c>
      <c r="D247" s="262">
        <f t="shared" ref="D247:F247" si="132">D$246</f>
        <v>0</v>
      </c>
      <c r="E247" s="262">
        <f t="shared" si="132"/>
        <v>0</v>
      </c>
      <c r="F247" s="262">
        <f t="shared" si="132"/>
        <v>0</v>
      </c>
      <c r="H247" s="262">
        <f>H$246</f>
        <v>0</v>
      </c>
      <c r="I247" s="262">
        <f t="shared" ref="I247:K247" si="133">I$246</f>
        <v>0</v>
      </c>
      <c r="J247" s="262">
        <f t="shared" si="133"/>
        <v>0</v>
      </c>
      <c r="K247" s="262">
        <f t="shared" si="133"/>
        <v>0</v>
      </c>
      <c r="M247" s="262">
        <f>M$246</f>
        <v>0</v>
      </c>
      <c r="N247" s="262">
        <f t="shared" ref="N247:P247" si="134">N$246</f>
        <v>0</v>
      </c>
      <c r="O247" s="262">
        <f t="shared" si="134"/>
        <v>0</v>
      </c>
      <c r="P247" s="262">
        <f t="shared" si="134"/>
        <v>0</v>
      </c>
      <c r="R247" s="262">
        <f>R$246</f>
        <v>0</v>
      </c>
      <c r="S247" s="262">
        <f t="shared" ref="S247:U247" si="135">S$246</f>
        <v>0</v>
      </c>
      <c r="T247" s="262">
        <f t="shared" si="135"/>
        <v>0</v>
      </c>
      <c r="U247" s="262">
        <f t="shared" si="135"/>
        <v>0</v>
      </c>
    </row>
    <row r="248" spans="1:21" hidden="1" x14ac:dyDescent="0.25">
      <c r="A248" s="274" t="s">
        <v>107</v>
      </c>
      <c r="B248" s="255"/>
      <c r="C248" s="436">
        <f>(C$103*irpp_reduc_coll+C$104*irpp_reduc_lyc+C$10*irpp_reduc_es)*IF(OR(C$13="ga_m",C$13="ga_p"),0.5,IF(C$13="png",0,1))</f>
        <v>0</v>
      </c>
      <c r="D248" s="436">
        <f>(D$103*irpp_reduc_coll+D$104*irpp_reduc_lyc+D$10*irpp_reduc_es)*IF(OR(D$13="ga_m",D$13="ga_p"),0.5,IF(D$13="png",0,1))</f>
        <v>0</v>
      </c>
      <c r="E248" s="436">
        <f>(E$103*irpp_reduc_coll+E$104*irpp_reduc_lyc+E$10*irpp_reduc_es)*IF(OR(E$13="ga_m",E$13="ga_p"),0.5,IF(E$13="png",0,1))</f>
        <v>0</v>
      </c>
      <c r="F248" s="436">
        <f>(F$103*irpp_reduc_coll+F$104*irpp_reduc_lyc+F$10*irpp_reduc_es)*IF(OR(F$13="ga_m",F$13="ga_p"),0.5,IF(F$13="png",0,1))</f>
        <v>0</v>
      </c>
      <c r="H248" s="436">
        <f>(H$103*irpp_reduc_coll+H$104*irpp_reduc_lyc+H$10*irpp_reduc_es)*IF(OR(H$13="ga_m",H$13="ga_p"),0.5,IF(H$13="png",0,1))</f>
        <v>0</v>
      </c>
      <c r="I248" s="436">
        <f>(I$103*irpp_reduc_coll+I$104*irpp_reduc_lyc+I$10*irpp_reduc_es)*IF(OR(I$13="ga_m",I$13="ga_p"),0.5,IF(I$13="png",0,1))</f>
        <v>0</v>
      </c>
      <c r="J248" s="436">
        <f>(J$103*irpp_reduc_coll+J$104*irpp_reduc_lyc+J$10*irpp_reduc_es)*IF(OR(J$13="ga_m",J$13="ga_p"),0.5,IF(J$13="png",0,1))</f>
        <v>0</v>
      </c>
      <c r="K248" s="436">
        <f>(K$103*irpp_reduc_coll+K$104*irpp_reduc_lyc+K$10*irpp_reduc_es)*IF(OR(K$13="ga_m",K$13="ga_p"),0.5,IF(K$13="png",0,1))</f>
        <v>0</v>
      </c>
      <c r="M248" s="436">
        <f>(M$103*irpp_reduc_coll+M$104*irpp_reduc_lyc+M$10*irpp_reduc_es)*IF(OR(M$13="ga_m",M$13="ga_p"),0.5,IF(M$13="png",0,1))</f>
        <v>0</v>
      </c>
      <c r="N248" s="436">
        <f>(N$103*irpp_reduc_coll+N$104*irpp_reduc_lyc+N$10*irpp_reduc_es)*IF(OR(N$13="ga_m",N$13="ga_p"),0.5,IF(N$13="png",0,1))</f>
        <v>0</v>
      </c>
      <c r="O248" s="436">
        <f>(O$103*irpp_reduc_coll+O$104*irpp_reduc_lyc+O$10*irpp_reduc_es)*IF(OR(O$13="ga_m",O$13="ga_p"),0.5,IF(O$13="png",0,1))</f>
        <v>0</v>
      </c>
      <c r="P248" s="436">
        <f>(P$103*irpp_reduc_coll+P$104*irpp_reduc_lyc+P$10*irpp_reduc_es)*IF(OR(P$13="ga_m",P$13="ga_p"),0.5,IF(P$13="png",0,1))</f>
        <v>0</v>
      </c>
      <c r="R248" s="436">
        <f>(R$103*irpp_reduc_coll+R$104*irpp_reduc_lyc+R$10*irpp_reduc_es)*IF(OR(R$13="ga_m",R$13="ga_p"),0.5,IF(R$13="png",0,1))</f>
        <v>0</v>
      </c>
      <c r="S248" s="436">
        <f>(S$103*irpp_reduc_coll+S$104*irpp_reduc_lyc+S$10*irpp_reduc_es)*IF(OR(S$13="ga_m",S$13="ga_p"),0.5,IF(S$13="png",0,1))</f>
        <v>0</v>
      </c>
      <c r="T248" s="436">
        <f>(T$103*irpp_reduc_coll+T$104*irpp_reduc_lyc+T$10*irpp_reduc_es)*IF(OR(T$13="ga_m",T$13="ga_p"),0.5,IF(T$13="png",0,1))</f>
        <v>0</v>
      </c>
      <c r="U248" s="436">
        <f>(U$103*irpp_reduc_coll+U$104*irpp_reduc_lyc+U$10*irpp_reduc_es)*IF(OR(U$13="ga_m",U$13="ga_p"),0.5,IF(U$13="png",0,1))</f>
        <v>0</v>
      </c>
    </row>
    <row r="249" spans="1:21" hidden="1" x14ac:dyDescent="0.25">
      <c r="A249" s="10" t="s">
        <v>292</v>
      </c>
      <c r="B249" s="255"/>
      <c r="C249" s="262">
        <f>(C$21+C$24&gt;0)*irpp_part_fg_assmat*MIN(irpp_max_fg_assmat*IF(OR(C$13="ga_m",C$13="ga_p"),0.5,IF(C$13="png",0,1)),12*MAX(0,(C$157+C$169)))</f>
        <v>0</v>
      </c>
      <c r="D249" s="262">
        <f>(D$21+D$24&gt;0)*irpp_part_fg_assmat*MIN(irpp_max_fg_assmat*IF(OR(D$13="ga_m",D$13="ga_p"),0.5,IF(D$13="png",0,1)),12*MAX(0,(D$157+D$169)))</f>
        <v>0</v>
      </c>
      <c r="E249" s="262">
        <f>(E$21+E$24&gt;0)*irpp_part_fg_assmat*MIN(irpp_max_fg_assmat*IF(OR(E$13="ga_m",E$13="ga_p"),0.5,IF(E$13="png",0,1)),12*MAX(0,(E$157+E$169)))</f>
        <v>0</v>
      </c>
      <c r="F249" s="262">
        <f>(F$21+F$24&gt;0)*irpp_part_fg_assmat*MIN(irpp_max_fg_assmat*IF(OR(F$13="ga_m",F$13="ga_p"),0.5,IF(F$13="png",0,1)),12*MAX(0,(F$157+F$169)))</f>
        <v>0</v>
      </c>
      <c r="H249" s="262">
        <f>(H$21+H$24&gt;0)*irpp_part_fg_assmat*MIN(irpp_max_fg_assmat*IF(OR(H$13="ga_m",H$13="ga_p"),0.5,IF(H$13="png",0,1)),12*MAX(0,(H$157+H$169)))</f>
        <v>0</v>
      </c>
      <c r="I249" s="262">
        <f>(I$21+I$24&gt;0)*irpp_part_fg_assmat*MIN(irpp_max_fg_assmat*IF(OR(I$13="ga_m",I$13="ga_p"),0.5,IF(I$13="png",0,1)),12*MAX(0,(I$157+I$169)))</f>
        <v>0</v>
      </c>
      <c r="J249" s="262">
        <f>(J$21+J$24&gt;0)*irpp_part_fg_assmat*MIN(irpp_max_fg_assmat*IF(OR(J$13="ga_m",J$13="ga_p"),0.5,IF(J$13="png",0,1)),12*MAX(0,(J$157+J$169)))</f>
        <v>0</v>
      </c>
      <c r="K249" s="262">
        <f>(K$21+K$24&gt;0)*irpp_part_fg_assmat*MIN(irpp_max_fg_assmat*IF(OR(K$13="ga_m",K$13="ga_p"),0.5,IF(K$13="png",0,1)),12*MAX(0,(K$157+K$169)))</f>
        <v>0</v>
      </c>
      <c r="M249" s="262">
        <f>(M$21+M$24&gt;0)*irpp_part_fg_assmat*MIN(irpp_max_fg_assmat*IF(OR(M$13="ga_m",M$13="ga_p"),0.5,IF(M$13="png",0,1)),12*MAX(0,(M$157+M$169)))</f>
        <v>0</v>
      </c>
      <c r="N249" s="262">
        <f>(N$21+N$24&gt;0)*irpp_part_fg_assmat*MIN(irpp_max_fg_assmat*IF(OR(N$13="ga_m",N$13="ga_p"),0.5,IF(N$13="png",0,1)),12*MAX(0,(N$157+N$169)))</f>
        <v>0</v>
      </c>
      <c r="O249" s="262">
        <f>(O$21+O$24&gt;0)*irpp_part_fg_assmat*MIN(irpp_max_fg_assmat*IF(OR(O$13="ga_m",O$13="ga_p"),0.5,IF(O$13="png",0,1)),12*MAX(0,(O$157+O$169)))</f>
        <v>0</v>
      </c>
      <c r="P249" s="262">
        <f>(P$21+P$24&gt;0)*irpp_part_fg_assmat*MIN(irpp_max_fg_assmat*IF(OR(P$13="ga_m",P$13="ga_p"),0.5,IF(P$13="png",0,1)),12*MAX(0,(P$157+P$169)))</f>
        <v>0</v>
      </c>
      <c r="R249" s="262">
        <f>(R$21+R$24&gt;0)*irpp_part_fg_assmat*MIN(irpp_max_fg_assmat*IF(OR(R$13="ga_m",R$13="ga_p"),0.5,IF(R$13="png",0,1)),12*MAX(0,(R$157+R$169)))</f>
        <v>0</v>
      </c>
      <c r="S249" s="262">
        <f>(S$21+S$24&gt;0)*irpp_part_fg_assmat*MIN(irpp_max_fg_assmat*IF(OR(S$13="ga_m",S$13="ga_p"),0.5,IF(S$13="png",0,1)),12*MAX(0,(S$157+S$169)))</f>
        <v>0</v>
      </c>
      <c r="T249" s="262">
        <f>(T$21+T$24&gt;0)*irpp_part_fg_assmat*MIN(irpp_max_fg_assmat*IF(OR(T$13="ga_m",T$13="ga_p"),0.5,IF(T$13="png",0,1)),12*MAX(0,(T$157+T$169)))</f>
        <v>0</v>
      </c>
      <c r="U249" s="262">
        <f>(U$21+U$24&gt;0)*irpp_part_fg_assmat*MIN(irpp_max_fg_assmat*IF(OR(U$13="ga_m",U$13="ga_p"),0.5,IF(U$13="png",0,1)),12*MAX(0,(U$157+U$169)))</f>
        <v>0</v>
      </c>
    </row>
    <row r="250" spans="1:21" hidden="1" x14ac:dyDescent="0.25">
      <c r="A250" t="s">
        <v>293</v>
      </c>
      <c r="B250" s="255"/>
      <c r="C250" s="436">
        <f>(C$22+C$23&gt;0)*MIN(irpp_max_fg_gdom,irpp_seuil1_fg_gdom+irpp_supp_enf_seuil_fg_gdom*C$232)*IF(OR(C$13="ga_m",C$13="ga_p"),0.5,IF(C$13="png",0,1))</f>
        <v>0</v>
      </c>
      <c r="D250" s="436">
        <f>(D$22+D$23&gt;0)*MIN(irpp_max_fg_gdom,irpp_seuil1_fg_gdom+irpp_supp_enf_seuil_fg_gdom*D$232)*IF(OR(D$13="ga_m",D$13="ga_p"),0.5,IF(D$13="png",0,1))</f>
        <v>0</v>
      </c>
      <c r="E250" s="436">
        <f>(E$22+E$23&gt;0)*MIN(irpp_max_fg_gdom,irpp_seuil1_fg_gdom+irpp_supp_enf_seuil_fg_gdom*E$232)*IF(OR(E$13="ga_m",E$13="ga_p"),0.5,IF(E$13="png",0,1))</f>
        <v>0</v>
      </c>
      <c r="F250" s="436">
        <f>(F$22+F$23&gt;0)*MIN(irpp_max_fg_gdom,irpp_seuil1_fg_gdom+irpp_supp_enf_seuil_fg_gdom*F$232)*IF(OR(F$13="ga_m",F$13="ga_p"),0.5,IF(F$13="png",0,1))</f>
        <v>0</v>
      </c>
      <c r="H250" s="436">
        <f>(H$22+H$23&gt;0)*MIN(irpp_max_fg_gdom,irpp_seuil1_fg_gdom+irpp_supp_enf_seuil_fg_gdom*H$232)*IF(OR(H$13="ga_m",H$13="ga_p"),0.5,IF(H$13="png",0,1))</f>
        <v>0</v>
      </c>
      <c r="I250" s="436">
        <f>(I$22+I$23&gt;0)*MIN(irpp_max_fg_gdom,irpp_seuil1_fg_gdom+irpp_supp_enf_seuil_fg_gdom*I$232)*IF(OR(I$13="ga_m",I$13="ga_p"),0.5,IF(I$13="png",0,1))</f>
        <v>0</v>
      </c>
      <c r="J250" s="436">
        <f>(J$22+J$23&gt;0)*MIN(irpp_max_fg_gdom,irpp_seuil1_fg_gdom+irpp_supp_enf_seuil_fg_gdom*J$232)*IF(OR(J$13="ga_m",J$13="ga_p"),0.5,IF(J$13="png",0,1))</f>
        <v>0</v>
      </c>
      <c r="K250" s="436">
        <f>(K$22+K$23&gt;0)*MIN(irpp_max_fg_gdom,irpp_seuil1_fg_gdom+irpp_supp_enf_seuil_fg_gdom*K$232)*IF(OR(K$13="ga_m",K$13="ga_p"),0.5,IF(K$13="png",0,1))</f>
        <v>0</v>
      </c>
      <c r="M250" s="436">
        <f>(M$22+M$23&gt;0)*MIN(irpp_max_fg_gdom,irpp_seuil1_fg_gdom+irpp_supp_enf_seuil_fg_gdom*M$232)*IF(OR(M$13="ga_m",M$13="ga_p"),0.5,IF(M$13="png",0,1))</f>
        <v>0</v>
      </c>
      <c r="N250" s="436">
        <f>(N$22+N$23&gt;0)*MIN(irpp_max_fg_gdom,irpp_seuil1_fg_gdom+irpp_supp_enf_seuil_fg_gdom*N$232)*IF(OR(N$13="ga_m",N$13="ga_p"),0.5,IF(N$13="png",0,1))</f>
        <v>0</v>
      </c>
      <c r="O250" s="436">
        <f>(O$22+O$23&gt;0)*MIN(irpp_max_fg_gdom,irpp_seuil1_fg_gdom+irpp_supp_enf_seuil_fg_gdom*O$232)*IF(OR(O$13="ga_m",O$13="ga_p"),0.5,IF(O$13="png",0,1))</f>
        <v>0</v>
      </c>
      <c r="P250" s="436">
        <f>(P$22+P$23&gt;0)*MIN(irpp_max_fg_gdom,irpp_seuil1_fg_gdom+irpp_supp_enf_seuil_fg_gdom*P$232)*IF(OR(P$13="ga_m",P$13="ga_p"),0.5,IF(P$13="png",0,1))</f>
        <v>0</v>
      </c>
      <c r="R250" s="436">
        <f>(R$22+R$23&gt;0)*MIN(irpp_max_fg_gdom,irpp_seuil1_fg_gdom+irpp_supp_enf_seuil_fg_gdom*R$232)*IF(OR(R$13="ga_m",R$13="ga_p"),0.5,IF(R$13="png",0,1))</f>
        <v>0</v>
      </c>
      <c r="S250" s="436">
        <f>(S$22+S$23&gt;0)*MIN(irpp_max_fg_gdom,irpp_seuil1_fg_gdom+irpp_supp_enf_seuil_fg_gdom*S$232)*IF(OR(S$13="ga_m",S$13="ga_p"),0.5,IF(S$13="png",0,1))</f>
        <v>0</v>
      </c>
      <c r="T250" s="436">
        <f>(T$22+T$23&gt;0)*MIN(irpp_max_fg_gdom,irpp_seuil1_fg_gdom+irpp_supp_enf_seuil_fg_gdom*T$232)*IF(OR(T$13="ga_m",T$13="ga_p"),0.5,IF(T$13="png",0,1))</f>
        <v>0</v>
      </c>
      <c r="U250" s="436">
        <f>(U$22+U$23&gt;0)*MIN(irpp_max_fg_gdom,irpp_seuil1_fg_gdom+irpp_supp_enf_seuil_fg_gdom*U$232)*IF(OR(U$13="ga_m",U$13="ga_p"),0.5,IF(U$13="png",0,1))</f>
        <v>0</v>
      </c>
    </row>
    <row r="251" spans="1:21" ht="13.5" hidden="1" customHeight="1" x14ac:dyDescent="0.25">
      <c r="A251" t="s">
        <v>294</v>
      </c>
      <c r="B251" s="255"/>
      <c r="C251" s="262">
        <f>irpp_part_fg_gdom*MIN(C$250,12*MAX(0,C$163))</f>
        <v>0</v>
      </c>
      <c r="D251" s="262">
        <f>irpp_part_fg_gdom*MIN(D$250,12*MAX(0,D$163))</f>
        <v>0</v>
      </c>
      <c r="E251" s="262">
        <f>irpp_part_fg_gdom*MIN(E$250,12*MAX(0,E$163))</f>
        <v>0</v>
      </c>
      <c r="F251" s="262">
        <f>irpp_part_fg_gdom*MIN(F$250,12*MAX(0,F$163))</f>
        <v>0</v>
      </c>
      <c r="H251" s="262">
        <f>irpp_part_fg_gdom*MIN(H$250,12*MAX(0,H$163))</f>
        <v>0</v>
      </c>
      <c r="I251" s="262">
        <f>irpp_part_fg_gdom*MIN(I$250,12*MAX(0,I$163))</f>
        <v>0</v>
      </c>
      <c r="J251" s="262">
        <f>irpp_part_fg_gdom*MIN(J$250,12*MAX(0,J$163))</f>
        <v>0</v>
      </c>
      <c r="K251" s="262">
        <f>irpp_part_fg_gdom*MIN(K$250,12*MAX(0,K$163))</f>
        <v>0</v>
      </c>
      <c r="M251" s="262">
        <f>irpp_part_fg_gdom*MIN(M$250,12*MAX(0,M$163))</f>
        <v>0</v>
      </c>
      <c r="N251" s="262">
        <f>irpp_part_fg_gdom*MIN(N$250,12*MAX(0,N$163))</f>
        <v>0</v>
      </c>
      <c r="O251" s="262">
        <f>irpp_part_fg_gdom*MIN(O$250,12*MAX(0,O$163))</f>
        <v>0</v>
      </c>
      <c r="P251" s="262">
        <f>irpp_part_fg_gdom*MIN(P$250,12*MAX(0,P$163))</f>
        <v>0</v>
      </c>
      <c r="R251" s="262">
        <f>irpp_part_fg_gdom*MIN(R$250,12*MAX(0,R$163))</f>
        <v>0</v>
      </c>
      <c r="S251" s="262">
        <f>irpp_part_fg_gdom*MIN(S$250,12*MAX(0,S$163))</f>
        <v>0</v>
      </c>
      <c r="T251" s="262">
        <f>irpp_part_fg_gdom*MIN(T$250,12*MAX(0,T$163))</f>
        <v>0</v>
      </c>
      <c r="U251" s="262">
        <f>irpp_part_fg_gdom*MIN(U$250,12*MAX(0,U$163))</f>
        <v>0</v>
      </c>
    </row>
    <row r="252" spans="1:21" hidden="1" x14ac:dyDescent="0.25">
      <c r="A252" s="274" t="s">
        <v>112</v>
      </c>
      <c r="B252" s="255"/>
      <c r="C252" s="262">
        <f>MAX(0,C$247-C$248)-C249-C251</f>
        <v>0</v>
      </c>
      <c r="D252" s="262">
        <f t="shared" ref="D252:F252" si="136">MAX(0,D$247-D$248)-D249-D251</f>
        <v>0</v>
      </c>
      <c r="E252" s="262">
        <f t="shared" si="136"/>
        <v>0</v>
      </c>
      <c r="F252" s="262">
        <f t="shared" si="136"/>
        <v>0</v>
      </c>
      <c r="H252" s="262">
        <f>MAX(0,H$247-H$248)-H249-H251</f>
        <v>0</v>
      </c>
      <c r="I252" s="262">
        <f t="shared" ref="I252" si="137">MAX(0,I$247-I$248)-I249-I251</f>
        <v>0</v>
      </c>
      <c r="J252" s="262">
        <f t="shared" ref="J252" si="138">MAX(0,J$247-J$248)-J249-J251</f>
        <v>0</v>
      </c>
      <c r="K252" s="262">
        <f t="shared" ref="K252" si="139">MAX(0,K$247-K$248)-K249-K251</f>
        <v>0</v>
      </c>
      <c r="M252" s="262">
        <f>MAX(0,M$247-M$248)-M249-M251</f>
        <v>0</v>
      </c>
      <c r="N252" s="262">
        <f t="shared" ref="N252" si="140">MAX(0,N$247-N$248)-N249-N251</f>
        <v>0</v>
      </c>
      <c r="O252" s="262">
        <f t="shared" ref="O252" si="141">MAX(0,O$247-O$248)-O249-O251</f>
        <v>0</v>
      </c>
      <c r="P252" s="262">
        <f t="shared" ref="P252" si="142">MAX(0,P$247-P$248)-P249-P251</f>
        <v>0</v>
      </c>
      <c r="R252" s="262">
        <f>MAX(0,R$247-R$248)-R249-R251</f>
        <v>0</v>
      </c>
      <c r="S252" s="262">
        <f t="shared" ref="S252" si="143">MAX(0,S$247-S$248)-S249-S251</f>
        <v>0</v>
      </c>
      <c r="T252" s="262">
        <f t="shared" ref="T252" si="144">MAX(0,T$247-T$248)-T249-T251</f>
        <v>0</v>
      </c>
      <c r="U252" s="262">
        <f t="shared" ref="U252" si="145">MAX(0,U$247-U$248)-U249-U251</f>
        <v>0</v>
      </c>
    </row>
    <row r="253" spans="1:21" hidden="1" x14ac:dyDescent="0.25">
      <c r="A253" s="274" t="s">
        <v>170</v>
      </c>
      <c r="B253" s="255"/>
      <c r="C253" s="262">
        <f>IF(C$3="isolé",
IF(AND(C$235&gt;=irpp_seuil1_cont_excep,C$235&lt;irpp_seuil2_cont_excep),irpp_taux1_cont_excep*(C$235-irpp_seuil1_cont_excep),IF(C$235&gt;irpp_seuil2_cont_excep,irpp_taux2_cont_excep*(C$235-irpp_seuil2_cont_excep)+7500,0)),
IF(AND(C$235&gt;=2*irpp_seuil1_cont_excep,C$235&lt;2*irpp_seuil2_cont_excep),irpp_taux1_cont_excep*(C$235-2*irpp_seuil1_cont_excep),IF(C$235&gt;2*irpp_seuil2_cont_excep,irpp_taux2_cont_excep*(C$235-2*irpp_seuil2_cont_excep)+15000,0)))</f>
        <v>0</v>
      </c>
      <c r="D253" s="262">
        <f>IF(D$3="isolé",
IF(AND(D$235&gt;=irpp_seuil1_cont_excep,D$235&lt;irpp_seuil2_cont_excep),irpp_taux1_cont_excep*(D$235-irpp_seuil1_cont_excep),IF(D$235&gt;irpp_seuil2_cont_excep,irpp_taux2_cont_excep*(D$235-irpp_seuil2_cont_excep)+7500,0)),
IF(AND(D$235&gt;=2*irpp_seuil1_cont_excep,D$235&lt;2*irpp_seuil2_cont_excep),irpp_taux1_cont_excep*(D$235-2*irpp_seuil1_cont_excep),IF(D$235&gt;2*irpp_seuil2_cont_excep,irpp_taux2_cont_excep*(D$235-2*irpp_seuil2_cont_excep)+15000,0)))</f>
        <v>0</v>
      </c>
      <c r="E253" s="262">
        <f>IF(E$3="isolé",
IF(AND(E$235&gt;=irpp_seuil1_cont_excep,E$235&lt;irpp_seuil2_cont_excep),irpp_taux1_cont_excep*(E$235-irpp_seuil1_cont_excep),IF(E$235&gt;irpp_seuil2_cont_excep,irpp_taux2_cont_excep*(E$235-irpp_seuil2_cont_excep)+7500,0)),
IF(AND(E$235&gt;=2*irpp_seuil1_cont_excep,E$235&lt;2*irpp_seuil2_cont_excep),irpp_taux1_cont_excep*(E$235-2*irpp_seuil1_cont_excep),IF(E$235&gt;2*irpp_seuil2_cont_excep,irpp_taux2_cont_excep*(E$235-2*irpp_seuil2_cont_excep)+15000,0)))</f>
        <v>0</v>
      </c>
      <c r="F253" s="262">
        <f>IF(F$3="isolé",
IF(AND(F$235&gt;=irpp_seuil1_cont_excep,F$235&lt;irpp_seuil2_cont_excep),irpp_taux1_cont_excep*(F$235-irpp_seuil1_cont_excep),IF(F$235&gt;irpp_seuil2_cont_excep,irpp_taux2_cont_excep*(F$235-irpp_seuil2_cont_excep)+7500,0)),
IF(AND(F$235&gt;=2*irpp_seuil1_cont_excep,F$235&lt;2*irpp_seuil2_cont_excep),irpp_taux1_cont_excep*(F$235-2*irpp_seuil1_cont_excep),IF(F$235&gt;2*irpp_seuil2_cont_excep,irpp_taux2_cont_excep*(F$235-2*irpp_seuil2_cont_excep)+15000,0)))</f>
        <v>0</v>
      </c>
      <c r="H253" s="262">
        <f>IF(H$3="isolé",
IF(AND(H$235&gt;=irpp_seuil1_cont_excep,H$235&lt;irpp_seuil2_cont_excep),irpp_taux1_cont_excep*(H$235-irpp_seuil1_cont_excep),IF(H$235&gt;irpp_seuil2_cont_excep,irpp_taux2_cont_excep*(H$235-irpp_seuil2_cont_excep)+7500,0)),
IF(AND(H$235&gt;=2*irpp_seuil1_cont_excep,H$235&lt;2*irpp_seuil2_cont_excep),irpp_taux1_cont_excep*(H$235-2*irpp_seuil1_cont_excep),IF(H$235&gt;2*irpp_seuil2_cont_excep,irpp_taux2_cont_excep*(H$235-2*irpp_seuil2_cont_excep)+15000,0)))</f>
        <v>0</v>
      </c>
      <c r="I253" s="262">
        <f>IF(I$3="isolé",
IF(AND(I$235&gt;=irpp_seuil1_cont_excep,I$235&lt;irpp_seuil2_cont_excep),irpp_taux1_cont_excep*(I$235-irpp_seuil1_cont_excep),IF(I$235&gt;irpp_seuil2_cont_excep,irpp_taux2_cont_excep*(I$235-irpp_seuil2_cont_excep)+7500,0)),
IF(AND(I$235&gt;=2*irpp_seuil1_cont_excep,I$235&lt;2*irpp_seuil2_cont_excep),irpp_taux1_cont_excep*(I$235-2*irpp_seuil1_cont_excep),IF(I$235&gt;2*irpp_seuil2_cont_excep,irpp_taux2_cont_excep*(I$235-2*irpp_seuil2_cont_excep)+15000,0)))</f>
        <v>0</v>
      </c>
      <c r="J253" s="262">
        <f>IF(J$3="isolé",
IF(AND(J$235&gt;=irpp_seuil1_cont_excep,J$235&lt;irpp_seuil2_cont_excep),irpp_taux1_cont_excep*(J$235-irpp_seuil1_cont_excep),IF(J$235&gt;irpp_seuil2_cont_excep,irpp_taux2_cont_excep*(J$235-irpp_seuil2_cont_excep)+7500,0)),
IF(AND(J$235&gt;=2*irpp_seuil1_cont_excep,J$235&lt;2*irpp_seuil2_cont_excep),irpp_taux1_cont_excep*(J$235-2*irpp_seuil1_cont_excep),IF(J$235&gt;2*irpp_seuil2_cont_excep,irpp_taux2_cont_excep*(J$235-2*irpp_seuil2_cont_excep)+15000,0)))</f>
        <v>0</v>
      </c>
      <c r="K253" s="262">
        <f>IF(K$3="isolé",
IF(AND(K$235&gt;=irpp_seuil1_cont_excep,K$235&lt;irpp_seuil2_cont_excep),irpp_taux1_cont_excep*(K$235-irpp_seuil1_cont_excep),IF(K$235&gt;irpp_seuil2_cont_excep,irpp_taux2_cont_excep*(K$235-irpp_seuil2_cont_excep)+7500,0)),
IF(AND(K$235&gt;=2*irpp_seuil1_cont_excep,K$235&lt;2*irpp_seuil2_cont_excep),irpp_taux1_cont_excep*(K$235-2*irpp_seuil1_cont_excep),IF(K$235&gt;2*irpp_seuil2_cont_excep,irpp_taux2_cont_excep*(K$235-2*irpp_seuil2_cont_excep)+15000,0)))</f>
        <v>0</v>
      </c>
      <c r="M253" s="262">
        <f>IF(M$3="isolé",
IF(AND(M$235&gt;=irpp_seuil1_cont_excep,M$235&lt;irpp_seuil2_cont_excep),irpp_taux1_cont_excep*(M$235-irpp_seuil1_cont_excep),IF(M$235&gt;irpp_seuil2_cont_excep,irpp_taux2_cont_excep*(M$235-irpp_seuil2_cont_excep)+7500,0)),
IF(AND(M$235&gt;=2*irpp_seuil1_cont_excep,M$235&lt;2*irpp_seuil2_cont_excep),irpp_taux1_cont_excep*(M$235-2*irpp_seuil1_cont_excep),IF(M$235&gt;2*irpp_seuil2_cont_excep,irpp_taux2_cont_excep*(M$235-2*irpp_seuil2_cont_excep)+15000,0)))</f>
        <v>0</v>
      </c>
      <c r="N253" s="262">
        <f>IF(N$3="isolé",
IF(AND(N$235&gt;=irpp_seuil1_cont_excep,N$235&lt;irpp_seuil2_cont_excep),irpp_taux1_cont_excep*(N$235-irpp_seuil1_cont_excep),IF(N$235&gt;irpp_seuil2_cont_excep,irpp_taux2_cont_excep*(N$235-irpp_seuil2_cont_excep)+7500,0)),
IF(AND(N$235&gt;=2*irpp_seuil1_cont_excep,N$235&lt;2*irpp_seuil2_cont_excep),irpp_taux1_cont_excep*(N$235-2*irpp_seuil1_cont_excep),IF(N$235&gt;2*irpp_seuil2_cont_excep,irpp_taux2_cont_excep*(N$235-2*irpp_seuil2_cont_excep)+15000,0)))</f>
        <v>0</v>
      </c>
      <c r="O253" s="262">
        <f>IF(O$3="isolé",
IF(AND(O$235&gt;=irpp_seuil1_cont_excep,O$235&lt;irpp_seuil2_cont_excep),irpp_taux1_cont_excep*(O$235-irpp_seuil1_cont_excep),IF(O$235&gt;irpp_seuil2_cont_excep,irpp_taux2_cont_excep*(O$235-irpp_seuil2_cont_excep)+7500,0)),
IF(AND(O$235&gt;=2*irpp_seuil1_cont_excep,O$235&lt;2*irpp_seuil2_cont_excep),irpp_taux1_cont_excep*(O$235-2*irpp_seuil1_cont_excep),IF(O$235&gt;2*irpp_seuil2_cont_excep,irpp_taux2_cont_excep*(O$235-2*irpp_seuil2_cont_excep)+15000,0)))</f>
        <v>0</v>
      </c>
      <c r="P253" s="262">
        <f>IF(P$3="isolé",
IF(AND(P$235&gt;=irpp_seuil1_cont_excep,P$235&lt;irpp_seuil2_cont_excep),irpp_taux1_cont_excep*(P$235-irpp_seuil1_cont_excep),IF(P$235&gt;irpp_seuil2_cont_excep,irpp_taux2_cont_excep*(P$235-irpp_seuil2_cont_excep)+7500,0)),
IF(AND(P$235&gt;=2*irpp_seuil1_cont_excep,P$235&lt;2*irpp_seuil2_cont_excep),irpp_taux1_cont_excep*(P$235-2*irpp_seuil1_cont_excep),IF(P$235&gt;2*irpp_seuil2_cont_excep,irpp_taux2_cont_excep*(P$235-2*irpp_seuil2_cont_excep)+15000,0)))</f>
        <v>0</v>
      </c>
      <c r="R253" s="262">
        <f>IF(R$3="isolé",
IF(AND(R$235&gt;=irpp_seuil1_cont_excep,R$235&lt;irpp_seuil2_cont_excep),irpp_taux1_cont_excep*(R$235-irpp_seuil1_cont_excep),IF(R$235&gt;irpp_seuil2_cont_excep,irpp_taux2_cont_excep*(R$235-irpp_seuil2_cont_excep)+7500,0)),
IF(AND(R$235&gt;=2*irpp_seuil1_cont_excep,R$235&lt;2*irpp_seuil2_cont_excep),irpp_taux1_cont_excep*(R$235-2*irpp_seuil1_cont_excep),IF(R$235&gt;2*irpp_seuil2_cont_excep,irpp_taux2_cont_excep*(R$235-2*irpp_seuil2_cont_excep)+15000,0)))</f>
        <v>0</v>
      </c>
      <c r="S253" s="262">
        <f>IF(S$3="isolé",
IF(AND(S$235&gt;=irpp_seuil1_cont_excep,S$235&lt;irpp_seuil2_cont_excep),irpp_taux1_cont_excep*(S$235-irpp_seuil1_cont_excep),IF(S$235&gt;irpp_seuil2_cont_excep,irpp_taux2_cont_excep*(S$235-irpp_seuil2_cont_excep)+7500,0)),
IF(AND(S$235&gt;=2*irpp_seuil1_cont_excep,S$235&lt;2*irpp_seuil2_cont_excep),irpp_taux1_cont_excep*(S$235-2*irpp_seuil1_cont_excep),IF(S$235&gt;2*irpp_seuil2_cont_excep,irpp_taux2_cont_excep*(S$235-2*irpp_seuil2_cont_excep)+15000,0)))</f>
        <v>0</v>
      </c>
      <c r="T253" s="262">
        <f>IF(T$3="isolé",
IF(AND(T$235&gt;=irpp_seuil1_cont_excep,T$235&lt;irpp_seuil2_cont_excep),irpp_taux1_cont_excep*(T$235-irpp_seuil1_cont_excep),IF(T$235&gt;irpp_seuil2_cont_excep,irpp_taux2_cont_excep*(T$235-irpp_seuil2_cont_excep)+7500,0)),
IF(AND(T$235&gt;=2*irpp_seuil1_cont_excep,T$235&lt;2*irpp_seuil2_cont_excep),irpp_taux1_cont_excep*(T$235-2*irpp_seuil1_cont_excep),IF(T$235&gt;2*irpp_seuil2_cont_excep,irpp_taux2_cont_excep*(T$235-2*irpp_seuil2_cont_excep)+15000,0)))</f>
        <v>0</v>
      </c>
      <c r="U253" s="262">
        <f>IF(U$3="isolé",
IF(AND(U$235&gt;=irpp_seuil1_cont_excep,U$235&lt;irpp_seuil2_cont_excep),irpp_taux1_cont_excep*(U$235-irpp_seuil1_cont_excep),IF(U$235&gt;irpp_seuil2_cont_excep,irpp_taux2_cont_excep*(U$235-irpp_seuil2_cont_excep)+7500,0)),
IF(AND(U$235&gt;=2*irpp_seuil1_cont_excep,U$235&lt;2*irpp_seuil2_cont_excep),irpp_taux1_cont_excep*(U$235-2*irpp_seuil1_cont_excep),IF(U$235&gt;2*irpp_seuil2_cont_excep,irpp_taux2_cont_excep*(U$235-2*irpp_seuil2_cont_excep)+15000,0)))</f>
        <v>0</v>
      </c>
    </row>
    <row r="254" spans="1:21" ht="13" hidden="1" thickBot="1" x14ac:dyDescent="0.3">
      <c r="A254" s="279" t="s">
        <v>208</v>
      </c>
      <c r="B254" s="277"/>
      <c r="C254" s="266">
        <f>IF(C235&gt;0,((C252+C$253)/C235)*(MAX(0,(Coef_impot)*C$58-MAX(irpp_min_reduc_fp,MIN(irpp_max_reduc_fp,irpp_taux_reduc_fp*(Coef_impot)*C$58)))),0)</f>
        <v>0</v>
      </c>
      <c r="D254" s="266">
        <f>IF(D235&gt;0,((D252+D$253)/D235)*(MAX(0,(Coef_impot)*D$58-MAX(irpp_min_reduc_fp,MIN(irpp_max_reduc_fp,irpp_taux_reduc_fp*(Coef_impot)*D$58)))),0)</f>
        <v>0</v>
      </c>
      <c r="E254" s="266">
        <f>IF(E235&gt;0,((E252+E$253)/E235)*(MAX(0,(Coef_impot)*E$58-MAX(irpp_min_reduc_fp,MIN(irpp_max_reduc_fp,irpp_taux_reduc_fp*(Coef_impot)*E$58)))),0)</f>
        <v>0</v>
      </c>
      <c r="F254" s="266">
        <f>IF(F235&gt;0,((F252+F$253)/F235)*(MAX(0,(Coef_impot)*F$58-MAX(irpp_min_reduc_fp,MIN(irpp_max_reduc_fp,irpp_taux_reduc_fp*(Coef_impot)*F$58)))),0)</f>
        <v>0</v>
      </c>
      <c r="H254" s="266">
        <f>IF(H235&gt;0,((H252+H$253)/H235)*(MAX(0,(Coef_impot)*H$58-MAX(irpp_min_reduc_fp,MIN(irpp_max_reduc_fp,irpp_taux_reduc_fp*(Coef_impot)*H$58)))),0)</f>
        <v>0</v>
      </c>
      <c r="I254" s="266">
        <f>IF(I235&gt;0,((I252+I$253)/I235)*(MAX(0,(Coef_impot)*I$58-MAX(irpp_min_reduc_fp,MIN(irpp_max_reduc_fp,irpp_taux_reduc_fp*(Coef_impot)*I$58)))),0)</f>
        <v>0</v>
      </c>
      <c r="J254" s="266">
        <f>IF(J235&gt;0,((J252+J$253)/J235)*(MAX(0,(Coef_impot)*J$58-MAX(irpp_min_reduc_fp,MIN(irpp_max_reduc_fp,irpp_taux_reduc_fp*(Coef_impot)*J$58)))),0)</f>
        <v>0</v>
      </c>
      <c r="K254" s="266">
        <f>IF(K235&gt;0,((K252+K$253)/K235)*(MAX(0,(Coef_impot)*K$58-MAX(irpp_min_reduc_fp,MIN(irpp_max_reduc_fp,irpp_taux_reduc_fp*(Coef_impot)*K$58)))),0)</f>
        <v>0</v>
      </c>
      <c r="M254" s="266">
        <f>IF(M235&gt;0,((M252+M$253)/M235)*(MAX(0,(Coef_impot)*M$58-MAX(irpp_min_reduc_fp,MIN(irpp_max_reduc_fp,irpp_taux_reduc_fp*(Coef_impot)*M$58)))),0)</f>
        <v>0</v>
      </c>
      <c r="N254" s="266">
        <f>IF(N235&gt;0,((N252+N$253)/N235)*(MAX(0,(Coef_impot)*N$58-MAX(irpp_min_reduc_fp,MIN(irpp_max_reduc_fp,irpp_taux_reduc_fp*(Coef_impot)*N$58)))),0)</f>
        <v>0</v>
      </c>
      <c r="O254" s="266">
        <f>IF(O235&gt;0,((O252+O$253)/O235)*(MAX(0,(Coef_impot)*O$58-MAX(irpp_min_reduc_fp,MIN(irpp_max_reduc_fp,irpp_taux_reduc_fp*(Coef_impot)*O$58)))),0)</f>
        <v>0</v>
      </c>
      <c r="P254" s="266">
        <f>IF(P235&gt;0,((P252+P$253)/P235)*(MAX(0,(Coef_impot)*P$58-MAX(irpp_min_reduc_fp,MIN(irpp_max_reduc_fp,irpp_taux_reduc_fp*(Coef_impot)*P$58)))),0)</f>
        <v>0</v>
      </c>
      <c r="R254" s="266">
        <f>IF(R235&gt;0,((R252+R$253)/R235)*(MAX(0,(Coef_impot)*R$58-MAX(irpp_min_reduc_fp,MIN(irpp_max_reduc_fp,irpp_taux_reduc_fp*(Coef_impot)*R$58)))),0)</f>
        <v>0</v>
      </c>
      <c r="S254" s="266">
        <f>IF(S235&gt;0,((S252+S$253)/S235)*(MAX(0,(Coef_impot)*S$58-MAX(irpp_min_reduc_fp,MIN(irpp_max_reduc_fp,irpp_taux_reduc_fp*(Coef_impot)*S$58)))),0)</f>
        <v>0</v>
      </c>
      <c r="T254" s="266">
        <f>IF(T235&gt;0,((T252+T$253)/T235)*(MAX(0,(Coef_impot)*T$58-MAX(irpp_min_reduc_fp,MIN(irpp_max_reduc_fp,irpp_taux_reduc_fp*(Coef_impot)*T$58)))),0)</f>
        <v>0</v>
      </c>
      <c r="U254" s="266">
        <f>IF(U235&gt;0,((U252+U$253)/U235)*(MAX(0,(Coef_impot)*U$58-MAX(irpp_min_reduc_fp,MIN(irpp_max_reduc_fp,irpp_taux_reduc_fp*(Coef_impot)*U$58)))),0)</f>
        <v>0</v>
      </c>
    </row>
    <row r="255" spans="1:21" hidden="1" x14ac:dyDescent="0.25">
      <c r="C255" s="201"/>
      <c r="D255" s="201"/>
      <c r="E255" s="201"/>
      <c r="F255" s="201"/>
      <c r="H255" s="201"/>
      <c r="I255" s="201"/>
      <c r="J255" s="201"/>
      <c r="K255" s="201"/>
      <c r="M255" s="201"/>
      <c r="N255" s="201"/>
      <c r="O255" s="201"/>
      <c r="P255" s="201"/>
      <c r="R255" s="201"/>
      <c r="S255" s="201"/>
      <c r="T255" s="201"/>
      <c r="U255" s="201"/>
    </row>
    <row r="256" spans="1:21" ht="13.5" hidden="1" thickBot="1" x14ac:dyDescent="0.35">
      <c r="A256" s="295" t="s">
        <v>332</v>
      </c>
      <c r="C256" s="201"/>
      <c r="D256" s="201"/>
      <c r="E256" s="201"/>
      <c r="F256" s="201"/>
      <c r="H256" s="201"/>
      <c r="I256" s="201"/>
      <c r="J256" s="201"/>
      <c r="K256" s="201"/>
      <c r="M256" s="201"/>
      <c r="N256" s="201"/>
      <c r="O256" s="201"/>
      <c r="P256" s="201"/>
      <c r="R256" s="201"/>
      <c r="S256" s="201"/>
      <c r="T256" s="201"/>
      <c r="U256" s="201"/>
    </row>
    <row r="257" spans="1:21" ht="13.5" hidden="1" thickBot="1" x14ac:dyDescent="0.35">
      <c r="A257" s="286" t="s">
        <v>331</v>
      </c>
      <c r="B257" s="186"/>
      <c r="C257" s="347">
        <f>MAX(0,Coef_n_2*C$58-MAX(irpp_min_reduc_fp,MIN(irpp_max_reduc_fp,irpp_taux_reduc_fp*Coef_n_2*C$58)))
+12*C$52*(C13&lt;&gt;"ga_m")</f>
        <v>0</v>
      </c>
      <c r="D257" s="347">
        <f>MAX(0,Coef_n_2*D$58-MAX(irpp_min_reduc_fp,MIN(irpp_max_reduc_fp,irpp_taux_reduc_fp*Coef_n_2*D$58)))
+12*D$52*(D13&lt;&gt;"ga_m")</f>
        <v>7105.035193964849</v>
      </c>
      <c r="E257" s="347">
        <f>MAX(0,Coef_n_2*E$58-MAX(irpp_min_reduc_fp,MIN(irpp_max_reduc_fp,irpp_taux_reduc_fp*Coef_n_2*E$58)))
+12*E$52*(E13&lt;&gt;"ga_m")</f>
        <v>14210.070387929698</v>
      </c>
      <c r="F257" s="347">
        <f>MAX(0,Coef_n_2*F$58-MAX(irpp_min_reduc_fp,MIN(irpp_max_reduc_fp,irpp_taux_reduc_fp*Coef_n_2*F$58)))
+12*F$52*(F13&lt;&gt;"ga_m")</f>
        <v>21315.10558189455</v>
      </c>
      <c r="H257" s="347">
        <f>MAX(0,Coef_n_2*H$58-MAX(irpp_min_reduc_fp,MIN(irpp_max_reduc_fp,irpp_taux_reduc_fp*Coef_n_2*H$58)))
+12*H$52*(H13&lt;&gt;"ga_m")</f>
        <v>0</v>
      </c>
      <c r="I257" s="347">
        <f>MAX(0,Coef_n_2*I$58-MAX(irpp_min_reduc_fp,MIN(irpp_max_reduc_fp,irpp_taux_reduc_fp*Coef_n_2*I$58)))
+12*I$52*(I13&lt;&gt;"ga_m")</f>
        <v>7105.035193964849</v>
      </c>
      <c r="J257" s="347">
        <f>MAX(0,Coef_n_2*J$58-MAX(irpp_min_reduc_fp,MIN(irpp_max_reduc_fp,irpp_taux_reduc_fp*Coef_n_2*J$58)))
+12*J$52*(J13&lt;&gt;"ga_m")</f>
        <v>14210.070387929698</v>
      </c>
      <c r="K257" s="347">
        <f>MAX(0,Coef_n_2*K$58-MAX(irpp_min_reduc_fp,MIN(irpp_max_reduc_fp,irpp_taux_reduc_fp*Coef_n_2*K$58)))
+12*K$52*(K13&lt;&gt;"ga_m")</f>
        <v>21315.10558189455</v>
      </c>
      <c r="M257" s="347">
        <f>MAX(0,Coef_n_2*M$58-MAX(irpp_min_reduc_fp,MIN(irpp_max_reduc_fp,irpp_taux_reduc_fp*Coef_n_2*M$58)))
+12*M$52*(M13&lt;&gt;"ga_m")</f>
        <v>0</v>
      </c>
      <c r="N257" s="347">
        <f>MAX(0,Coef_n_2*N$58-MAX(irpp_min_reduc_fp,MIN(irpp_max_reduc_fp,irpp_taux_reduc_fp*Coef_n_2*N$58)))
+12*N$52*(N13&lt;&gt;"ga_m")</f>
        <v>7105.035193964849</v>
      </c>
      <c r="O257" s="347">
        <f>MAX(0,Coef_n_2*O$58-MAX(irpp_min_reduc_fp,MIN(irpp_max_reduc_fp,irpp_taux_reduc_fp*Coef_n_2*O$58)))
+12*O$52*(O13&lt;&gt;"ga_m")</f>
        <v>14210.070387929698</v>
      </c>
      <c r="P257" s="347">
        <f>MAX(0,Coef_n_2*P$58-MAX(irpp_min_reduc_fp,MIN(irpp_max_reduc_fp,irpp_taux_reduc_fp*Coef_n_2*P$58)))
+12*P$52*(P13&lt;&gt;"ga_m")</f>
        <v>21315.10558189455</v>
      </c>
      <c r="R257" s="347">
        <f>MAX(0,Coef_n_2*R$58-MAX(irpp_min_reduc_fp,MIN(irpp_max_reduc_fp,irpp_taux_reduc_fp*Coef_n_2*R$58)))
+12*R$52*(R13&lt;&gt;"ga_m")</f>
        <v>0</v>
      </c>
      <c r="S257" s="347">
        <f>MAX(0,Coef_n_2*S$58-MAX(irpp_min_reduc_fp,MIN(irpp_max_reduc_fp,irpp_taux_reduc_fp*Coef_n_2*S$58)))
+12*S$52*(S13&lt;&gt;"ga_m")</f>
        <v>7105.035193964849</v>
      </c>
      <c r="T257" s="347">
        <f>MAX(0,Coef_n_2*T$58-MAX(irpp_min_reduc_fp,MIN(irpp_max_reduc_fp,irpp_taux_reduc_fp*Coef_n_2*T$58)))
+12*T$52*(T13&lt;&gt;"ga_m")</f>
        <v>14210.070387929698</v>
      </c>
      <c r="U257" s="347">
        <f>MAX(0,Coef_n_2*U$58-MAX(irpp_min_reduc_fp,MIN(irpp_max_reduc_fp,irpp_taux_reduc_fp*Coef_n_2*U$58)))
+12*U$52*(U13&lt;&gt;"ga_m")</f>
        <v>21315.10558189455</v>
      </c>
    </row>
    <row r="258" spans="1:21" hidden="1" x14ac:dyDescent="0.25">
      <c r="A258" s="275" t="s">
        <v>321</v>
      </c>
      <c r="B258" s="185"/>
      <c r="C258" s="262">
        <f>(C$97=1)*IF(C$257&lt;blyc_1enf_seuil6,6,IF(C$257&lt;blyc_1enf_seuil5,5,IF(C$257&lt;blyc_1enf_seuil4,4,IF(C$257&lt;blyc_1enf_seuil3,3,IF(C$257&lt;blyc_1enf_seuil2,2,IF(C$257&lt;blyc_1enf_seuil1,1,0))))))
+(C$97=2)*IF(C$257&lt;blyc_2enf_seuil6,6,IF(C$257&lt;blyc_2enf_seuil5,5,IF(C$257&lt;blyc_2enf_seuil4,4,IF(C$257&lt;blyc_2enf_seuil3,3,IF(C$257&lt;blyc_2enf_seuil2,2,IF(C$257&lt;blyc_1enf_seuil1,1,0))))))
+(C$97=3)*IF(C$257&lt;blyc_3enf_seuil6,6,IF(C$257&lt;blyc_3enf_seuil5,5,IF(C$257&lt;blyc_3enf_seuil4,4,IF(C$257&lt;blyc_3enf_seuil3,3,IF(C$257&lt;blyc_3enf_seuil2,2,IF(C$257&lt;blyc_1enf_seuil1,1,0))))))
+(C$97=4)*IF(C$257&lt;blyc_4enf_seuil6,6,IF(C$257&lt;blyc_4enf_seuil5,5,IF(C$257&lt;blyc_4enf_seuil4,4,IF(C$257&lt;blyc_4enf_seuil3,3,IF(C$257&lt;blyc_4enf_seuil2,2,IF(C$257&lt;blyc_1enf_seuil1,1,0))))))
+(C$97=5)*IF(C$257&lt;blyc_5enf_seuil6,6,IF(C$257&lt;blyc_5enf_seuil5,5,IF(C$257&lt;blyc_5enf_seuil4,4,IF(C$257&lt;blyc_5enf_seuil3,3,IF(C$257&lt;blyc_1enf_seuil2,2,IF(C$257&lt;blyc_1enf_seuil1,1,0))))))
+(C$97=6)*IF(C$257&lt;blyc_6enf_seuil6,6,IF(C$257&lt;blyc_6enf_seuil5,5,IF(C$257&lt;blyc_6enf_seuil4,4,IF(C$257&lt;blyc_6enf_seuil3,3,IF(C$257&lt;blyc_6enf_seuil2,2,IF(C$257&lt;blyc_1enf_seuil1,1,0))))))</f>
        <v>0</v>
      </c>
      <c r="D258" s="262">
        <f>(D$97=1)*IF(D$257&lt;blyc_1enf_seuil6,6,IF(D$257&lt;blyc_1enf_seuil5,5,IF(D$257&lt;blyc_1enf_seuil4,4,IF(D$257&lt;blyc_1enf_seuil3,3,IF(D$257&lt;blyc_1enf_seuil2,2,IF(D$257&lt;blyc_1enf_seuil1,1,0))))))
+(D$97=2)*IF(D$257&lt;blyc_2enf_seuil6,6,IF(D$257&lt;blyc_2enf_seuil5,5,IF(D$257&lt;blyc_2enf_seuil4,4,IF(D$257&lt;blyc_2enf_seuil3,3,IF(D$257&lt;blyc_2enf_seuil2,2,IF(D$257&lt;blyc_1enf_seuil1,1,0))))))
+(D$97=3)*IF(D$257&lt;blyc_3enf_seuil6,6,IF(D$257&lt;blyc_3enf_seuil5,5,IF(D$257&lt;blyc_3enf_seuil4,4,IF(D$257&lt;blyc_3enf_seuil3,3,IF(D$257&lt;blyc_3enf_seuil2,2,IF(D$257&lt;blyc_1enf_seuil1,1,0))))))
+(D$97=4)*IF(D$257&lt;blyc_4enf_seuil6,6,IF(D$257&lt;blyc_4enf_seuil5,5,IF(D$257&lt;blyc_4enf_seuil4,4,IF(D$257&lt;blyc_4enf_seuil3,3,IF(D$257&lt;blyc_4enf_seuil2,2,IF(D$257&lt;blyc_1enf_seuil1,1,0))))))
+(D$97=5)*IF(D$257&lt;blyc_5enf_seuil6,6,IF(D$257&lt;blyc_5enf_seuil5,5,IF(D$257&lt;blyc_5enf_seuil4,4,IF(D$257&lt;blyc_5enf_seuil3,3,IF(D$257&lt;blyc_1enf_seuil2,2,IF(D$257&lt;blyc_1enf_seuil1,1,0))))))
+(D$97=6)*IF(D$257&lt;blyc_6enf_seuil6,6,IF(D$257&lt;blyc_6enf_seuil5,5,IF(D$257&lt;blyc_6enf_seuil4,4,IF(D$257&lt;blyc_6enf_seuil3,3,IF(D$257&lt;blyc_6enf_seuil2,2,IF(D$257&lt;blyc_1enf_seuil1,1,0))))))</f>
        <v>0</v>
      </c>
      <c r="E258" s="262">
        <f>(E$97=1)*IF(E$257&lt;blyc_1enf_seuil6,6,IF(E$257&lt;blyc_1enf_seuil5,5,IF(E$257&lt;blyc_1enf_seuil4,4,IF(E$257&lt;blyc_1enf_seuil3,3,IF(E$257&lt;blyc_1enf_seuil2,2,IF(E$257&lt;blyc_1enf_seuil1,1,0))))))
+(E$97=2)*IF(E$257&lt;blyc_2enf_seuil6,6,IF(E$257&lt;blyc_2enf_seuil5,5,IF(E$257&lt;blyc_2enf_seuil4,4,IF(E$257&lt;blyc_2enf_seuil3,3,IF(E$257&lt;blyc_2enf_seuil2,2,IF(E$257&lt;blyc_1enf_seuil1,1,0))))))
+(E$97=3)*IF(E$257&lt;blyc_3enf_seuil6,6,IF(E$257&lt;blyc_3enf_seuil5,5,IF(E$257&lt;blyc_3enf_seuil4,4,IF(E$257&lt;blyc_3enf_seuil3,3,IF(E$257&lt;blyc_3enf_seuil2,2,IF(E$257&lt;blyc_1enf_seuil1,1,0))))))
+(E$97=4)*IF(E$257&lt;blyc_4enf_seuil6,6,IF(E$257&lt;blyc_4enf_seuil5,5,IF(E$257&lt;blyc_4enf_seuil4,4,IF(E$257&lt;blyc_4enf_seuil3,3,IF(E$257&lt;blyc_4enf_seuil2,2,IF(E$257&lt;blyc_1enf_seuil1,1,0))))))
+(E$97=5)*IF(E$257&lt;blyc_5enf_seuil6,6,IF(E$257&lt;blyc_5enf_seuil5,5,IF(E$257&lt;blyc_5enf_seuil4,4,IF(E$257&lt;blyc_5enf_seuil3,3,IF(E$257&lt;blyc_1enf_seuil2,2,IF(E$257&lt;blyc_1enf_seuil1,1,0))))))
+(E$97=6)*IF(E$257&lt;blyc_6enf_seuil6,6,IF(E$257&lt;blyc_6enf_seuil5,5,IF(E$257&lt;blyc_6enf_seuil4,4,IF(E$257&lt;blyc_6enf_seuil3,3,IF(E$257&lt;blyc_6enf_seuil2,2,IF(E$257&lt;blyc_1enf_seuil1,1,0))))))</f>
        <v>0</v>
      </c>
      <c r="F258" s="262">
        <f>(F$97=1)*IF(F$257&lt;blyc_1enf_seuil6,6,IF(F$257&lt;blyc_1enf_seuil5,5,IF(F$257&lt;blyc_1enf_seuil4,4,IF(F$257&lt;blyc_1enf_seuil3,3,IF(F$257&lt;blyc_1enf_seuil2,2,IF(F$257&lt;blyc_1enf_seuil1,1,0))))))
+(F$97=2)*IF(F$257&lt;blyc_2enf_seuil6,6,IF(F$257&lt;blyc_2enf_seuil5,5,IF(F$257&lt;blyc_2enf_seuil4,4,IF(F$257&lt;blyc_2enf_seuil3,3,IF(F$257&lt;blyc_2enf_seuil2,2,IF(F$257&lt;blyc_1enf_seuil1,1,0))))))
+(F$97=3)*IF(F$257&lt;blyc_3enf_seuil6,6,IF(F$257&lt;blyc_3enf_seuil5,5,IF(F$257&lt;blyc_3enf_seuil4,4,IF(F$257&lt;blyc_3enf_seuil3,3,IF(F$257&lt;blyc_3enf_seuil2,2,IF(F$257&lt;blyc_1enf_seuil1,1,0))))))
+(F$97=4)*IF(F$257&lt;blyc_4enf_seuil6,6,IF(F$257&lt;blyc_4enf_seuil5,5,IF(F$257&lt;blyc_4enf_seuil4,4,IF(F$257&lt;blyc_4enf_seuil3,3,IF(F$257&lt;blyc_4enf_seuil2,2,IF(F$257&lt;blyc_1enf_seuil1,1,0))))))
+(F$97=5)*IF(F$257&lt;blyc_5enf_seuil6,6,IF(F$257&lt;blyc_5enf_seuil5,5,IF(F$257&lt;blyc_5enf_seuil4,4,IF(F$257&lt;blyc_5enf_seuil3,3,IF(F$257&lt;blyc_1enf_seuil2,2,IF(F$257&lt;blyc_1enf_seuil1,1,0))))))
+(F$97=6)*IF(F$257&lt;blyc_6enf_seuil6,6,IF(F$257&lt;blyc_6enf_seuil5,5,IF(F$257&lt;blyc_6enf_seuil4,4,IF(F$257&lt;blyc_6enf_seuil3,3,IF(F$257&lt;blyc_6enf_seuil2,2,IF(F$257&lt;blyc_1enf_seuil1,1,0))))))</f>
        <v>0</v>
      </c>
      <c r="H258" s="262">
        <f>(H$97=1)*IF(H$257&lt;blyc_1enf_seuil6,6,IF(H$257&lt;blyc_1enf_seuil5,5,IF(H$257&lt;blyc_1enf_seuil4,4,IF(H$257&lt;blyc_1enf_seuil3,3,IF(H$257&lt;blyc_1enf_seuil2,2,IF(H$257&lt;blyc_1enf_seuil1,1,0))))))
+(H$97=2)*IF(H$257&lt;blyc_2enf_seuil6,6,IF(H$257&lt;blyc_2enf_seuil5,5,IF(H$257&lt;blyc_2enf_seuil4,4,IF(H$257&lt;blyc_2enf_seuil3,3,IF(H$257&lt;blyc_2enf_seuil2,2,IF(H$257&lt;blyc_1enf_seuil1,1,0))))))
+(H$97=3)*IF(H$257&lt;blyc_3enf_seuil6,6,IF(H$257&lt;blyc_3enf_seuil5,5,IF(H$257&lt;blyc_3enf_seuil4,4,IF(H$257&lt;blyc_3enf_seuil3,3,IF(H$257&lt;blyc_3enf_seuil2,2,IF(H$257&lt;blyc_1enf_seuil1,1,0))))))
+(H$97=4)*IF(H$257&lt;blyc_4enf_seuil6,6,IF(H$257&lt;blyc_4enf_seuil5,5,IF(H$257&lt;blyc_4enf_seuil4,4,IF(H$257&lt;blyc_4enf_seuil3,3,IF(H$257&lt;blyc_4enf_seuil2,2,IF(H$257&lt;blyc_1enf_seuil1,1,0))))))
+(H$97=5)*IF(H$257&lt;blyc_5enf_seuil6,6,IF(H$257&lt;blyc_5enf_seuil5,5,IF(H$257&lt;blyc_5enf_seuil4,4,IF(H$257&lt;blyc_5enf_seuil3,3,IF(H$257&lt;blyc_1enf_seuil2,2,IF(H$257&lt;blyc_1enf_seuil1,1,0))))))
+(H$97=6)*IF(H$257&lt;blyc_6enf_seuil6,6,IF(H$257&lt;blyc_6enf_seuil5,5,IF(H$257&lt;blyc_6enf_seuil4,4,IF(H$257&lt;blyc_6enf_seuil3,3,IF(H$257&lt;blyc_6enf_seuil2,2,IF(H$257&lt;blyc_1enf_seuil1,1,0))))))</f>
        <v>6</v>
      </c>
      <c r="I258" s="262">
        <f>(I$97=1)*IF(I$257&lt;blyc_1enf_seuil6,6,IF(I$257&lt;blyc_1enf_seuil5,5,IF(I$257&lt;blyc_1enf_seuil4,4,IF(I$257&lt;blyc_1enf_seuil3,3,IF(I$257&lt;blyc_1enf_seuil2,2,IF(I$257&lt;blyc_1enf_seuil1,1,0))))))
+(I$97=2)*IF(I$257&lt;blyc_2enf_seuil6,6,IF(I$257&lt;blyc_2enf_seuil5,5,IF(I$257&lt;blyc_2enf_seuil4,4,IF(I$257&lt;blyc_2enf_seuil3,3,IF(I$257&lt;blyc_2enf_seuil2,2,IF(I$257&lt;blyc_1enf_seuil1,1,0))))))
+(I$97=3)*IF(I$257&lt;blyc_3enf_seuil6,6,IF(I$257&lt;blyc_3enf_seuil5,5,IF(I$257&lt;blyc_3enf_seuil4,4,IF(I$257&lt;blyc_3enf_seuil3,3,IF(I$257&lt;blyc_3enf_seuil2,2,IF(I$257&lt;blyc_1enf_seuil1,1,0))))))
+(I$97=4)*IF(I$257&lt;blyc_4enf_seuil6,6,IF(I$257&lt;blyc_4enf_seuil5,5,IF(I$257&lt;blyc_4enf_seuil4,4,IF(I$257&lt;blyc_4enf_seuil3,3,IF(I$257&lt;blyc_4enf_seuil2,2,IF(I$257&lt;blyc_1enf_seuil1,1,0))))))
+(I$97=5)*IF(I$257&lt;blyc_5enf_seuil6,6,IF(I$257&lt;blyc_5enf_seuil5,5,IF(I$257&lt;blyc_5enf_seuil4,4,IF(I$257&lt;blyc_5enf_seuil3,3,IF(I$257&lt;blyc_1enf_seuil2,2,IF(I$257&lt;blyc_1enf_seuil1,1,0))))))
+(I$97=6)*IF(I$257&lt;blyc_6enf_seuil6,6,IF(I$257&lt;blyc_6enf_seuil5,5,IF(I$257&lt;blyc_6enf_seuil4,4,IF(I$257&lt;blyc_6enf_seuil3,3,IF(I$257&lt;blyc_6enf_seuil2,2,IF(I$257&lt;blyc_1enf_seuil1,1,0))))))</f>
        <v>5</v>
      </c>
      <c r="J258" s="262">
        <f>(J$97=1)*IF(J$257&lt;blyc_1enf_seuil6,6,IF(J$257&lt;blyc_1enf_seuil5,5,IF(J$257&lt;blyc_1enf_seuil4,4,IF(J$257&lt;blyc_1enf_seuil3,3,IF(J$257&lt;blyc_1enf_seuil2,2,IF(J$257&lt;blyc_1enf_seuil1,1,0))))))
+(J$97=2)*IF(J$257&lt;blyc_2enf_seuil6,6,IF(J$257&lt;blyc_2enf_seuil5,5,IF(J$257&lt;blyc_2enf_seuil4,4,IF(J$257&lt;blyc_2enf_seuil3,3,IF(J$257&lt;blyc_2enf_seuil2,2,IF(J$257&lt;blyc_1enf_seuil1,1,0))))))
+(J$97=3)*IF(J$257&lt;blyc_3enf_seuil6,6,IF(J$257&lt;blyc_3enf_seuil5,5,IF(J$257&lt;blyc_3enf_seuil4,4,IF(J$257&lt;blyc_3enf_seuil3,3,IF(J$257&lt;blyc_3enf_seuil2,2,IF(J$257&lt;blyc_1enf_seuil1,1,0))))))
+(J$97=4)*IF(J$257&lt;blyc_4enf_seuil6,6,IF(J$257&lt;blyc_4enf_seuil5,5,IF(J$257&lt;blyc_4enf_seuil4,4,IF(J$257&lt;blyc_4enf_seuil3,3,IF(J$257&lt;blyc_4enf_seuil2,2,IF(J$257&lt;blyc_1enf_seuil1,1,0))))))
+(J$97=5)*IF(J$257&lt;blyc_5enf_seuil6,6,IF(J$257&lt;blyc_5enf_seuil5,5,IF(J$257&lt;blyc_5enf_seuil4,4,IF(J$257&lt;blyc_5enf_seuil3,3,IF(J$257&lt;blyc_1enf_seuil2,2,IF(J$257&lt;blyc_1enf_seuil1,1,0))))))
+(J$97=6)*IF(J$257&lt;blyc_6enf_seuil6,6,IF(J$257&lt;blyc_6enf_seuil5,5,IF(J$257&lt;blyc_6enf_seuil4,4,IF(J$257&lt;blyc_6enf_seuil3,3,IF(J$257&lt;blyc_6enf_seuil2,2,IF(J$257&lt;blyc_1enf_seuil1,1,0))))))</f>
        <v>3</v>
      </c>
      <c r="K258" s="262">
        <f>(K$97=1)*IF(K$257&lt;blyc_1enf_seuil6,6,IF(K$257&lt;blyc_1enf_seuil5,5,IF(K$257&lt;blyc_1enf_seuil4,4,IF(K$257&lt;blyc_1enf_seuil3,3,IF(K$257&lt;blyc_1enf_seuil2,2,IF(K$257&lt;blyc_1enf_seuil1,1,0))))))
+(K$97=2)*IF(K$257&lt;blyc_2enf_seuil6,6,IF(K$257&lt;blyc_2enf_seuil5,5,IF(K$257&lt;blyc_2enf_seuil4,4,IF(K$257&lt;blyc_2enf_seuil3,3,IF(K$257&lt;blyc_2enf_seuil2,2,IF(K$257&lt;blyc_1enf_seuil1,1,0))))))
+(K$97=3)*IF(K$257&lt;blyc_3enf_seuil6,6,IF(K$257&lt;blyc_3enf_seuil5,5,IF(K$257&lt;blyc_3enf_seuil4,4,IF(K$257&lt;blyc_3enf_seuil3,3,IF(K$257&lt;blyc_3enf_seuil2,2,IF(K$257&lt;blyc_1enf_seuil1,1,0))))))
+(K$97=4)*IF(K$257&lt;blyc_4enf_seuil6,6,IF(K$257&lt;blyc_4enf_seuil5,5,IF(K$257&lt;blyc_4enf_seuil4,4,IF(K$257&lt;blyc_4enf_seuil3,3,IF(K$257&lt;blyc_4enf_seuil2,2,IF(K$257&lt;blyc_1enf_seuil1,1,0))))))
+(K$97=5)*IF(K$257&lt;blyc_5enf_seuil6,6,IF(K$257&lt;blyc_5enf_seuil5,5,IF(K$257&lt;blyc_5enf_seuil4,4,IF(K$257&lt;blyc_5enf_seuil3,3,IF(K$257&lt;blyc_1enf_seuil2,2,IF(K$257&lt;blyc_1enf_seuil1,1,0))))))
+(K$97=6)*IF(K$257&lt;blyc_6enf_seuil6,6,IF(K$257&lt;blyc_6enf_seuil5,5,IF(K$257&lt;blyc_6enf_seuil4,4,IF(K$257&lt;blyc_6enf_seuil3,3,IF(K$257&lt;blyc_6enf_seuil2,2,IF(K$257&lt;blyc_1enf_seuil1,1,0))))))</f>
        <v>1</v>
      </c>
      <c r="M258" s="262">
        <f>(M$97=1)*IF(M$257&lt;blyc_1enf_seuil6,6,IF(M$257&lt;blyc_1enf_seuil5,5,IF(M$257&lt;blyc_1enf_seuil4,4,IF(M$257&lt;blyc_1enf_seuil3,3,IF(M$257&lt;blyc_1enf_seuil2,2,IF(M$257&lt;blyc_1enf_seuil1,1,0))))))
+(M$97=2)*IF(M$257&lt;blyc_2enf_seuil6,6,IF(M$257&lt;blyc_2enf_seuil5,5,IF(M$257&lt;blyc_2enf_seuil4,4,IF(M$257&lt;blyc_2enf_seuil3,3,IF(M$257&lt;blyc_2enf_seuil2,2,IF(M$257&lt;blyc_1enf_seuil1,1,0))))))
+(M$97=3)*IF(M$257&lt;blyc_3enf_seuil6,6,IF(M$257&lt;blyc_3enf_seuil5,5,IF(M$257&lt;blyc_3enf_seuil4,4,IF(M$257&lt;blyc_3enf_seuil3,3,IF(M$257&lt;blyc_3enf_seuil2,2,IF(M$257&lt;blyc_1enf_seuil1,1,0))))))
+(M$97=4)*IF(M$257&lt;blyc_4enf_seuil6,6,IF(M$257&lt;blyc_4enf_seuil5,5,IF(M$257&lt;blyc_4enf_seuil4,4,IF(M$257&lt;blyc_4enf_seuil3,3,IF(M$257&lt;blyc_4enf_seuil2,2,IF(M$257&lt;blyc_1enf_seuil1,1,0))))))
+(M$97=5)*IF(M$257&lt;blyc_5enf_seuil6,6,IF(M$257&lt;blyc_5enf_seuil5,5,IF(M$257&lt;blyc_5enf_seuil4,4,IF(M$257&lt;blyc_5enf_seuil3,3,IF(M$257&lt;blyc_1enf_seuil2,2,IF(M$257&lt;blyc_1enf_seuil1,1,0))))))
+(M$97=6)*IF(M$257&lt;blyc_6enf_seuil6,6,IF(M$257&lt;blyc_6enf_seuil5,5,IF(M$257&lt;blyc_6enf_seuil4,4,IF(M$257&lt;blyc_6enf_seuil3,3,IF(M$257&lt;blyc_6enf_seuil2,2,IF(M$257&lt;blyc_1enf_seuil1,1,0))))))</f>
        <v>6</v>
      </c>
      <c r="N258" s="262">
        <f>(N$97=1)*IF(N$257&lt;blyc_1enf_seuil6,6,IF(N$257&lt;blyc_1enf_seuil5,5,IF(N$257&lt;blyc_1enf_seuil4,4,IF(N$257&lt;blyc_1enf_seuil3,3,IF(N$257&lt;blyc_1enf_seuil2,2,IF(N$257&lt;blyc_1enf_seuil1,1,0))))))
+(N$97=2)*IF(N$257&lt;blyc_2enf_seuil6,6,IF(N$257&lt;blyc_2enf_seuil5,5,IF(N$257&lt;blyc_2enf_seuil4,4,IF(N$257&lt;blyc_2enf_seuil3,3,IF(N$257&lt;blyc_2enf_seuil2,2,IF(N$257&lt;blyc_1enf_seuil1,1,0))))))
+(N$97=3)*IF(N$257&lt;blyc_3enf_seuil6,6,IF(N$257&lt;blyc_3enf_seuil5,5,IF(N$257&lt;blyc_3enf_seuil4,4,IF(N$257&lt;blyc_3enf_seuil3,3,IF(N$257&lt;blyc_3enf_seuil2,2,IF(N$257&lt;blyc_1enf_seuil1,1,0))))))
+(N$97=4)*IF(N$257&lt;blyc_4enf_seuil6,6,IF(N$257&lt;blyc_4enf_seuil5,5,IF(N$257&lt;blyc_4enf_seuil4,4,IF(N$257&lt;blyc_4enf_seuil3,3,IF(N$257&lt;blyc_4enf_seuil2,2,IF(N$257&lt;blyc_1enf_seuil1,1,0))))))
+(N$97=5)*IF(N$257&lt;blyc_5enf_seuil6,6,IF(N$257&lt;blyc_5enf_seuil5,5,IF(N$257&lt;blyc_5enf_seuil4,4,IF(N$257&lt;blyc_5enf_seuil3,3,IF(N$257&lt;blyc_1enf_seuil2,2,IF(N$257&lt;blyc_1enf_seuil1,1,0))))))
+(N$97=6)*IF(N$257&lt;blyc_6enf_seuil6,6,IF(N$257&lt;blyc_6enf_seuil5,5,IF(N$257&lt;blyc_6enf_seuil4,4,IF(N$257&lt;blyc_6enf_seuil3,3,IF(N$257&lt;blyc_6enf_seuil2,2,IF(N$257&lt;blyc_1enf_seuil1,1,0))))))</f>
        <v>5</v>
      </c>
      <c r="O258" s="262">
        <f>(O$97=1)*IF(O$257&lt;blyc_1enf_seuil6,6,IF(O$257&lt;blyc_1enf_seuil5,5,IF(O$257&lt;blyc_1enf_seuil4,4,IF(O$257&lt;blyc_1enf_seuil3,3,IF(O$257&lt;blyc_1enf_seuil2,2,IF(O$257&lt;blyc_1enf_seuil1,1,0))))))
+(O$97=2)*IF(O$257&lt;blyc_2enf_seuil6,6,IF(O$257&lt;blyc_2enf_seuil5,5,IF(O$257&lt;blyc_2enf_seuil4,4,IF(O$257&lt;blyc_2enf_seuil3,3,IF(O$257&lt;blyc_2enf_seuil2,2,IF(O$257&lt;blyc_1enf_seuil1,1,0))))))
+(O$97=3)*IF(O$257&lt;blyc_3enf_seuil6,6,IF(O$257&lt;blyc_3enf_seuil5,5,IF(O$257&lt;blyc_3enf_seuil4,4,IF(O$257&lt;blyc_3enf_seuil3,3,IF(O$257&lt;blyc_3enf_seuil2,2,IF(O$257&lt;blyc_1enf_seuil1,1,0))))))
+(O$97=4)*IF(O$257&lt;blyc_4enf_seuil6,6,IF(O$257&lt;blyc_4enf_seuil5,5,IF(O$257&lt;blyc_4enf_seuil4,4,IF(O$257&lt;blyc_4enf_seuil3,3,IF(O$257&lt;blyc_4enf_seuil2,2,IF(O$257&lt;blyc_1enf_seuil1,1,0))))))
+(O$97=5)*IF(O$257&lt;blyc_5enf_seuil6,6,IF(O$257&lt;blyc_5enf_seuil5,5,IF(O$257&lt;blyc_5enf_seuil4,4,IF(O$257&lt;blyc_5enf_seuil3,3,IF(O$257&lt;blyc_1enf_seuil2,2,IF(O$257&lt;blyc_1enf_seuil1,1,0))))))
+(O$97=6)*IF(O$257&lt;blyc_6enf_seuil6,6,IF(O$257&lt;blyc_6enf_seuil5,5,IF(O$257&lt;blyc_6enf_seuil4,4,IF(O$257&lt;blyc_6enf_seuil3,3,IF(O$257&lt;blyc_6enf_seuil2,2,IF(O$257&lt;blyc_1enf_seuil1,1,0))))))</f>
        <v>3</v>
      </c>
      <c r="P258" s="262">
        <f>(P$97=1)*IF(P$257&lt;blyc_1enf_seuil6,6,IF(P$257&lt;blyc_1enf_seuil5,5,IF(P$257&lt;blyc_1enf_seuil4,4,IF(P$257&lt;blyc_1enf_seuil3,3,IF(P$257&lt;blyc_1enf_seuil2,2,IF(P$257&lt;blyc_1enf_seuil1,1,0))))))
+(P$97=2)*IF(P$257&lt;blyc_2enf_seuil6,6,IF(P$257&lt;blyc_2enf_seuil5,5,IF(P$257&lt;blyc_2enf_seuil4,4,IF(P$257&lt;blyc_2enf_seuil3,3,IF(P$257&lt;blyc_2enf_seuil2,2,IF(P$257&lt;blyc_1enf_seuil1,1,0))))))
+(P$97=3)*IF(P$257&lt;blyc_3enf_seuil6,6,IF(P$257&lt;blyc_3enf_seuil5,5,IF(P$257&lt;blyc_3enf_seuil4,4,IF(P$257&lt;blyc_3enf_seuil3,3,IF(P$257&lt;blyc_3enf_seuil2,2,IF(P$257&lt;blyc_1enf_seuil1,1,0))))))
+(P$97=4)*IF(P$257&lt;blyc_4enf_seuil6,6,IF(P$257&lt;blyc_4enf_seuil5,5,IF(P$257&lt;blyc_4enf_seuil4,4,IF(P$257&lt;blyc_4enf_seuil3,3,IF(P$257&lt;blyc_4enf_seuil2,2,IF(P$257&lt;blyc_1enf_seuil1,1,0))))))
+(P$97=5)*IF(P$257&lt;blyc_5enf_seuil6,6,IF(P$257&lt;blyc_5enf_seuil5,5,IF(P$257&lt;blyc_5enf_seuil4,4,IF(P$257&lt;blyc_5enf_seuil3,3,IF(P$257&lt;blyc_1enf_seuil2,2,IF(P$257&lt;blyc_1enf_seuil1,1,0))))))
+(P$97=6)*IF(P$257&lt;blyc_6enf_seuil6,6,IF(P$257&lt;blyc_6enf_seuil5,5,IF(P$257&lt;blyc_6enf_seuil4,4,IF(P$257&lt;blyc_6enf_seuil3,3,IF(P$257&lt;blyc_6enf_seuil2,2,IF(P$257&lt;blyc_1enf_seuil1,1,0))))))</f>
        <v>1</v>
      </c>
      <c r="R258" s="262">
        <f>(R$97=1)*IF(R$257&lt;blyc_1enf_seuil6,6,IF(R$257&lt;blyc_1enf_seuil5,5,IF(R$257&lt;blyc_1enf_seuil4,4,IF(R$257&lt;blyc_1enf_seuil3,3,IF(R$257&lt;blyc_1enf_seuil2,2,IF(R$257&lt;blyc_1enf_seuil1,1,0))))))
+(R$97=2)*IF(R$257&lt;blyc_2enf_seuil6,6,IF(R$257&lt;blyc_2enf_seuil5,5,IF(R$257&lt;blyc_2enf_seuil4,4,IF(R$257&lt;blyc_2enf_seuil3,3,IF(R$257&lt;blyc_2enf_seuil2,2,IF(R$257&lt;blyc_1enf_seuil1,1,0))))))
+(R$97=3)*IF(R$257&lt;blyc_3enf_seuil6,6,IF(R$257&lt;blyc_3enf_seuil5,5,IF(R$257&lt;blyc_3enf_seuil4,4,IF(R$257&lt;blyc_3enf_seuil3,3,IF(R$257&lt;blyc_3enf_seuil2,2,IF(R$257&lt;blyc_1enf_seuil1,1,0))))))
+(R$97=4)*IF(R$257&lt;blyc_4enf_seuil6,6,IF(R$257&lt;blyc_4enf_seuil5,5,IF(R$257&lt;blyc_4enf_seuil4,4,IF(R$257&lt;blyc_4enf_seuil3,3,IF(R$257&lt;blyc_4enf_seuil2,2,IF(R$257&lt;blyc_1enf_seuil1,1,0))))))
+(R$97=5)*IF(R$257&lt;blyc_5enf_seuil6,6,IF(R$257&lt;blyc_5enf_seuil5,5,IF(R$257&lt;blyc_5enf_seuil4,4,IF(R$257&lt;blyc_5enf_seuil3,3,IF(R$257&lt;blyc_1enf_seuil2,2,IF(R$257&lt;blyc_1enf_seuil1,1,0))))))
+(R$97=6)*IF(R$257&lt;blyc_6enf_seuil6,6,IF(R$257&lt;blyc_6enf_seuil5,5,IF(R$257&lt;blyc_6enf_seuil4,4,IF(R$257&lt;blyc_6enf_seuil3,3,IF(R$257&lt;blyc_6enf_seuil2,2,IF(R$257&lt;blyc_1enf_seuil1,1,0))))))</f>
        <v>6</v>
      </c>
      <c r="S258" s="262">
        <f>(S$97=1)*IF(S$257&lt;blyc_1enf_seuil6,6,IF(S$257&lt;blyc_1enf_seuil5,5,IF(S$257&lt;blyc_1enf_seuil4,4,IF(S$257&lt;blyc_1enf_seuil3,3,IF(S$257&lt;blyc_1enf_seuil2,2,IF(S$257&lt;blyc_1enf_seuil1,1,0))))))
+(S$97=2)*IF(S$257&lt;blyc_2enf_seuil6,6,IF(S$257&lt;blyc_2enf_seuil5,5,IF(S$257&lt;blyc_2enf_seuil4,4,IF(S$257&lt;blyc_2enf_seuil3,3,IF(S$257&lt;blyc_2enf_seuil2,2,IF(S$257&lt;blyc_1enf_seuil1,1,0))))))
+(S$97=3)*IF(S$257&lt;blyc_3enf_seuil6,6,IF(S$257&lt;blyc_3enf_seuil5,5,IF(S$257&lt;blyc_3enf_seuil4,4,IF(S$257&lt;blyc_3enf_seuil3,3,IF(S$257&lt;blyc_3enf_seuil2,2,IF(S$257&lt;blyc_1enf_seuil1,1,0))))))
+(S$97=4)*IF(S$257&lt;blyc_4enf_seuil6,6,IF(S$257&lt;blyc_4enf_seuil5,5,IF(S$257&lt;blyc_4enf_seuil4,4,IF(S$257&lt;blyc_4enf_seuil3,3,IF(S$257&lt;blyc_4enf_seuil2,2,IF(S$257&lt;blyc_1enf_seuil1,1,0))))))
+(S$97=5)*IF(S$257&lt;blyc_5enf_seuil6,6,IF(S$257&lt;blyc_5enf_seuil5,5,IF(S$257&lt;blyc_5enf_seuil4,4,IF(S$257&lt;blyc_5enf_seuil3,3,IF(S$257&lt;blyc_1enf_seuil2,2,IF(S$257&lt;blyc_1enf_seuil1,1,0))))))
+(S$97=6)*IF(S$257&lt;blyc_6enf_seuil6,6,IF(S$257&lt;blyc_6enf_seuil5,5,IF(S$257&lt;blyc_6enf_seuil4,4,IF(S$257&lt;blyc_6enf_seuil3,3,IF(S$257&lt;blyc_6enf_seuil2,2,IF(S$257&lt;blyc_1enf_seuil1,1,0))))))</f>
        <v>5</v>
      </c>
      <c r="T258" s="262">
        <f>(T$97=1)*IF(T$257&lt;blyc_1enf_seuil6,6,IF(T$257&lt;blyc_1enf_seuil5,5,IF(T$257&lt;blyc_1enf_seuil4,4,IF(T$257&lt;blyc_1enf_seuil3,3,IF(T$257&lt;blyc_1enf_seuil2,2,IF(T$257&lt;blyc_1enf_seuil1,1,0))))))
+(T$97=2)*IF(T$257&lt;blyc_2enf_seuil6,6,IF(T$257&lt;blyc_2enf_seuil5,5,IF(T$257&lt;blyc_2enf_seuil4,4,IF(T$257&lt;blyc_2enf_seuil3,3,IF(T$257&lt;blyc_2enf_seuil2,2,IF(T$257&lt;blyc_1enf_seuil1,1,0))))))
+(T$97=3)*IF(T$257&lt;blyc_3enf_seuil6,6,IF(T$257&lt;blyc_3enf_seuil5,5,IF(T$257&lt;blyc_3enf_seuil4,4,IF(T$257&lt;blyc_3enf_seuil3,3,IF(T$257&lt;blyc_3enf_seuil2,2,IF(T$257&lt;blyc_1enf_seuil1,1,0))))))
+(T$97=4)*IF(T$257&lt;blyc_4enf_seuil6,6,IF(T$257&lt;blyc_4enf_seuil5,5,IF(T$257&lt;blyc_4enf_seuil4,4,IF(T$257&lt;blyc_4enf_seuil3,3,IF(T$257&lt;blyc_4enf_seuil2,2,IF(T$257&lt;blyc_1enf_seuil1,1,0))))))
+(T$97=5)*IF(T$257&lt;blyc_5enf_seuil6,6,IF(T$257&lt;blyc_5enf_seuil5,5,IF(T$257&lt;blyc_5enf_seuil4,4,IF(T$257&lt;blyc_5enf_seuil3,3,IF(T$257&lt;blyc_1enf_seuil2,2,IF(T$257&lt;blyc_1enf_seuil1,1,0))))))
+(T$97=6)*IF(T$257&lt;blyc_6enf_seuil6,6,IF(T$257&lt;blyc_6enf_seuil5,5,IF(T$257&lt;blyc_6enf_seuil4,4,IF(T$257&lt;blyc_6enf_seuil3,3,IF(T$257&lt;blyc_6enf_seuil2,2,IF(T$257&lt;blyc_1enf_seuil1,1,0))))))</f>
        <v>4</v>
      </c>
      <c r="U258" s="262">
        <f>(U$97=1)*IF(U$257&lt;blyc_1enf_seuil6,6,IF(U$257&lt;blyc_1enf_seuil5,5,IF(U$257&lt;blyc_1enf_seuil4,4,IF(U$257&lt;blyc_1enf_seuil3,3,IF(U$257&lt;blyc_1enf_seuil2,2,IF(U$257&lt;blyc_1enf_seuil1,1,0))))))
+(U$97=2)*IF(U$257&lt;blyc_2enf_seuil6,6,IF(U$257&lt;blyc_2enf_seuil5,5,IF(U$257&lt;blyc_2enf_seuil4,4,IF(U$257&lt;blyc_2enf_seuil3,3,IF(U$257&lt;blyc_2enf_seuil2,2,IF(U$257&lt;blyc_1enf_seuil1,1,0))))))
+(U$97=3)*IF(U$257&lt;blyc_3enf_seuil6,6,IF(U$257&lt;blyc_3enf_seuil5,5,IF(U$257&lt;blyc_3enf_seuil4,4,IF(U$257&lt;blyc_3enf_seuil3,3,IF(U$257&lt;blyc_3enf_seuil2,2,IF(U$257&lt;blyc_1enf_seuil1,1,0))))))
+(U$97=4)*IF(U$257&lt;blyc_4enf_seuil6,6,IF(U$257&lt;blyc_4enf_seuil5,5,IF(U$257&lt;blyc_4enf_seuil4,4,IF(U$257&lt;blyc_4enf_seuil3,3,IF(U$257&lt;blyc_4enf_seuil2,2,IF(U$257&lt;blyc_1enf_seuil1,1,0))))))
+(U$97=5)*IF(U$257&lt;blyc_5enf_seuil6,6,IF(U$257&lt;blyc_5enf_seuil5,5,IF(U$257&lt;blyc_5enf_seuil4,4,IF(U$257&lt;blyc_5enf_seuil3,3,IF(U$257&lt;blyc_1enf_seuil2,2,IF(U$257&lt;blyc_1enf_seuil1,1,0))))))
+(U$97=6)*IF(U$257&lt;blyc_6enf_seuil6,6,IF(U$257&lt;blyc_6enf_seuil5,5,IF(U$257&lt;blyc_6enf_seuil4,4,IF(U$257&lt;blyc_6enf_seuil3,3,IF(U$257&lt;blyc_6enf_seuil2,2,IF(U$257&lt;blyc_1enf_seuil1,1,0))))))</f>
        <v>2</v>
      </c>
    </row>
    <row r="259" spans="1:21" ht="13" hidden="1" thickBot="1" x14ac:dyDescent="0.3">
      <c r="A259" s="279" t="s">
        <v>320</v>
      </c>
      <c r="B259" s="277"/>
      <c r="C259" s="266">
        <f>(C258=1)*blyc_montant_ech1+(C258=2)*blyc_montant_ech2+(C258=3)*blyc_montant_ech3+(C258=4)*blyc_montant_ech4+(C258=5)*blyc_montant_ech5+(C258=6)*blyc_montant_ech6</f>
        <v>0</v>
      </c>
      <c r="D259" s="266">
        <f>(D258=1)*blyc_montant_ech1+(D258=2)*blyc_montant_ech2+(D258=3)*blyc_montant_ech3+(D258=4)*blyc_montant_ech4+(D258=5)*blyc_montant_ech5+(D258=6)*blyc_montant_ech6</f>
        <v>0</v>
      </c>
      <c r="E259" s="266">
        <f>(E258=1)*blyc_montant_ech1+(E258=2)*blyc_montant_ech2+(E258=3)*blyc_montant_ech3+(E258=4)*blyc_montant_ech4+(E258=5)*blyc_montant_ech5+(E258=6)*blyc_montant_ech6</f>
        <v>0</v>
      </c>
      <c r="F259" s="266">
        <f>(F258=1)*blyc_montant_ech1+(F258=2)*blyc_montant_ech2+(F258=3)*blyc_montant_ech3+(F258=4)*blyc_montant_ech4+(F258=5)*blyc_montant_ech5+(F258=6)*blyc_montant_ech6</f>
        <v>0</v>
      </c>
      <c r="H259" s="266">
        <f>(H258=1)*blyc_montant_ech1+(H258=2)*blyc_montant_ech2+(H258=3)*blyc_montant_ech3+(H258=4)*blyc_montant_ech4+(H258=5)*blyc_montant_ech5+(H258=6)*blyc_montant_ech6</f>
        <v>1008</v>
      </c>
      <c r="I259" s="266">
        <f>(I258=1)*blyc_montant_ech1+(I258=2)*blyc_montant_ech2+(I258=3)*blyc_montant_ech3+(I258=4)*blyc_montant_ech4+(I258=5)*blyc_montant_ech5+(I258=6)*blyc_montant_ech6</f>
        <v>897</v>
      </c>
      <c r="J259" s="266">
        <f>(J258=1)*blyc_montant_ech1+(J258=2)*blyc_montant_ech2+(J258=3)*blyc_montant_ech3+(J258=4)*blyc_montant_ech4+(J258=5)*blyc_montant_ech5+(J258=6)*blyc_montant_ech6</f>
        <v>687</v>
      </c>
      <c r="K259" s="266">
        <f>(K258=1)*blyc_montant_ech1+(K258=2)*blyc_montant_ech2+(K258=3)*blyc_montant_ech3+(K258=4)*blyc_montant_ech4+(K258=5)*blyc_montant_ech5+(K258=6)*blyc_montant_ech6</f>
        <v>474</v>
      </c>
      <c r="M259" s="266">
        <f>(M258=1)*blyc_montant_ech1+(M258=2)*blyc_montant_ech2+(M258=3)*blyc_montant_ech3+(M258=4)*blyc_montant_ech4+(M258=5)*blyc_montant_ech5+(M258=6)*blyc_montant_ech6</f>
        <v>1008</v>
      </c>
      <c r="N259" s="266">
        <f>(N258=1)*blyc_montant_ech1+(N258=2)*blyc_montant_ech2+(N258=3)*blyc_montant_ech3+(N258=4)*blyc_montant_ech4+(N258=5)*blyc_montant_ech5+(N258=6)*blyc_montant_ech6</f>
        <v>897</v>
      </c>
      <c r="O259" s="266">
        <f>(O258=1)*blyc_montant_ech1+(O258=2)*blyc_montant_ech2+(O258=3)*blyc_montant_ech3+(O258=4)*blyc_montant_ech4+(O258=5)*blyc_montant_ech5+(O258=6)*blyc_montant_ech6</f>
        <v>687</v>
      </c>
      <c r="P259" s="266">
        <f>(P258=1)*blyc_montant_ech1+(P258=2)*blyc_montant_ech2+(P258=3)*blyc_montant_ech3+(P258=4)*blyc_montant_ech4+(P258=5)*blyc_montant_ech5+(P258=6)*blyc_montant_ech6</f>
        <v>474</v>
      </c>
      <c r="R259" s="266">
        <f>(R258=1)*blyc_montant_ech1+(R258=2)*blyc_montant_ech2+(R258=3)*blyc_montant_ech3+(R258=4)*blyc_montant_ech4+(R258=5)*blyc_montant_ech5+(R258=6)*blyc_montant_ech6</f>
        <v>1008</v>
      </c>
      <c r="S259" s="266">
        <f>(S258=1)*blyc_montant_ech1+(S258=2)*blyc_montant_ech2+(S258=3)*blyc_montant_ech3+(S258=4)*blyc_montant_ech4+(S258=5)*blyc_montant_ech5+(S258=6)*blyc_montant_ech6</f>
        <v>897</v>
      </c>
      <c r="T259" s="266">
        <f>(T258=1)*blyc_montant_ech1+(T258=2)*blyc_montant_ech2+(T258=3)*blyc_montant_ech3+(T258=4)*blyc_montant_ech4+(T258=5)*blyc_montant_ech5+(T258=6)*blyc_montant_ech6</f>
        <v>792</v>
      </c>
      <c r="U259" s="266">
        <f>(U258=1)*blyc_montant_ech1+(U258=2)*blyc_montant_ech2+(U258=3)*blyc_montant_ech3+(U258=4)*blyc_montant_ech4+(U258=5)*blyc_montant_ech5+(U258=6)*blyc_montant_ech6</f>
        <v>582</v>
      </c>
    </row>
    <row r="260" spans="1:21" hidden="1" x14ac:dyDescent="0.25">
      <c r="A260" s="4"/>
      <c r="B260" s="260"/>
      <c r="C260" s="184"/>
      <c r="D260" s="184"/>
      <c r="E260" s="184"/>
      <c r="F260" s="184"/>
      <c r="H260" s="184"/>
      <c r="I260" s="184"/>
      <c r="J260" s="184"/>
      <c r="K260" s="184"/>
      <c r="M260" s="184"/>
      <c r="N260" s="184"/>
      <c r="O260" s="184"/>
      <c r="P260" s="184"/>
      <c r="R260" s="184"/>
      <c r="S260" s="184"/>
      <c r="T260" s="184"/>
      <c r="U260" s="184"/>
    </row>
    <row r="261" spans="1:21" ht="13.5" hidden="1" thickBot="1" x14ac:dyDescent="0.35">
      <c r="A261" s="295" t="s">
        <v>518</v>
      </c>
      <c r="C261" s="201"/>
      <c r="D261" s="201"/>
      <c r="E261" s="201"/>
      <c r="F261" s="201"/>
      <c r="H261" s="201"/>
      <c r="I261" s="201"/>
      <c r="J261" s="201"/>
      <c r="K261" s="201"/>
      <c r="M261" s="201"/>
      <c r="N261" s="201"/>
      <c r="O261" s="201"/>
      <c r="P261" s="201"/>
      <c r="R261" s="201"/>
      <c r="S261" s="201"/>
      <c r="T261" s="201"/>
      <c r="U261" s="201"/>
    </row>
    <row r="262" spans="1:21" ht="13.5" hidden="1" thickBot="1" x14ac:dyDescent="0.35">
      <c r="A262" s="286" t="s">
        <v>331</v>
      </c>
      <c r="B262" s="186"/>
      <c r="C262" s="347">
        <f>C257</f>
        <v>0</v>
      </c>
      <c r="D262" s="347">
        <f t="shared" ref="D262:F262" si="146">D257</f>
        <v>7105.035193964849</v>
      </c>
      <c r="E262" s="347">
        <f t="shared" si="146"/>
        <v>14210.070387929698</v>
      </c>
      <c r="F262" s="347">
        <f t="shared" si="146"/>
        <v>21315.10558189455</v>
      </c>
      <c r="H262" s="347">
        <f>H257</f>
        <v>0</v>
      </c>
      <c r="I262" s="347">
        <f t="shared" ref="I262:K262" si="147">I257</f>
        <v>7105.035193964849</v>
      </c>
      <c r="J262" s="347">
        <f t="shared" si="147"/>
        <v>14210.070387929698</v>
      </c>
      <c r="K262" s="347">
        <f t="shared" si="147"/>
        <v>21315.10558189455</v>
      </c>
      <c r="M262" s="347">
        <f>M257</f>
        <v>0</v>
      </c>
      <c r="N262" s="347">
        <f t="shared" ref="N262:P262" si="148">N257</f>
        <v>7105.035193964849</v>
      </c>
      <c r="O262" s="347">
        <f t="shared" si="148"/>
        <v>14210.070387929698</v>
      </c>
      <c r="P262" s="347">
        <f t="shared" si="148"/>
        <v>21315.10558189455</v>
      </c>
      <c r="R262" s="347">
        <f>R257</f>
        <v>0</v>
      </c>
      <c r="S262" s="347">
        <f t="shared" ref="S262:U262" si="149">S257</f>
        <v>7105.035193964849</v>
      </c>
      <c r="T262" s="347">
        <f t="shared" si="149"/>
        <v>14210.070387929698</v>
      </c>
      <c r="U262" s="347">
        <f t="shared" si="149"/>
        <v>21315.10558189455</v>
      </c>
    </row>
    <row r="263" spans="1:21" hidden="1" x14ac:dyDescent="0.25">
      <c r="A263" s="275" t="s">
        <v>367</v>
      </c>
      <c r="C263" s="262">
        <f>MAX(0,C97-1)</f>
        <v>0</v>
      </c>
      <c r="D263" s="262">
        <f t="shared" ref="D263:F263" si="150">MAX(0,D97-1)</f>
        <v>0</v>
      </c>
      <c r="E263" s="262">
        <f t="shared" si="150"/>
        <v>0</v>
      </c>
      <c r="F263" s="262">
        <f t="shared" si="150"/>
        <v>0</v>
      </c>
      <c r="H263" s="262">
        <f>MAX(0,H97-1)</f>
        <v>0</v>
      </c>
      <c r="I263" s="262">
        <f t="shared" ref="I263:K263" si="151">MAX(0,I97-1)</f>
        <v>0</v>
      </c>
      <c r="J263" s="262">
        <f t="shared" si="151"/>
        <v>0</v>
      </c>
      <c r="K263" s="262">
        <f t="shared" si="151"/>
        <v>0</v>
      </c>
      <c r="M263" s="262">
        <f>MAX(0,M97-1)</f>
        <v>1</v>
      </c>
      <c r="N263" s="262">
        <f t="shared" ref="N263:P263" si="152">MAX(0,N97-1)</f>
        <v>1</v>
      </c>
      <c r="O263" s="262">
        <f t="shared" si="152"/>
        <v>1</v>
      </c>
      <c r="P263" s="262">
        <f t="shared" si="152"/>
        <v>1</v>
      </c>
      <c r="R263" s="262">
        <f>MAX(0,R97-1)</f>
        <v>2</v>
      </c>
      <c r="S263" s="262">
        <f t="shared" ref="S263:U263" si="153">MAX(0,S97-1)</f>
        <v>2</v>
      </c>
      <c r="T263" s="262">
        <f t="shared" si="153"/>
        <v>2</v>
      </c>
      <c r="U263" s="262">
        <f t="shared" si="153"/>
        <v>2</v>
      </c>
    </row>
    <row r="264" spans="1:21" hidden="1" x14ac:dyDescent="0.25">
      <c r="A264" s="275" t="s">
        <v>321</v>
      </c>
      <c r="B264" s="185"/>
      <c r="C264" s="262">
        <f>(C$263=0)*IF(C$262&lt;bs_pc0_seuil1,7,IF(C$262&lt;bs_pc0_seuil2,6,IF(C$262&lt;bs_pc0_seuil3,5,IF(C$262&lt;bs_pc0_seuil4,4,IF(C$262&lt;bs_pc0_seuil5,3,IF(C$262&lt;bs_pc0_seuil6,2,IF(C$262&lt;bs_pc0_seuil7,1,IF(C$262&lt;bs_pc0_seuil8,0.5,0))))))))
+(C$263=1)*IF(C$262&lt;bs_pc1_seuil1,7,IF(C$262&lt;bs_pc1_seuil2,6,IF(C$262&lt;bs_pc1_seuil3,5,IF(C$262&lt;bs_pc1_seuil4,4,IF(C$262&lt;bs_pc1_seuil5,3,IF(C$262&lt;bs_pc1_seuil6,2,IF(C$262&lt;bs_pc1_seuil7,1,IF(C$262&lt;bs_pc1_seuil8,0.5,0))))))))
+(C$263=2)*IF(C$262&lt;bs_pc2_seuil1,7,IF(C$262&lt;bs_pc2_seuil2,6,IF(C$262&lt;bs_pc2_seuil3,5,IF(C$262&lt;bs_pc2_seuil4,4,IF(C$262&lt;bs_pc2_seuil5,3,IF(C$262&lt;bs_pc2_seuil6,2,IF(C$262&lt;bs_pc2_seuil7,1,IF(C$262&lt;bs_pc2_seuil8,0.5,0))))))))
+(C$263=3)*IF(C$262&lt;bs_pc3_seuil1,7,IF(C$262&lt;bs_pc3_seuil2,6,IF(C$262&lt;bs_pc3_seuil3,5,IF(C$262&lt;bs_pc3_seuil4,4,IF(C$262&lt;bs_pc3_seuil5,3,IF(C$262&lt;bs_pc3_seuil6,2,IF(C$262&lt;bs_pc3_seuil7,1,IF(C$262&lt;bs_pc3_seuil8,0.5,0))))))))
+(C$263=4)*IF(C$262&lt;bs_pc4_seuil1,7,IF(C$262&lt;bs_pc4_seuil2,6,IF(C$262&lt;bs_pc4_seuil3,5,IF(C$262&lt;bs_pc4_seuil4,4,IF(C$262&lt;bs_pc4_seuil5,3,IF(C$262&lt;bs_pc4_seuil6,2,IF(C$262&lt;bs_pc4_seuil7,1,IF(C$262&lt;bs_pc4_seuil8,0.5,0))))))))
+(C$263=5)*IF(C$262&lt;bs_pc5_seuil1,7,IF(C$262&lt;bs_pc5_seuil2,6,IF(C$262&lt;bs_pc5_seuil3,5,IF(C$262&lt;bs_pc5_seuil4,4,IF(C$262&lt;bs_pc5_seuil5,3,IF(C$262&lt;bs_pc5_seuil6,2,IF(C$262&lt;bs_pc5_seuil7,1,IF(C$262&lt;bs_pc5_seuil8,0.5,0))))))))
+(C$263=6)*IF(C$262&lt;bs_pc6_seuil1,7,IF(C$262&lt;bs_pc6_seuil2,6,IF(C$262&lt;bs_pc6_seuil3,5,IF(C$262&lt;bs_pc6_seuil4,4,IF(C$262&lt;bs_pc6_seuil5,3,IF(C$262&lt;bs_pc6_seuil6,2,IF(C$262&lt;bs_pc6_seuil7,1,IF(C$262&lt;bs_pc6_seuil8,0.5,0))))))))
+(C$263=7)*IF(C$262&lt;bs_pc7_seuil1,7,IF(C$262&lt;bs_pc7_seuil2,6,IF(C$262&lt;bs_pc7_seuil3,5,IF(C$262&lt;bs_pc7_seuil4,4,IF(C$262&lt;bs_pc7_seuil5,3,IF(C$262&lt;bs_pc7_seuil6,2,IF(C$262&lt;bs_pc7_seuil7,1,IF(C$262&lt;bs_pc7_seuil8,0.5,0))))))))
+(C$263=8)*IF(C$262&lt;bs_pc8_seuil1,7,IF(C$262&lt;bs_pc8_seuil2,6,IF(C$262&lt;bs_pc8_seuil3,5,IF(C$262&lt;bs_pc8_seuil4,4,IF(C$262&lt;bs_pc8_seuil5,3,IF(C$262&lt;bs_pc8_seuil6,2,IF(C$262&lt;bs_pc8_seuil7,1,IF(C$262&lt;bs_pc8_seuil8,0.5,0))))))))
+(C$263=9)*IF(C$262&lt;bs_pc9_seuil1,7,IF(C$262&lt;bs_pc9_seuil2,6,IF(C$262&lt;bs_pc9_seuil3,5,IF(C$262&lt;bs_pc9_seuil4,4,IF(C$262&lt;bs_pc9_seuil5,3,IF(C$262&lt;bs_pc9_seuil6,2,IF(C$262&lt;bs_pc9_seuil7,1,IF(C$262&lt;bs_pc9_seuil8,0.5,0))))))))
+(C$263=10)*IF(C$262&lt;bs_pc10_seuil1,7,IF(C$262&lt;bs_pc10_seuil2,6,IF(C$262&lt;bs_pc10_seuil3,5,IF(C$262&lt;bs_pc10_seuil4,4,IF(C$262&lt;bs_pc10_seuil5,3,IF(C$262&lt;bs_pc10_seuil6,2,IF(C$262&lt;bs_pc10_seuil7,1,IF(C$262&lt;bs_pc10_seuil8,0.5,0))))))))
+(C$263=11)*IF(C$262&lt;bs_pc11_seuil1,7,IF(C$262&lt;bs_pc11_seuil2,6,IF(C$262&lt;bs_pc11_seuil3,5,IF(C$262&lt;bs_pc11_seuil4,4,IF(C$262&lt;bs_pc11_seuil5,3,IF(C$262&lt;bs_pc11_seuil6,2,IF(C$262&lt;bs_pc11_seuil7,1,IF(C$262&lt;bs_pc11_seuil8,0.5,0))))))))
+(C$263=12)*IF(C$262&lt;bs_pc12_seuil1,7,IF(C$262&lt;bs_pc12_seuil2,6,IF(C$262&lt;bs_pc12_seuil3,5,IF(C$262&lt;bs_pc12_seuil4,4,IF(C$262&lt;bs_pc12_seuil5,3,IF(C$262&lt;bs_pc12_seuil6,2,IF(C$262&lt;bs_pc12_seuil7,1,IF(C$262&lt;bs_pc12_seuil8,0.5,0))))))))
+(C$263=13)*IF(C$262&lt;bs_pc13_seuil1,7,IF(C$262&lt;bs_pc13_seuil2,6,IF(C$262&lt;bs_pc13_seuil3,5,IF(C$262&lt;bs_pc13_seuil4,4,IF(C$262&lt;bs_pc13_seuil5,3,IF(C$262&lt;bs_pc13_seuil6,2,IF(C$262&lt;bs_pc13_seuil7,1,IF(C$262&lt;bs_pc13_seuil8,0.5,0))))))))
+(C$263=14)*IF(C$262&lt;bs_pc14_seuil1,7,IF(C$262&lt;bs_pc14_seuil2,6,IF(C$262&lt;bs_pc14_seuil3,5,IF(C$262&lt;bs_pc14_seuil4,4,IF(C$262&lt;bs_pc14_seuil5,3,IF(C$262&lt;bs_pc14_seuil6,2,IF(C$262&lt;bs_pc14_seuil7,1,IF(C$262&lt;bs_pc14_seuil8,0.5,0))))))))
+(C$263=15)*IF(C$262&lt;bs_pc15_seuil1,7,IF(C$262&lt;bs_pc15_seuil2,6,IF(C$262&lt;bs_pc15_seuil3,5,IF(C$262&lt;bs_pc15_seuil4,4,IF(C$262&lt;bs_pc15_seuil5,3,IF(C$262&lt;bs_pc15_seuil6,2,IF(C$262&lt;bs_pc15_seuil7,1,IF(C$262&lt;bs_pc15_seuil8,0.5,0))))))))
+(C$263=16)*IF(C$262&lt;bs_pc16_seuil1,7,IF(C$262&lt;bs_pc16_seuil2,6,IF(C$262&lt;bs_pc16_seuil3,5,IF(C$262&lt;bs_pc16_seuil4,4,IF(C$262&lt;bs_pc16_seuil5,3,IF(C$262&lt;bs_pc16_seuil6,2,IF(C$262&lt;bs_pc16_seuil7,1,IF(C$262&lt;bs_pc16_seuil8,0.5,0))))))))
+(C$263=17)*IF(C$262&lt;bs_pc17_seuil1,7,IF(C$262&lt;bs_pc17_seuil2,6,IF(C$262&lt;bs_pc17_seuil3,5,IF(C$262&lt;bs_pc17_seuil4,4,IF(C$262&lt;bs_pc17_seuil5,3,IF(C$262&lt;bs_pc17_seuil6,2,IF(C$262&lt;bs_pc17_seuil7,1,IF(C$262&lt;bs_pc17_seuil8,0.5,0))))))))</f>
        <v>7</v>
      </c>
      <c r="D264" s="262">
        <f>(D$263=0)*IF(D$262&lt;bs_pc0_seuil1,7,IF(D$262&lt;bs_pc0_seuil2,6,IF(D$262&lt;bs_pc0_seuil3,5,IF(D$262&lt;bs_pc0_seuil4,4,IF(D$262&lt;bs_pc0_seuil5,3,IF(D$262&lt;bs_pc0_seuil6,2,IF(D$262&lt;bs_pc0_seuil7,1,IF(D$262&lt;bs_pc0_seuil8,0.5,0))))))))
+(D$263=1)*IF(D$262&lt;bs_pc1_seuil1,7,IF(D$262&lt;bs_pc1_seuil2,6,IF(D$262&lt;bs_pc1_seuil3,5,IF(D$262&lt;bs_pc1_seuil4,4,IF(D$262&lt;bs_pc1_seuil5,3,IF(D$262&lt;bs_pc1_seuil6,2,IF(D$262&lt;bs_pc1_seuil7,1,IF(D$262&lt;bs_pc1_seuil8,0.5,0))))))))
+(D$263=2)*IF(D$262&lt;bs_pc2_seuil1,7,IF(D$262&lt;bs_pc2_seuil2,6,IF(D$262&lt;bs_pc2_seuil3,5,IF(D$262&lt;bs_pc2_seuil4,4,IF(D$262&lt;bs_pc2_seuil5,3,IF(D$262&lt;bs_pc2_seuil6,2,IF(D$262&lt;bs_pc2_seuil7,1,IF(D$262&lt;bs_pc2_seuil8,0.5,0))))))))
+(D$263=3)*IF(D$262&lt;bs_pc3_seuil1,7,IF(D$262&lt;bs_pc3_seuil2,6,IF(D$262&lt;bs_pc3_seuil3,5,IF(D$262&lt;bs_pc3_seuil4,4,IF(D$262&lt;bs_pc3_seuil5,3,IF(D$262&lt;bs_pc3_seuil6,2,IF(D$262&lt;bs_pc3_seuil7,1,IF(D$262&lt;bs_pc3_seuil8,0.5,0))))))))
+(D$263=4)*IF(D$262&lt;bs_pc4_seuil1,7,IF(D$262&lt;bs_pc4_seuil2,6,IF(D$262&lt;bs_pc4_seuil3,5,IF(D$262&lt;bs_pc4_seuil4,4,IF(D$262&lt;bs_pc4_seuil5,3,IF(D$262&lt;bs_pc4_seuil6,2,IF(D$262&lt;bs_pc4_seuil7,1,IF(D$262&lt;bs_pc4_seuil8,0.5,0))))))))
+(D$263=5)*IF(D$262&lt;bs_pc5_seuil1,7,IF(D$262&lt;bs_pc5_seuil2,6,IF(D$262&lt;bs_pc5_seuil3,5,IF(D$262&lt;bs_pc5_seuil4,4,IF(D$262&lt;bs_pc5_seuil5,3,IF(D$262&lt;bs_pc5_seuil6,2,IF(D$262&lt;bs_pc5_seuil7,1,IF(D$262&lt;bs_pc5_seuil8,0.5,0))))))))
+(D$263=6)*IF(D$262&lt;bs_pc6_seuil1,7,IF(D$262&lt;bs_pc6_seuil2,6,IF(D$262&lt;bs_pc6_seuil3,5,IF(D$262&lt;bs_pc6_seuil4,4,IF(D$262&lt;bs_pc6_seuil5,3,IF(D$262&lt;bs_pc6_seuil6,2,IF(D$262&lt;bs_pc6_seuil7,1,IF(D$262&lt;bs_pc6_seuil8,0.5,0))))))))
+(D$263=7)*IF(D$262&lt;bs_pc7_seuil1,7,IF(D$262&lt;bs_pc7_seuil2,6,IF(D$262&lt;bs_pc7_seuil3,5,IF(D$262&lt;bs_pc7_seuil4,4,IF(D$262&lt;bs_pc7_seuil5,3,IF(D$262&lt;bs_pc7_seuil6,2,IF(D$262&lt;bs_pc7_seuil7,1,IF(D$262&lt;bs_pc7_seuil8,0.5,0))))))))
+(D$263=8)*IF(D$262&lt;bs_pc8_seuil1,7,IF(D$262&lt;bs_pc8_seuil2,6,IF(D$262&lt;bs_pc8_seuil3,5,IF(D$262&lt;bs_pc8_seuil4,4,IF(D$262&lt;bs_pc8_seuil5,3,IF(D$262&lt;bs_pc8_seuil6,2,IF(D$262&lt;bs_pc8_seuil7,1,IF(D$262&lt;bs_pc8_seuil8,0.5,0))))))))
+(D$263=9)*IF(D$262&lt;bs_pc9_seuil1,7,IF(D$262&lt;bs_pc9_seuil2,6,IF(D$262&lt;bs_pc9_seuil3,5,IF(D$262&lt;bs_pc9_seuil4,4,IF(D$262&lt;bs_pc9_seuil5,3,IF(D$262&lt;bs_pc9_seuil6,2,IF(D$262&lt;bs_pc9_seuil7,1,IF(D$262&lt;bs_pc9_seuil8,0.5,0))))))))
+(D$263=10)*IF(D$262&lt;bs_pc10_seuil1,7,IF(D$262&lt;bs_pc10_seuil2,6,IF(D$262&lt;bs_pc10_seuil3,5,IF(D$262&lt;bs_pc10_seuil4,4,IF(D$262&lt;bs_pc10_seuil5,3,IF(D$262&lt;bs_pc10_seuil6,2,IF(D$262&lt;bs_pc10_seuil7,1,IF(D$262&lt;bs_pc10_seuil8,0.5,0))))))))
+(D$263=11)*IF(D$262&lt;bs_pc11_seuil1,7,IF(D$262&lt;bs_pc11_seuil2,6,IF(D$262&lt;bs_pc11_seuil3,5,IF(D$262&lt;bs_pc11_seuil4,4,IF(D$262&lt;bs_pc11_seuil5,3,IF(D$262&lt;bs_pc11_seuil6,2,IF(D$262&lt;bs_pc11_seuil7,1,IF(D$262&lt;bs_pc11_seuil8,0.5,0))))))))
+(D$263=12)*IF(D$262&lt;bs_pc12_seuil1,7,IF(D$262&lt;bs_pc12_seuil2,6,IF(D$262&lt;bs_pc12_seuil3,5,IF(D$262&lt;bs_pc12_seuil4,4,IF(D$262&lt;bs_pc12_seuil5,3,IF(D$262&lt;bs_pc12_seuil6,2,IF(D$262&lt;bs_pc12_seuil7,1,IF(D$262&lt;bs_pc12_seuil8,0.5,0))))))))
+(D$263=13)*IF(D$262&lt;bs_pc13_seuil1,7,IF(D$262&lt;bs_pc13_seuil2,6,IF(D$262&lt;bs_pc13_seuil3,5,IF(D$262&lt;bs_pc13_seuil4,4,IF(D$262&lt;bs_pc13_seuil5,3,IF(D$262&lt;bs_pc13_seuil6,2,IF(D$262&lt;bs_pc13_seuil7,1,IF(D$262&lt;bs_pc13_seuil8,0.5,0))))))))
+(D$263=14)*IF(D$262&lt;bs_pc14_seuil1,7,IF(D$262&lt;bs_pc14_seuil2,6,IF(D$262&lt;bs_pc14_seuil3,5,IF(D$262&lt;bs_pc14_seuil4,4,IF(D$262&lt;bs_pc14_seuil5,3,IF(D$262&lt;bs_pc14_seuil6,2,IF(D$262&lt;bs_pc14_seuil7,1,IF(D$262&lt;bs_pc14_seuil8,0.5,0))))))))
+(D$263=15)*IF(D$262&lt;bs_pc15_seuil1,7,IF(D$262&lt;bs_pc15_seuil2,6,IF(D$262&lt;bs_pc15_seuil3,5,IF(D$262&lt;bs_pc15_seuil4,4,IF(D$262&lt;bs_pc15_seuil5,3,IF(D$262&lt;bs_pc15_seuil6,2,IF(D$262&lt;bs_pc15_seuil7,1,IF(D$262&lt;bs_pc15_seuil8,0.5,0))))))))
+(D$263=16)*IF(D$262&lt;bs_pc16_seuil1,7,IF(D$262&lt;bs_pc16_seuil2,6,IF(D$262&lt;bs_pc16_seuil3,5,IF(D$262&lt;bs_pc16_seuil4,4,IF(D$262&lt;bs_pc16_seuil5,3,IF(D$262&lt;bs_pc16_seuil6,2,IF(D$262&lt;bs_pc16_seuil7,1,IF(D$262&lt;bs_pc16_seuil8,0.5,0))))))))
+(D$263=17)*IF(D$262&lt;bs_pc17_seuil1,7,IF(D$262&lt;bs_pc17_seuil2,6,IF(D$262&lt;bs_pc17_seuil3,5,IF(D$262&lt;bs_pc17_seuil4,4,IF(D$262&lt;bs_pc17_seuil5,3,IF(D$262&lt;bs_pc17_seuil6,2,IF(D$262&lt;bs_pc17_seuil7,1,IF(D$262&lt;bs_pc17_seuil8,0.5,0))))))))</f>
        <v>6</v>
      </c>
      <c r="E264" s="262">
        <f>(E$263=0)*IF(E$262&lt;bs_pc0_seuil1,7,IF(E$262&lt;bs_pc0_seuil2,6,IF(E$262&lt;bs_pc0_seuil3,5,IF(E$262&lt;bs_pc0_seuil4,4,IF(E$262&lt;bs_pc0_seuil5,3,IF(E$262&lt;bs_pc0_seuil6,2,IF(E$262&lt;bs_pc0_seuil7,1,IF(E$262&lt;bs_pc0_seuil8,0.5,0))))))))
+(E$263=1)*IF(E$262&lt;bs_pc1_seuil1,7,IF(E$262&lt;bs_pc1_seuil2,6,IF(E$262&lt;bs_pc1_seuil3,5,IF(E$262&lt;bs_pc1_seuil4,4,IF(E$262&lt;bs_pc1_seuil5,3,IF(E$262&lt;bs_pc1_seuil6,2,IF(E$262&lt;bs_pc1_seuil7,1,IF(E$262&lt;bs_pc1_seuil8,0.5,0))))))))
+(E$263=2)*IF(E$262&lt;bs_pc2_seuil1,7,IF(E$262&lt;bs_pc2_seuil2,6,IF(E$262&lt;bs_pc2_seuil3,5,IF(E$262&lt;bs_pc2_seuil4,4,IF(E$262&lt;bs_pc2_seuil5,3,IF(E$262&lt;bs_pc2_seuil6,2,IF(E$262&lt;bs_pc2_seuil7,1,IF(E$262&lt;bs_pc2_seuil8,0.5,0))))))))
+(E$263=3)*IF(E$262&lt;bs_pc3_seuil1,7,IF(E$262&lt;bs_pc3_seuil2,6,IF(E$262&lt;bs_pc3_seuil3,5,IF(E$262&lt;bs_pc3_seuil4,4,IF(E$262&lt;bs_pc3_seuil5,3,IF(E$262&lt;bs_pc3_seuil6,2,IF(E$262&lt;bs_pc3_seuil7,1,IF(E$262&lt;bs_pc3_seuil8,0.5,0))))))))
+(E$263=4)*IF(E$262&lt;bs_pc4_seuil1,7,IF(E$262&lt;bs_pc4_seuil2,6,IF(E$262&lt;bs_pc4_seuil3,5,IF(E$262&lt;bs_pc4_seuil4,4,IF(E$262&lt;bs_pc4_seuil5,3,IF(E$262&lt;bs_pc4_seuil6,2,IF(E$262&lt;bs_pc4_seuil7,1,IF(E$262&lt;bs_pc4_seuil8,0.5,0))))))))
+(E$263=5)*IF(E$262&lt;bs_pc5_seuil1,7,IF(E$262&lt;bs_pc5_seuil2,6,IF(E$262&lt;bs_pc5_seuil3,5,IF(E$262&lt;bs_pc5_seuil4,4,IF(E$262&lt;bs_pc5_seuil5,3,IF(E$262&lt;bs_pc5_seuil6,2,IF(E$262&lt;bs_pc5_seuil7,1,IF(E$262&lt;bs_pc5_seuil8,0.5,0))))))))
+(E$263=6)*IF(E$262&lt;bs_pc6_seuil1,7,IF(E$262&lt;bs_pc6_seuil2,6,IF(E$262&lt;bs_pc6_seuil3,5,IF(E$262&lt;bs_pc6_seuil4,4,IF(E$262&lt;bs_pc6_seuil5,3,IF(E$262&lt;bs_pc6_seuil6,2,IF(E$262&lt;bs_pc6_seuil7,1,IF(E$262&lt;bs_pc6_seuil8,0.5,0))))))))
+(E$263=7)*IF(E$262&lt;bs_pc7_seuil1,7,IF(E$262&lt;bs_pc7_seuil2,6,IF(E$262&lt;bs_pc7_seuil3,5,IF(E$262&lt;bs_pc7_seuil4,4,IF(E$262&lt;bs_pc7_seuil5,3,IF(E$262&lt;bs_pc7_seuil6,2,IF(E$262&lt;bs_pc7_seuil7,1,IF(E$262&lt;bs_pc7_seuil8,0.5,0))))))))
+(E$263=8)*IF(E$262&lt;bs_pc8_seuil1,7,IF(E$262&lt;bs_pc8_seuil2,6,IF(E$262&lt;bs_pc8_seuil3,5,IF(E$262&lt;bs_pc8_seuil4,4,IF(E$262&lt;bs_pc8_seuil5,3,IF(E$262&lt;bs_pc8_seuil6,2,IF(E$262&lt;bs_pc8_seuil7,1,IF(E$262&lt;bs_pc8_seuil8,0.5,0))))))))
+(E$263=9)*IF(E$262&lt;bs_pc9_seuil1,7,IF(E$262&lt;bs_pc9_seuil2,6,IF(E$262&lt;bs_pc9_seuil3,5,IF(E$262&lt;bs_pc9_seuil4,4,IF(E$262&lt;bs_pc9_seuil5,3,IF(E$262&lt;bs_pc9_seuil6,2,IF(E$262&lt;bs_pc9_seuil7,1,IF(E$262&lt;bs_pc9_seuil8,0.5,0))))))))
+(E$263=10)*IF(E$262&lt;bs_pc10_seuil1,7,IF(E$262&lt;bs_pc10_seuil2,6,IF(E$262&lt;bs_pc10_seuil3,5,IF(E$262&lt;bs_pc10_seuil4,4,IF(E$262&lt;bs_pc10_seuil5,3,IF(E$262&lt;bs_pc10_seuil6,2,IF(E$262&lt;bs_pc10_seuil7,1,IF(E$262&lt;bs_pc10_seuil8,0.5,0))))))))
+(E$263=11)*IF(E$262&lt;bs_pc11_seuil1,7,IF(E$262&lt;bs_pc11_seuil2,6,IF(E$262&lt;bs_pc11_seuil3,5,IF(E$262&lt;bs_pc11_seuil4,4,IF(E$262&lt;bs_pc11_seuil5,3,IF(E$262&lt;bs_pc11_seuil6,2,IF(E$262&lt;bs_pc11_seuil7,1,IF(E$262&lt;bs_pc11_seuil8,0.5,0))))))))
+(E$263=12)*IF(E$262&lt;bs_pc12_seuil1,7,IF(E$262&lt;bs_pc12_seuil2,6,IF(E$262&lt;bs_pc12_seuil3,5,IF(E$262&lt;bs_pc12_seuil4,4,IF(E$262&lt;bs_pc12_seuil5,3,IF(E$262&lt;bs_pc12_seuil6,2,IF(E$262&lt;bs_pc12_seuil7,1,IF(E$262&lt;bs_pc12_seuil8,0.5,0))))))))
+(E$263=13)*IF(E$262&lt;bs_pc13_seuil1,7,IF(E$262&lt;bs_pc13_seuil2,6,IF(E$262&lt;bs_pc13_seuil3,5,IF(E$262&lt;bs_pc13_seuil4,4,IF(E$262&lt;bs_pc13_seuil5,3,IF(E$262&lt;bs_pc13_seuil6,2,IF(E$262&lt;bs_pc13_seuil7,1,IF(E$262&lt;bs_pc13_seuil8,0.5,0))))))))
+(E$263=14)*IF(E$262&lt;bs_pc14_seuil1,7,IF(E$262&lt;bs_pc14_seuil2,6,IF(E$262&lt;bs_pc14_seuil3,5,IF(E$262&lt;bs_pc14_seuil4,4,IF(E$262&lt;bs_pc14_seuil5,3,IF(E$262&lt;bs_pc14_seuil6,2,IF(E$262&lt;bs_pc14_seuil7,1,IF(E$262&lt;bs_pc14_seuil8,0.5,0))))))))
+(E$263=15)*IF(E$262&lt;bs_pc15_seuil1,7,IF(E$262&lt;bs_pc15_seuil2,6,IF(E$262&lt;bs_pc15_seuil3,5,IF(E$262&lt;bs_pc15_seuil4,4,IF(E$262&lt;bs_pc15_seuil5,3,IF(E$262&lt;bs_pc15_seuil6,2,IF(E$262&lt;bs_pc15_seuil7,1,IF(E$262&lt;bs_pc15_seuil8,0.5,0))))))))
+(E$263=16)*IF(E$262&lt;bs_pc16_seuil1,7,IF(E$262&lt;bs_pc16_seuil2,6,IF(E$262&lt;bs_pc16_seuil3,5,IF(E$262&lt;bs_pc16_seuil4,4,IF(E$262&lt;bs_pc16_seuil5,3,IF(E$262&lt;bs_pc16_seuil6,2,IF(E$262&lt;bs_pc16_seuil7,1,IF(E$262&lt;bs_pc16_seuil8,0.5,0))))))))
+(E$263=17)*IF(E$262&lt;bs_pc17_seuil1,7,IF(E$262&lt;bs_pc17_seuil2,6,IF(E$262&lt;bs_pc17_seuil3,5,IF(E$262&lt;bs_pc17_seuil4,4,IF(E$262&lt;bs_pc17_seuil5,3,IF(E$262&lt;bs_pc17_seuil6,2,IF(E$262&lt;bs_pc17_seuil7,1,IF(E$262&lt;bs_pc17_seuil8,0.5,0))))))))</f>
        <v>4</v>
      </c>
      <c r="F264" s="262">
        <f>(F$263=0)*IF(F$262&lt;bs_pc0_seuil1,7,IF(F$262&lt;bs_pc0_seuil2,6,IF(F$262&lt;bs_pc0_seuil3,5,IF(F$262&lt;bs_pc0_seuil4,4,IF(F$262&lt;bs_pc0_seuil5,3,IF(F$262&lt;bs_pc0_seuil6,2,IF(F$262&lt;bs_pc0_seuil7,1,IF(F$262&lt;bs_pc0_seuil8,0.5,0))))))))
+(F$263=1)*IF(F$262&lt;bs_pc1_seuil1,7,IF(F$262&lt;bs_pc1_seuil2,6,IF(F$262&lt;bs_pc1_seuil3,5,IF(F$262&lt;bs_pc1_seuil4,4,IF(F$262&lt;bs_pc1_seuil5,3,IF(F$262&lt;bs_pc1_seuil6,2,IF(F$262&lt;bs_pc1_seuil7,1,IF(F$262&lt;bs_pc1_seuil8,0.5,0))))))))
+(F$263=2)*IF(F$262&lt;bs_pc2_seuil1,7,IF(F$262&lt;bs_pc2_seuil2,6,IF(F$262&lt;bs_pc2_seuil3,5,IF(F$262&lt;bs_pc2_seuil4,4,IF(F$262&lt;bs_pc2_seuil5,3,IF(F$262&lt;bs_pc2_seuil6,2,IF(F$262&lt;bs_pc2_seuil7,1,IF(F$262&lt;bs_pc2_seuil8,0.5,0))))))))
+(F$263=3)*IF(F$262&lt;bs_pc3_seuil1,7,IF(F$262&lt;bs_pc3_seuil2,6,IF(F$262&lt;bs_pc3_seuil3,5,IF(F$262&lt;bs_pc3_seuil4,4,IF(F$262&lt;bs_pc3_seuil5,3,IF(F$262&lt;bs_pc3_seuil6,2,IF(F$262&lt;bs_pc3_seuil7,1,IF(F$262&lt;bs_pc3_seuil8,0.5,0))))))))
+(F$263=4)*IF(F$262&lt;bs_pc4_seuil1,7,IF(F$262&lt;bs_pc4_seuil2,6,IF(F$262&lt;bs_pc4_seuil3,5,IF(F$262&lt;bs_pc4_seuil4,4,IF(F$262&lt;bs_pc4_seuil5,3,IF(F$262&lt;bs_pc4_seuil6,2,IF(F$262&lt;bs_pc4_seuil7,1,IF(F$262&lt;bs_pc4_seuil8,0.5,0))))))))
+(F$263=5)*IF(F$262&lt;bs_pc5_seuil1,7,IF(F$262&lt;bs_pc5_seuil2,6,IF(F$262&lt;bs_pc5_seuil3,5,IF(F$262&lt;bs_pc5_seuil4,4,IF(F$262&lt;bs_pc5_seuil5,3,IF(F$262&lt;bs_pc5_seuil6,2,IF(F$262&lt;bs_pc5_seuil7,1,IF(F$262&lt;bs_pc5_seuil8,0.5,0))))))))
+(F$263=6)*IF(F$262&lt;bs_pc6_seuil1,7,IF(F$262&lt;bs_pc6_seuil2,6,IF(F$262&lt;bs_pc6_seuil3,5,IF(F$262&lt;bs_pc6_seuil4,4,IF(F$262&lt;bs_pc6_seuil5,3,IF(F$262&lt;bs_pc6_seuil6,2,IF(F$262&lt;bs_pc6_seuil7,1,IF(F$262&lt;bs_pc6_seuil8,0.5,0))))))))
+(F$263=7)*IF(F$262&lt;bs_pc7_seuil1,7,IF(F$262&lt;bs_pc7_seuil2,6,IF(F$262&lt;bs_pc7_seuil3,5,IF(F$262&lt;bs_pc7_seuil4,4,IF(F$262&lt;bs_pc7_seuil5,3,IF(F$262&lt;bs_pc7_seuil6,2,IF(F$262&lt;bs_pc7_seuil7,1,IF(F$262&lt;bs_pc7_seuil8,0.5,0))))))))
+(F$263=8)*IF(F$262&lt;bs_pc8_seuil1,7,IF(F$262&lt;bs_pc8_seuil2,6,IF(F$262&lt;bs_pc8_seuil3,5,IF(F$262&lt;bs_pc8_seuil4,4,IF(F$262&lt;bs_pc8_seuil5,3,IF(F$262&lt;bs_pc8_seuil6,2,IF(F$262&lt;bs_pc8_seuil7,1,IF(F$262&lt;bs_pc8_seuil8,0.5,0))))))))
+(F$263=9)*IF(F$262&lt;bs_pc9_seuil1,7,IF(F$262&lt;bs_pc9_seuil2,6,IF(F$262&lt;bs_pc9_seuil3,5,IF(F$262&lt;bs_pc9_seuil4,4,IF(F$262&lt;bs_pc9_seuil5,3,IF(F$262&lt;bs_pc9_seuil6,2,IF(F$262&lt;bs_pc9_seuil7,1,IF(F$262&lt;bs_pc9_seuil8,0.5,0))))))))
+(F$263=10)*IF(F$262&lt;bs_pc10_seuil1,7,IF(F$262&lt;bs_pc10_seuil2,6,IF(F$262&lt;bs_pc10_seuil3,5,IF(F$262&lt;bs_pc10_seuil4,4,IF(F$262&lt;bs_pc10_seuil5,3,IF(F$262&lt;bs_pc10_seuil6,2,IF(F$262&lt;bs_pc10_seuil7,1,IF(F$262&lt;bs_pc10_seuil8,0.5,0))))))))
+(F$263=11)*IF(F$262&lt;bs_pc11_seuil1,7,IF(F$262&lt;bs_pc11_seuil2,6,IF(F$262&lt;bs_pc11_seuil3,5,IF(F$262&lt;bs_pc11_seuil4,4,IF(F$262&lt;bs_pc11_seuil5,3,IF(F$262&lt;bs_pc11_seuil6,2,IF(F$262&lt;bs_pc11_seuil7,1,IF(F$262&lt;bs_pc11_seuil8,0.5,0))))))))
+(F$263=12)*IF(F$262&lt;bs_pc12_seuil1,7,IF(F$262&lt;bs_pc12_seuil2,6,IF(F$262&lt;bs_pc12_seuil3,5,IF(F$262&lt;bs_pc12_seuil4,4,IF(F$262&lt;bs_pc12_seuil5,3,IF(F$262&lt;bs_pc12_seuil6,2,IF(F$262&lt;bs_pc12_seuil7,1,IF(F$262&lt;bs_pc12_seuil8,0.5,0))))))))
+(F$263=13)*IF(F$262&lt;bs_pc13_seuil1,7,IF(F$262&lt;bs_pc13_seuil2,6,IF(F$262&lt;bs_pc13_seuil3,5,IF(F$262&lt;bs_pc13_seuil4,4,IF(F$262&lt;bs_pc13_seuil5,3,IF(F$262&lt;bs_pc13_seuil6,2,IF(F$262&lt;bs_pc13_seuil7,1,IF(F$262&lt;bs_pc13_seuil8,0.5,0))))))))
+(F$263=14)*IF(F$262&lt;bs_pc14_seuil1,7,IF(F$262&lt;bs_pc14_seuil2,6,IF(F$262&lt;bs_pc14_seuil3,5,IF(F$262&lt;bs_pc14_seuil4,4,IF(F$262&lt;bs_pc14_seuil5,3,IF(F$262&lt;bs_pc14_seuil6,2,IF(F$262&lt;bs_pc14_seuil7,1,IF(F$262&lt;bs_pc14_seuil8,0.5,0))))))))
+(F$263=15)*IF(F$262&lt;bs_pc15_seuil1,7,IF(F$262&lt;bs_pc15_seuil2,6,IF(F$262&lt;bs_pc15_seuil3,5,IF(F$262&lt;bs_pc15_seuil4,4,IF(F$262&lt;bs_pc15_seuil5,3,IF(F$262&lt;bs_pc15_seuil6,2,IF(F$262&lt;bs_pc15_seuil7,1,IF(F$262&lt;bs_pc15_seuil8,0.5,0))))))))
+(F$263=16)*IF(F$262&lt;bs_pc16_seuil1,7,IF(F$262&lt;bs_pc16_seuil2,6,IF(F$262&lt;bs_pc16_seuil3,5,IF(F$262&lt;bs_pc16_seuil4,4,IF(F$262&lt;bs_pc16_seuil5,3,IF(F$262&lt;bs_pc16_seuil6,2,IF(F$262&lt;bs_pc16_seuil7,1,IF(F$262&lt;bs_pc16_seuil8,0.5,0))))))))
+(F$263=17)*IF(F$262&lt;bs_pc17_seuil1,7,IF(F$262&lt;bs_pc17_seuil2,6,IF(F$262&lt;bs_pc17_seuil3,5,IF(F$262&lt;bs_pc17_seuil4,4,IF(F$262&lt;bs_pc17_seuil5,3,IF(F$262&lt;bs_pc17_seuil6,2,IF(F$262&lt;bs_pc17_seuil7,1,IF(F$262&lt;bs_pc17_seuil8,0.5,0))))))))</f>
        <v>1</v>
      </c>
      <c r="H264" s="262">
        <f>(H$263=0)*IF(H$262&lt;bs_pc0_seuil1,7,IF(H$262&lt;bs_pc0_seuil2,6,IF(H$262&lt;bs_pc0_seuil3,5,IF(H$262&lt;bs_pc0_seuil4,4,IF(H$262&lt;bs_pc0_seuil5,3,IF(H$262&lt;bs_pc0_seuil6,2,IF(H$262&lt;bs_pc0_seuil7,1,IF(H$262&lt;bs_pc0_seuil8,0.5,0))))))))
+(H$263=1)*IF(H$262&lt;bs_pc1_seuil1,7,IF(H$262&lt;bs_pc1_seuil2,6,IF(H$262&lt;bs_pc1_seuil3,5,IF(H$262&lt;bs_pc1_seuil4,4,IF(H$262&lt;bs_pc1_seuil5,3,IF(H$262&lt;bs_pc1_seuil6,2,IF(H$262&lt;bs_pc1_seuil7,1,IF(H$262&lt;bs_pc1_seuil8,0.5,0))))))))
+(H$263=2)*IF(H$262&lt;bs_pc2_seuil1,7,IF(H$262&lt;bs_pc2_seuil2,6,IF(H$262&lt;bs_pc2_seuil3,5,IF(H$262&lt;bs_pc2_seuil4,4,IF(H$262&lt;bs_pc2_seuil5,3,IF(H$262&lt;bs_pc2_seuil6,2,IF(H$262&lt;bs_pc2_seuil7,1,IF(H$262&lt;bs_pc2_seuil8,0.5,0))))))))
+(H$263=3)*IF(H$262&lt;bs_pc3_seuil1,7,IF(H$262&lt;bs_pc3_seuil2,6,IF(H$262&lt;bs_pc3_seuil3,5,IF(H$262&lt;bs_pc3_seuil4,4,IF(H$262&lt;bs_pc3_seuil5,3,IF(H$262&lt;bs_pc3_seuil6,2,IF(H$262&lt;bs_pc3_seuil7,1,IF(H$262&lt;bs_pc3_seuil8,0.5,0))))))))
+(H$263=4)*IF(H$262&lt;bs_pc4_seuil1,7,IF(H$262&lt;bs_pc4_seuil2,6,IF(H$262&lt;bs_pc4_seuil3,5,IF(H$262&lt;bs_pc4_seuil4,4,IF(H$262&lt;bs_pc4_seuil5,3,IF(H$262&lt;bs_pc4_seuil6,2,IF(H$262&lt;bs_pc4_seuil7,1,IF(H$262&lt;bs_pc4_seuil8,0.5,0))))))))
+(H$263=5)*IF(H$262&lt;bs_pc5_seuil1,7,IF(H$262&lt;bs_pc5_seuil2,6,IF(H$262&lt;bs_pc5_seuil3,5,IF(H$262&lt;bs_pc5_seuil4,4,IF(H$262&lt;bs_pc5_seuil5,3,IF(H$262&lt;bs_pc5_seuil6,2,IF(H$262&lt;bs_pc5_seuil7,1,IF(H$262&lt;bs_pc5_seuil8,0.5,0))))))))
+(H$263=6)*IF(H$262&lt;bs_pc6_seuil1,7,IF(H$262&lt;bs_pc6_seuil2,6,IF(H$262&lt;bs_pc6_seuil3,5,IF(H$262&lt;bs_pc6_seuil4,4,IF(H$262&lt;bs_pc6_seuil5,3,IF(H$262&lt;bs_pc6_seuil6,2,IF(H$262&lt;bs_pc6_seuil7,1,IF(H$262&lt;bs_pc6_seuil8,0.5,0))))))))
+(H$263=7)*IF(H$262&lt;bs_pc7_seuil1,7,IF(H$262&lt;bs_pc7_seuil2,6,IF(H$262&lt;bs_pc7_seuil3,5,IF(H$262&lt;bs_pc7_seuil4,4,IF(H$262&lt;bs_pc7_seuil5,3,IF(H$262&lt;bs_pc7_seuil6,2,IF(H$262&lt;bs_pc7_seuil7,1,IF(H$262&lt;bs_pc7_seuil8,0.5,0))))))))
+(H$263=8)*IF(H$262&lt;bs_pc8_seuil1,7,IF(H$262&lt;bs_pc8_seuil2,6,IF(H$262&lt;bs_pc8_seuil3,5,IF(H$262&lt;bs_pc8_seuil4,4,IF(H$262&lt;bs_pc8_seuil5,3,IF(H$262&lt;bs_pc8_seuil6,2,IF(H$262&lt;bs_pc8_seuil7,1,IF(H$262&lt;bs_pc8_seuil8,0.5,0))))))))
+(H$263=9)*IF(H$262&lt;bs_pc9_seuil1,7,IF(H$262&lt;bs_pc9_seuil2,6,IF(H$262&lt;bs_pc9_seuil3,5,IF(H$262&lt;bs_pc9_seuil4,4,IF(H$262&lt;bs_pc9_seuil5,3,IF(H$262&lt;bs_pc9_seuil6,2,IF(H$262&lt;bs_pc9_seuil7,1,IF(H$262&lt;bs_pc9_seuil8,0.5,0))))))))
+(H$263=10)*IF(H$262&lt;bs_pc10_seuil1,7,IF(H$262&lt;bs_pc10_seuil2,6,IF(H$262&lt;bs_pc10_seuil3,5,IF(H$262&lt;bs_pc10_seuil4,4,IF(H$262&lt;bs_pc10_seuil5,3,IF(H$262&lt;bs_pc10_seuil6,2,IF(H$262&lt;bs_pc10_seuil7,1,IF(H$262&lt;bs_pc10_seuil8,0.5,0))))))))
+(H$263=11)*IF(H$262&lt;bs_pc11_seuil1,7,IF(H$262&lt;bs_pc11_seuil2,6,IF(H$262&lt;bs_pc11_seuil3,5,IF(H$262&lt;bs_pc11_seuil4,4,IF(H$262&lt;bs_pc11_seuil5,3,IF(H$262&lt;bs_pc11_seuil6,2,IF(H$262&lt;bs_pc11_seuil7,1,IF(H$262&lt;bs_pc11_seuil8,0.5,0))))))))
+(H$263=12)*IF(H$262&lt;bs_pc12_seuil1,7,IF(H$262&lt;bs_pc12_seuil2,6,IF(H$262&lt;bs_pc12_seuil3,5,IF(H$262&lt;bs_pc12_seuil4,4,IF(H$262&lt;bs_pc12_seuil5,3,IF(H$262&lt;bs_pc12_seuil6,2,IF(H$262&lt;bs_pc12_seuil7,1,IF(H$262&lt;bs_pc12_seuil8,0.5,0))))))))
+(H$263=13)*IF(H$262&lt;bs_pc13_seuil1,7,IF(H$262&lt;bs_pc13_seuil2,6,IF(H$262&lt;bs_pc13_seuil3,5,IF(H$262&lt;bs_pc13_seuil4,4,IF(H$262&lt;bs_pc13_seuil5,3,IF(H$262&lt;bs_pc13_seuil6,2,IF(H$262&lt;bs_pc13_seuil7,1,IF(H$262&lt;bs_pc13_seuil8,0.5,0))))))))
+(H$263=14)*IF(H$262&lt;bs_pc14_seuil1,7,IF(H$262&lt;bs_pc14_seuil2,6,IF(H$262&lt;bs_pc14_seuil3,5,IF(H$262&lt;bs_pc14_seuil4,4,IF(H$262&lt;bs_pc14_seuil5,3,IF(H$262&lt;bs_pc14_seuil6,2,IF(H$262&lt;bs_pc14_seuil7,1,IF(H$262&lt;bs_pc14_seuil8,0.5,0))))))))
+(H$263=15)*IF(H$262&lt;bs_pc15_seuil1,7,IF(H$262&lt;bs_pc15_seuil2,6,IF(H$262&lt;bs_pc15_seuil3,5,IF(H$262&lt;bs_pc15_seuil4,4,IF(H$262&lt;bs_pc15_seuil5,3,IF(H$262&lt;bs_pc15_seuil6,2,IF(H$262&lt;bs_pc15_seuil7,1,IF(H$262&lt;bs_pc15_seuil8,0.5,0))))))))
+(H$263=16)*IF(H$262&lt;bs_pc16_seuil1,7,IF(H$262&lt;bs_pc16_seuil2,6,IF(H$262&lt;bs_pc16_seuil3,5,IF(H$262&lt;bs_pc16_seuil4,4,IF(H$262&lt;bs_pc16_seuil5,3,IF(H$262&lt;bs_pc16_seuil6,2,IF(H$262&lt;bs_pc16_seuil7,1,IF(H$262&lt;bs_pc16_seuil8,0.5,0))))))))
+(H$263=17)*IF(H$262&lt;bs_pc17_seuil1,7,IF(H$262&lt;bs_pc17_seuil2,6,IF(H$262&lt;bs_pc17_seuil3,5,IF(H$262&lt;bs_pc17_seuil4,4,IF(H$262&lt;bs_pc17_seuil5,3,IF(H$262&lt;bs_pc17_seuil6,2,IF(H$262&lt;bs_pc17_seuil7,1,IF(H$262&lt;bs_pc17_seuil8,0.5,0))))))))</f>
        <v>7</v>
      </c>
      <c r="I264" s="262">
        <f>(I$263=0)*IF(I$262&lt;bs_pc0_seuil1,7,IF(I$262&lt;bs_pc0_seuil2,6,IF(I$262&lt;bs_pc0_seuil3,5,IF(I$262&lt;bs_pc0_seuil4,4,IF(I$262&lt;bs_pc0_seuil5,3,IF(I$262&lt;bs_pc0_seuil6,2,IF(I$262&lt;bs_pc0_seuil7,1,IF(I$262&lt;bs_pc0_seuil8,0.5,0))))))))
+(I$263=1)*IF(I$262&lt;bs_pc1_seuil1,7,IF(I$262&lt;bs_pc1_seuil2,6,IF(I$262&lt;bs_pc1_seuil3,5,IF(I$262&lt;bs_pc1_seuil4,4,IF(I$262&lt;bs_pc1_seuil5,3,IF(I$262&lt;bs_pc1_seuil6,2,IF(I$262&lt;bs_pc1_seuil7,1,IF(I$262&lt;bs_pc1_seuil8,0.5,0))))))))
+(I$263=2)*IF(I$262&lt;bs_pc2_seuil1,7,IF(I$262&lt;bs_pc2_seuil2,6,IF(I$262&lt;bs_pc2_seuil3,5,IF(I$262&lt;bs_pc2_seuil4,4,IF(I$262&lt;bs_pc2_seuil5,3,IF(I$262&lt;bs_pc2_seuil6,2,IF(I$262&lt;bs_pc2_seuil7,1,IF(I$262&lt;bs_pc2_seuil8,0.5,0))))))))
+(I$263=3)*IF(I$262&lt;bs_pc3_seuil1,7,IF(I$262&lt;bs_pc3_seuil2,6,IF(I$262&lt;bs_pc3_seuil3,5,IF(I$262&lt;bs_pc3_seuil4,4,IF(I$262&lt;bs_pc3_seuil5,3,IF(I$262&lt;bs_pc3_seuil6,2,IF(I$262&lt;bs_pc3_seuil7,1,IF(I$262&lt;bs_pc3_seuil8,0.5,0))))))))
+(I$263=4)*IF(I$262&lt;bs_pc4_seuil1,7,IF(I$262&lt;bs_pc4_seuil2,6,IF(I$262&lt;bs_pc4_seuil3,5,IF(I$262&lt;bs_pc4_seuil4,4,IF(I$262&lt;bs_pc4_seuil5,3,IF(I$262&lt;bs_pc4_seuil6,2,IF(I$262&lt;bs_pc4_seuil7,1,IF(I$262&lt;bs_pc4_seuil8,0.5,0))))))))
+(I$263=5)*IF(I$262&lt;bs_pc5_seuil1,7,IF(I$262&lt;bs_pc5_seuil2,6,IF(I$262&lt;bs_pc5_seuil3,5,IF(I$262&lt;bs_pc5_seuil4,4,IF(I$262&lt;bs_pc5_seuil5,3,IF(I$262&lt;bs_pc5_seuil6,2,IF(I$262&lt;bs_pc5_seuil7,1,IF(I$262&lt;bs_pc5_seuil8,0.5,0))))))))
+(I$263=6)*IF(I$262&lt;bs_pc6_seuil1,7,IF(I$262&lt;bs_pc6_seuil2,6,IF(I$262&lt;bs_pc6_seuil3,5,IF(I$262&lt;bs_pc6_seuil4,4,IF(I$262&lt;bs_pc6_seuil5,3,IF(I$262&lt;bs_pc6_seuil6,2,IF(I$262&lt;bs_pc6_seuil7,1,IF(I$262&lt;bs_pc6_seuil8,0.5,0))))))))
+(I$263=7)*IF(I$262&lt;bs_pc7_seuil1,7,IF(I$262&lt;bs_pc7_seuil2,6,IF(I$262&lt;bs_pc7_seuil3,5,IF(I$262&lt;bs_pc7_seuil4,4,IF(I$262&lt;bs_pc7_seuil5,3,IF(I$262&lt;bs_pc7_seuil6,2,IF(I$262&lt;bs_pc7_seuil7,1,IF(I$262&lt;bs_pc7_seuil8,0.5,0))))))))
+(I$263=8)*IF(I$262&lt;bs_pc8_seuil1,7,IF(I$262&lt;bs_pc8_seuil2,6,IF(I$262&lt;bs_pc8_seuil3,5,IF(I$262&lt;bs_pc8_seuil4,4,IF(I$262&lt;bs_pc8_seuil5,3,IF(I$262&lt;bs_pc8_seuil6,2,IF(I$262&lt;bs_pc8_seuil7,1,IF(I$262&lt;bs_pc8_seuil8,0.5,0))))))))
+(I$263=9)*IF(I$262&lt;bs_pc9_seuil1,7,IF(I$262&lt;bs_pc9_seuil2,6,IF(I$262&lt;bs_pc9_seuil3,5,IF(I$262&lt;bs_pc9_seuil4,4,IF(I$262&lt;bs_pc9_seuil5,3,IF(I$262&lt;bs_pc9_seuil6,2,IF(I$262&lt;bs_pc9_seuil7,1,IF(I$262&lt;bs_pc9_seuil8,0.5,0))))))))
+(I$263=10)*IF(I$262&lt;bs_pc10_seuil1,7,IF(I$262&lt;bs_pc10_seuil2,6,IF(I$262&lt;bs_pc10_seuil3,5,IF(I$262&lt;bs_pc10_seuil4,4,IF(I$262&lt;bs_pc10_seuil5,3,IF(I$262&lt;bs_pc10_seuil6,2,IF(I$262&lt;bs_pc10_seuil7,1,IF(I$262&lt;bs_pc10_seuil8,0.5,0))))))))
+(I$263=11)*IF(I$262&lt;bs_pc11_seuil1,7,IF(I$262&lt;bs_pc11_seuil2,6,IF(I$262&lt;bs_pc11_seuil3,5,IF(I$262&lt;bs_pc11_seuil4,4,IF(I$262&lt;bs_pc11_seuil5,3,IF(I$262&lt;bs_pc11_seuil6,2,IF(I$262&lt;bs_pc11_seuil7,1,IF(I$262&lt;bs_pc11_seuil8,0.5,0))))))))
+(I$263=12)*IF(I$262&lt;bs_pc12_seuil1,7,IF(I$262&lt;bs_pc12_seuil2,6,IF(I$262&lt;bs_pc12_seuil3,5,IF(I$262&lt;bs_pc12_seuil4,4,IF(I$262&lt;bs_pc12_seuil5,3,IF(I$262&lt;bs_pc12_seuil6,2,IF(I$262&lt;bs_pc12_seuil7,1,IF(I$262&lt;bs_pc12_seuil8,0.5,0))))))))
+(I$263=13)*IF(I$262&lt;bs_pc13_seuil1,7,IF(I$262&lt;bs_pc13_seuil2,6,IF(I$262&lt;bs_pc13_seuil3,5,IF(I$262&lt;bs_pc13_seuil4,4,IF(I$262&lt;bs_pc13_seuil5,3,IF(I$262&lt;bs_pc13_seuil6,2,IF(I$262&lt;bs_pc13_seuil7,1,IF(I$262&lt;bs_pc13_seuil8,0.5,0))))))))
+(I$263=14)*IF(I$262&lt;bs_pc14_seuil1,7,IF(I$262&lt;bs_pc14_seuil2,6,IF(I$262&lt;bs_pc14_seuil3,5,IF(I$262&lt;bs_pc14_seuil4,4,IF(I$262&lt;bs_pc14_seuil5,3,IF(I$262&lt;bs_pc14_seuil6,2,IF(I$262&lt;bs_pc14_seuil7,1,IF(I$262&lt;bs_pc14_seuil8,0.5,0))))))))
+(I$263=15)*IF(I$262&lt;bs_pc15_seuil1,7,IF(I$262&lt;bs_pc15_seuil2,6,IF(I$262&lt;bs_pc15_seuil3,5,IF(I$262&lt;bs_pc15_seuil4,4,IF(I$262&lt;bs_pc15_seuil5,3,IF(I$262&lt;bs_pc15_seuil6,2,IF(I$262&lt;bs_pc15_seuil7,1,IF(I$262&lt;bs_pc15_seuil8,0.5,0))))))))
+(I$263=16)*IF(I$262&lt;bs_pc16_seuil1,7,IF(I$262&lt;bs_pc16_seuil2,6,IF(I$262&lt;bs_pc16_seuil3,5,IF(I$262&lt;bs_pc16_seuil4,4,IF(I$262&lt;bs_pc16_seuil5,3,IF(I$262&lt;bs_pc16_seuil6,2,IF(I$262&lt;bs_pc16_seuil7,1,IF(I$262&lt;bs_pc16_seuil8,0.5,0))))))))
+(I$263=17)*IF(I$262&lt;bs_pc17_seuil1,7,IF(I$262&lt;bs_pc17_seuil2,6,IF(I$262&lt;bs_pc17_seuil3,5,IF(I$262&lt;bs_pc17_seuil4,4,IF(I$262&lt;bs_pc17_seuil5,3,IF(I$262&lt;bs_pc17_seuil6,2,IF(I$262&lt;bs_pc17_seuil7,1,IF(I$262&lt;bs_pc17_seuil8,0.5,0))))))))</f>
        <v>6</v>
      </c>
      <c r="J264" s="262">
        <f>(J$263=0)*IF(J$262&lt;bs_pc0_seuil1,7,IF(J$262&lt;bs_pc0_seuil2,6,IF(J$262&lt;bs_pc0_seuil3,5,IF(J$262&lt;bs_pc0_seuil4,4,IF(J$262&lt;bs_pc0_seuil5,3,IF(J$262&lt;bs_pc0_seuil6,2,IF(J$262&lt;bs_pc0_seuil7,1,IF(J$262&lt;bs_pc0_seuil8,0.5,0))))))))
+(J$263=1)*IF(J$262&lt;bs_pc1_seuil1,7,IF(J$262&lt;bs_pc1_seuil2,6,IF(J$262&lt;bs_pc1_seuil3,5,IF(J$262&lt;bs_pc1_seuil4,4,IF(J$262&lt;bs_pc1_seuil5,3,IF(J$262&lt;bs_pc1_seuil6,2,IF(J$262&lt;bs_pc1_seuil7,1,IF(J$262&lt;bs_pc1_seuil8,0.5,0))))))))
+(J$263=2)*IF(J$262&lt;bs_pc2_seuil1,7,IF(J$262&lt;bs_pc2_seuil2,6,IF(J$262&lt;bs_pc2_seuil3,5,IF(J$262&lt;bs_pc2_seuil4,4,IF(J$262&lt;bs_pc2_seuil5,3,IF(J$262&lt;bs_pc2_seuil6,2,IF(J$262&lt;bs_pc2_seuil7,1,IF(J$262&lt;bs_pc2_seuil8,0.5,0))))))))
+(J$263=3)*IF(J$262&lt;bs_pc3_seuil1,7,IF(J$262&lt;bs_pc3_seuil2,6,IF(J$262&lt;bs_pc3_seuil3,5,IF(J$262&lt;bs_pc3_seuil4,4,IF(J$262&lt;bs_pc3_seuil5,3,IF(J$262&lt;bs_pc3_seuil6,2,IF(J$262&lt;bs_pc3_seuil7,1,IF(J$262&lt;bs_pc3_seuil8,0.5,0))))))))
+(J$263=4)*IF(J$262&lt;bs_pc4_seuil1,7,IF(J$262&lt;bs_pc4_seuil2,6,IF(J$262&lt;bs_pc4_seuil3,5,IF(J$262&lt;bs_pc4_seuil4,4,IF(J$262&lt;bs_pc4_seuil5,3,IF(J$262&lt;bs_pc4_seuil6,2,IF(J$262&lt;bs_pc4_seuil7,1,IF(J$262&lt;bs_pc4_seuil8,0.5,0))))))))
+(J$263=5)*IF(J$262&lt;bs_pc5_seuil1,7,IF(J$262&lt;bs_pc5_seuil2,6,IF(J$262&lt;bs_pc5_seuil3,5,IF(J$262&lt;bs_pc5_seuil4,4,IF(J$262&lt;bs_pc5_seuil5,3,IF(J$262&lt;bs_pc5_seuil6,2,IF(J$262&lt;bs_pc5_seuil7,1,IF(J$262&lt;bs_pc5_seuil8,0.5,0))))))))
+(J$263=6)*IF(J$262&lt;bs_pc6_seuil1,7,IF(J$262&lt;bs_pc6_seuil2,6,IF(J$262&lt;bs_pc6_seuil3,5,IF(J$262&lt;bs_pc6_seuil4,4,IF(J$262&lt;bs_pc6_seuil5,3,IF(J$262&lt;bs_pc6_seuil6,2,IF(J$262&lt;bs_pc6_seuil7,1,IF(J$262&lt;bs_pc6_seuil8,0.5,0))))))))
+(J$263=7)*IF(J$262&lt;bs_pc7_seuil1,7,IF(J$262&lt;bs_pc7_seuil2,6,IF(J$262&lt;bs_pc7_seuil3,5,IF(J$262&lt;bs_pc7_seuil4,4,IF(J$262&lt;bs_pc7_seuil5,3,IF(J$262&lt;bs_pc7_seuil6,2,IF(J$262&lt;bs_pc7_seuil7,1,IF(J$262&lt;bs_pc7_seuil8,0.5,0))))))))
+(J$263=8)*IF(J$262&lt;bs_pc8_seuil1,7,IF(J$262&lt;bs_pc8_seuil2,6,IF(J$262&lt;bs_pc8_seuil3,5,IF(J$262&lt;bs_pc8_seuil4,4,IF(J$262&lt;bs_pc8_seuil5,3,IF(J$262&lt;bs_pc8_seuil6,2,IF(J$262&lt;bs_pc8_seuil7,1,IF(J$262&lt;bs_pc8_seuil8,0.5,0))))))))
+(J$263=9)*IF(J$262&lt;bs_pc9_seuil1,7,IF(J$262&lt;bs_pc9_seuil2,6,IF(J$262&lt;bs_pc9_seuil3,5,IF(J$262&lt;bs_pc9_seuil4,4,IF(J$262&lt;bs_pc9_seuil5,3,IF(J$262&lt;bs_pc9_seuil6,2,IF(J$262&lt;bs_pc9_seuil7,1,IF(J$262&lt;bs_pc9_seuil8,0.5,0))))))))
+(J$263=10)*IF(J$262&lt;bs_pc10_seuil1,7,IF(J$262&lt;bs_pc10_seuil2,6,IF(J$262&lt;bs_pc10_seuil3,5,IF(J$262&lt;bs_pc10_seuil4,4,IF(J$262&lt;bs_pc10_seuil5,3,IF(J$262&lt;bs_pc10_seuil6,2,IF(J$262&lt;bs_pc10_seuil7,1,IF(J$262&lt;bs_pc10_seuil8,0.5,0))))))))
+(J$263=11)*IF(J$262&lt;bs_pc11_seuil1,7,IF(J$262&lt;bs_pc11_seuil2,6,IF(J$262&lt;bs_pc11_seuil3,5,IF(J$262&lt;bs_pc11_seuil4,4,IF(J$262&lt;bs_pc11_seuil5,3,IF(J$262&lt;bs_pc11_seuil6,2,IF(J$262&lt;bs_pc11_seuil7,1,IF(J$262&lt;bs_pc11_seuil8,0.5,0))))))))
+(J$263=12)*IF(J$262&lt;bs_pc12_seuil1,7,IF(J$262&lt;bs_pc12_seuil2,6,IF(J$262&lt;bs_pc12_seuil3,5,IF(J$262&lt;bs_pc12_seuil4,4,IF(J$262&lt;bs_pc12_seuil5,3,IF(J$262&lt;bs_pc12_seuil6,2,IF(J$262&lt;bs_pc12_seuil7,1,IF(J$262&lt;bs_pc12_seuil8,0.5,0))))))))
+(J$263=13)*IF(J$262&lt;bs_pc13_seuil1,7,IF(J$262&lt;bs_pc13_seuil2,6,IF(J$262&lt;bs_pc13_seuil3,5,IF(J$262&lt;bs_pc13_seuil4,4,IF(J$262&lt;bs_pc13_seuil5,3,IF(J$262&lt;bs_pc13_seuil6,2,IF(J$262&lt;bs_pc13_seuil7,1,IF(J$262&lt;bs_pc13_seuil8,0.5,0))))))))
+(J$263=14)*IF(J$262&lt;bs_pc14_seuil1,7,IF(J$262&lt;bs_pc14_seuil2,6,IF(J$262&lt;bs_pc14_seuil3,5,IF(J$262&lt;bs_pc14_seuil4,4,IF(J$262&lt;bs_pc14_seuil5,3,IF(J$262&lt;bs_pc14_seuil6,2,IF(J$262&lt;bs_pc14_seuil7,1,IF(J$262&lt;bs_pc14_seuil8,0.5,0))))))))
+(J$263=15)*IF(J$262&lt;bs_pc15_seuil1,7,IF(J$262&lt;bs_pc15_seuil2,6,IF(J$262&lt;bs_pc15_seuil3,5,IF(J$262&lt;bs_pc15_seuil4,4,IF(J$262&lt;bs_pc15_seuil5,3,IF(J$262&lt;bs_pc15_seuil6,2,IF(J$262&lt;bs_pc15_seuil7,1,IF(J$262&lt;bs_pc15_seuil8,0.5,0))))))))
+(J$263=16)*IF(J$262&lt;bs_pc16_seuil1,7,IF(J$262&lt;bs_pc16_seuil2,6,IF(J$262&lt;bs_pc16_seuil3,5,IF(J$262&lt;bs_pc16_seuil4,4,IF(J$262&lt;bs_pc16_seuil5,3,IF(J$262&lt;bs_pc16_seuil6,2,IF(J$262&lt;bs_pc16_seuil7,1,IF(J$262&lt;bs_pc16_seuil8,0.5,0))))))))
+(J$263=17)*IF(J$262&lt;bs_pc17_seuil1,7,IF(J$262&lt;bs_pc17_seuil2,6,IF(J$262&lt;bs_pc17_seuil3,5,IF(J$262&lt;bs_pc17_seuil4,4,IF(J$262&lt;bs_pc17_seuil5,3,IF(J$262&lt;bs_pc17_seuil6,2,IF(J$262&lt;bs_pc17_seuil7,1,IF(J$262&lt;bs_pc17_seuil8,0.5,0))))))))</f>
        <v>4</v>
      </c>
      <c r="K264" s="262">
        <f>(K$263=0)*IF(K$262&lt;bs_pc0_seuil1,7,IF(K$262&lt;bs_pc0_seuil2,6,IF(K$262&lt;bs_pc0_seuil3,5,IF(K$262&lt;bs_pc0_seuil4,4,IF(K$262&lt;bs_pc0_seuil5,3,IF(K$262&lt;bs_pc0_seuil6,2,IF(K$262&lt;bs_pc0_seuil7,1,IF(K$262&lt;bs_pc0_seuil8,0.5,0))))))))
+(K$263=1)*IF(K$262&lt;bs_pc1_seuil1,7,IF(K$262&lt;bs_pc1_seuil2,6,IF(K$262&lt;bs_pc1_seuil3,5,IF(K$262&lt;bs_pc1_seuil4,4,IF(K$262&lt;bs_pc1_seuil5,3,IF(K$262&lt;bs_pc1_seuil6,2,IF(K$262&lt;bs_pc1_seuil7,1,IF(K$262&lt;bs_pc1_seuil8,0.5,0))))))))
+(K$263=2)*IF(K$262&lt;bs_pc2_seuil1,7,IF(K$262&lt;bs_pc2_seuil2,6,IF(K$262&lt;bs_pc2_seuil3,5,IF(K$262&lt;bs_pc2_seuil4,4,IF(K$262&lt;bs_pc2_seuil5,3,IF(K$262&lt;bs_pc2_seuil6,2,IF(K$262&lt;bs_pc2_seuil7,1,IF(K$262&lt;bs_pc2_seuil8,0.5,0))))))))
+(K$263=3)*IF(K$262&lt;bs_pc3_seuil1,7,IF(K$262&lt;bs_pc3_seuil2,6,IF(K$262&lt;bs_pc3_seuil3,5,IF(K$262&lt;bs_pc3_seuil4,4,IF(K$262&lt;bs_pc3_seuil5,3,IF(K$262&lt;bs_pc3_seuil6,2,IF(K$262&lt;bs_pc3_seuil7,1,IF(K$262&lt;bs_pc3_seuil8,0.5,0))))))))
+(K$263=4)*IF(K$262&lt;bs_pc4_seuil1,7,IF(K$262&lt;bs_pc4_seuil2,6,IF(K$262&lt;bs_pc4_seuil3,5,IF(K$262&lt;bs_pc4_seuil4,4,IF(K$262&lt;bs_pc4_seuil5,3,IF(K$262&lt;bs_pc4_seuil6,2,IF(K$262&lt;bs_pc4_seuil7,1,IF(K$262&lt;bs_pc4_seuil8,0.5,0))))))))
+(K$263=5)*IF(K$262&lt;bs_pc5_seuil1,7,IF(K$262&lt;bs_pc5_seuil2,6,IF(K$262&lt;bs_pc5_seuil3,5,IF(K$262&lt;bs_pc5_seuil4,4,IF(K$262&lt;bs_pc5_seuil5,3,IF(K$262&lt;bs_pc5_seuil6,2,IF(K$262&lt;bs_pc5_seuil7,1,IF(K$262&lt;bs_pc5_seuil8,0.5,0))))))))
+(K$263=6)*IF(K$262&lt;bs_pc6_seuil1,7,IF(K$262&lt;bs_pc6_seuil2,6,IF(K$262&lt;bs_pc6_seuil3,5,IF(K$262&lt;bs_pc6_seuil4,4,IF(K$262&lt;bs_pc6_seuil5,3,IF(K$262&lt;bs_pc6_seuil6,2,IF(K$262&lt;bs_pc6_seuil7,1,IF(K$262&lt;bs_pc6_seuil8,0.5,0))))))))
+(K$263=7)*IF(K$262&lt;bs_pc7_seuil1,7,IF(K$262&lt;bs_pc7_seuil2,6,IF(K$262&lt;bs_pc7_seuil3,5,IF(K$262&lt;bs_pc7_seuil4,4,IF(K$262&lt;bs_pc7_seuil5,3,IF(K$262&lt;bs_pc7_seuil6,2,IF(K$262&lt;bs_pc7_seuil7,1,IF(K$262&lt;bs_pc7_seuil8,0.5,0))))))))
+(K$263=8)*IF(K$262&lt;bs_pc8_seuil1,7,IF(K$262&lt;bs_pc8_seuil2,6,IF(K$262&lt;bs_pc8_seuil3,5,IF(K$262&lt;bs_pc8_seuil4,4,IF(K$262&lt;bs_pc8_seuil5,3,IF(K$262&lt;bs_pc8_seuil6,2,IF(K$262&lt;bs_pc8_seuil7,1,IF(K$262&lt;bs_pc8_seuil8,0.5,0))))))))
+(K$263=9)*IF(K$262&lt;bs_pc9_seuil1,7,IF(K$262&lt;bs_pc9_seuil2,6,IF(K$262&lt;bs_pc9_seuil3,5,IF(K$262&lt;bs_pc9_seuil4,4,IF(K$262&lt;bs_pc9_seuil5,3,IF(K$262&lt;bs_pc9_seuil6,2,IF(K$262&lt;bs_pc9_seuil7,1,IF(K$262&lt;bs_pc9_seuil8,0.5,0))))))))
+(K$263=10)*IF(K$262&lt;bs_pc10_seuil1,7,IF(K$262&lt;bs_pc10_seuil2,6,IF(K$262&lt;bs_pc10_seuil3,5,IF(K$262&lt;bs_pc10_seuil4,4,IF(K$262&lt;bs_pc10_seuil5,3,IF(K$262&lt;bs_pc10_seuil6,2,IF(K$262&lt;bs_pc10_seuil7,1,IF(K$262&lt;bs_pc10_seuil8,0.5,0))))))))
+(K$263=11)*IF(K$262&lt;bs_pc11_seuil1,7,IF(K$262&lt;bs_pc11_seuil2,6,IF(K$262&lt;bs_pc11_seuil3,5,IF(K$262&lt;bs_pc11_seuil4,4,IF(K$262&lt;bs_pc11_seuil5,3,IF(K$262&lt;bs_pc11_seuil6,2,IF(K$262&lt;bs_pc11_seuil7,1,IF(K$262&lt;bs_pc11_seuil8,0.5,0))))))))
+(K$263=12)*IF(K$262&lt;bs_pc12_seuil1,7,IF(K$262&lt;bs_pc12_seuil2,6,IF(K$262&lt;bs_pc12_seuil3,5,IF(K$262&lt;bs_pc12_seuil4,4,IF(K$262&lt;bs_pc12_seuil5,3,IF(K$262&lt;bs_pc12_seuil6,2,IF(K$262&lt;bs_pc12_seuil7,1,IF(K$262&lt;bs_pc12_seuil8,0.5,0))))))))
+(K$263=13)*IF(K$262&lt;bs_pc13_seuil1,7,IF(K$262&lt;bs_pc13_seuil2,6,IF(K$262&lt;bs_pc13_seuil3,5,IF(K$262&lt;bs_pc13_seuil4,4,IF(K$262&lt;bs_pc13_seuil5,3,IF(K$262&lt;bs_pc13_seuil6,2,IF(K$262&lt;bs_pc13_seuil7,1,IF(K$262&lt;bs_pc13_seuil8,0.5,0))))))))
+(K$263=14)*IF(K$262&lt;bs_pc14_seuil1,7,IF(K$262&lt;bs_pc14_seuil2,6,IF(K$262&lt;bs_pc14_seuil3,5,IF(K$262&lt;bs_pc14_seuil4,4,IF(K$262&lt;bs_pc14_seuil5,3,IF(K$262&lt;bs_pc14_seuil6,2,IF(K$262&lt;bs_pc14_seuil7,1,IF(K$262&lt;bs_pc14_seuil8,0.5,0))))))))
+(K$263=15)*IF(K$262&lt;bs_pc15_seuil1,7,IF(K$262&lt;bs_pc15_seuil2,6,IF(K$262&lt;bs_pc15_seuil3,5,IF(K$262&lt;bs_pc15_seuil4,4,IF(K$262&lt;bs_pc15_seuil5,3,IF(K$262&lt;bs_pc15_seuil6,2,IF(K$262&lt;bs_pc15_seuil7,1,IF(K$262&lt;bs_pc15_seuil8,0.5,0))))))))
+(K$263=16)*IF(K$262&lt;bs_pc16_seuil1,7,IF(K$262&lt;bs_pc16_seuil2,6,IF(K$262&lt;bs_pc16_seuil3,5,IF(K$262&lt;bs_pc16_seuil4,4,IF(K$262&lt;bs_pc16_seuil5,3,IF(K$262&lt;bs_pc16_seuil6,2,IF(K$262&lt;bs_pc16_seuil7,1,IF(K$262&lt;bs_pc16_seuil8,0.5,0))))))))
+(K$263=17)*IF(K$262&lt;bs_pc17_seuil1,7,IF(K$262&lt;bs_pc17_seuil2,6,IF(K$262&lt;bs_pc17_seuil3,5,IF(K$262&lt;bs_pc17_seuil4,4,IF(K$262&lt;bs_pc17_seuil5,3,IF(K$262&lt;bs_pc17_seuil6,2,IF(K$262&lt;bs_pc17_seuil7,1,IF(K$262&lt;bs_pc17_seuil8,0.5,0))))))))</f>
        <v>1</v>
      </c>
      <c r="M264" s="262">
        <f>(M$263=0)*IF(M$262&lt;bs_pc0_seuil1,7,IF(M$262&lt;bs_pc0_seuil2,6,IF(M$262&lt;bs_pc0_seuil3,5,IF(M$262&lt;bs_pc0_seuil4,4,IF(M$262&lt;bs_pc0_seuil5,3,IF(M$262&lt;bs_pc0_seuil6,2,IF(M$262&lt;bs_pc0_seuil7,1,IF(M$262&lt;bs_pc0_seuil8,0.5,0))))))))
+(M$263=1)*IF(M$262&lt;bs_pc1_seuil1,7,IF(M$262&lt;bs_pc1_seuil2,6,IF(M$262&lt;bs_pc1_seuil3,5,IF(M$262&lt;bs_pc1_seuil4,4,IF(M$262&lt;bs_pc1_seuil5,3,IF(M$262&lt;bs_pc1_seuil6,2,IF(M$262&lt;bs_pc1_seuil7,1,IF(M$262&lt;bs_pc1_seuil8,0.5,0))))))))
+(M$263=2)*IF(M$262&lt;bs_pc2_seuil1,7,IF(M$262&lt;bs_pc2_seuil2,6,IF(M$262&lt;bs_pc2_seuil3,5,IF(M$262&lt;bs_pc2_seuil4,4,IF(M$262&lt;bs_pc2_seuil5,3,IF(M$262&lt;bs_pc2_seuil6,2,IF(M$262&lt;bs_pc2_seuil7,1,IF(M$262&lt;bs_pc2_seuil8,0.5,0))))))))
+(M$263=3)*IF(M$262&lt;bs_pc3_seuil1,7,IF(M$262&lt;bs_pc3_seuil2,6,IF(M$262&lt;bs_pc3_seuil3,5,IF(M$262&lt;bs_pc3_seuil4,4,IF(M$262&lt;bs_pc3_seuil5,3,IF(M$262&lt;bs_pc3_seuil6,2,IF(M$262&lt;bs_pc3_seuil7,1,IF(M$262&lt;bs_pc3_seuil8,0.5,0))))))))
+(M$263=4)*IF(M$262&lt;bs_pc4_seuil1,7,IF(M$262&lt;bs_pc4_seuil2,6,IF(M$262&lt;bs_pc4_seuil3,5,IF(M$262&lt;bs_pc4_seuil4,4,IF(M$262&lt;bs_pc4_seuil5,3,IF(M$262&lt;bs_pc4_seuil6,2,IF(M$262&lt;bs_pc4_seuil7,1,IF(M$262&lt;bs_pc4_seuil8,0.5,0))))))))
+(M$263=5)*IF(M$262&lt;bs_pc5_seuil1,7,IF(M$262&lt;bs_pc5_seuil2,6,IF(M$262&lt;bs_pc5_seuil3,5,IF(M$262&lt;bs_pc5_seuil4,4,IF(M$262&lt;bs_pc5_seuil5,3,IF(M$262&lt;bs_pc5_seuil6,2,IF(M$262&lt;bs_pc5_seuil7,1,IF(M$262&lt;bs_pc5_seuil8,0.5,0))))))))
+(M$263=6)*IF(M$262&lt;bs_pc6_seuil1,7,IF(M$262&lt;bs_pc6_seuil2,6,IF(M$262&lt;bs_pc6_seuil3,5,IF(M$262&lt;bs_pc6_seuil4,4,IF(M$262&lt;bs_pc6_seuil5,3,IF(M$262&lt;bs_pc6_seuil6,2,IF(M$262&lt;bs_pc6_seuil7,1,IF(M$262&lt;bs_pc6_seuil8,0.5,0))))))))
+(M$263=7)*IF(M$262&lt;bs_pc7_seuil1,7,IF(M$262&lt;bs_pc7_seuil2,6,IF(M$262&lt;bs_pc7_seuil3,5,IF(M$262&lt;bs_pc7_seuil4,4,IF(M$262&lt;bs_pc7_seuil5,3,IF(M$262&lt;bs_pc7_seuil6,2,IF(M$262&lt;bs_pc7_seuil7,1,IF(M$262&lt;bs_pc7_seuil8,0.5,0))))))))
+(M$263=8)*IF(M$262&lt;bs_pc8_seuil1,7,IF(M$262&lt;bs_pc8_seuil2,6,IF(M$262&lt;bs_pc8_seuil3,5,IF(M$262&lt;bs_pc8_seuil4,4,IF(M$262&lt;bs_pc8_seuil5,3,IF(M$262&lt;bs_pc8_seuil6,2,IF(M$262&lt;bs_pc8_seuil7,1,IF(M$262&lt;bs_pc8_seuil8,0.5,0))))))))
+(M$263=9)*IF(M$262&lt;bs_pc9_seuil1,7,IF(M$262&lt;bs_pc9_seuil2,6,IF(M$262&lt;bs_pc9_seuil3,5,IF(M$262&lt;bs_pc9_seuil4,4,IF(M$262&lt;bs_pc9_seuil5,3,IF(M$262&lt;bs_pc9_seuil6,2,IF(M$262&lt;bs_pc9_seuil7,1,IF(M$262&lt;bs_pc9_seuil8,0.5,0))))))))
+(M$263=10)*IF(M$262&lt;bs_pc10_seuil1,7,IF(M$262&lt;bs_pc10_seuil2,6,IF(M$262&lt;bs_pc10_seuil3,5,IF(M$262&lt;bs_pc10_seuil4,4,IF(M$262&lt;bs_pc10_seuil5,3,IF(M$262&lt;bs_pc10_seuil6,2,IF(M$262&lt;bs_pc10_seuil7,1,IF(M$262&lt;bs_pc10_seuil8,0.5,0))))))))
+(M$263=11)*IF(M$262&lt;bs_pc11_seuil1,7,IF(M$262&lt;bs_pc11_seuil2,6,IF(M$262&lt;bs_pc11_seuil3,5,IF(M$262&lt;bs_pc11_seuil4,4,IF(M$262&lt;bs_pc11_seuil5,3,IF(M$262&lt;bs_pc11_seuil6,2,IF(M$262&lt;bs_pc11_seuil7,1,IF(M$262&lt;bs_pc11_seuil8,0.5,0))))))))
+(M$263=12)*IF(M$262&lt;bs_pc12_seuil1,7,IF(M$262&lt;bs_pc12_seuil2,6,IF(M$262&lt;bs_pc12_seuil3,5,IF(M$262&lt;bs_pc12_seuil4,4,IF(M$262&lt;bs_pc12_seuil5,3,IF(M$262&lt;bs_pc12_seuil6,2,IF(M$262&lt;bs_pc12_seuil7,1,IF(M$262&lt;bs_pc12_seuil8,0.5,0))))))))
+(M$263=13)*IF(M$262&lt;bs_pc13_seuil1,7,IF(M$262&lt;bs_pc13_seuil2,6,IF(M$262&lt;bs_pc13_seuil3,5,IF(M$262&lt;bs_pc13_seuil4,4,IF(M$262&lt;bs_pc13_seuil5,3,IF(M$262&lt;bs_pc13_seuil6,2,IF(M$262&lt;bs_pc13_seuil7,1,IF(M$262&lt;bs_pc13_seuil8,0.5,0))))))))
+(M$263=14)*IF(M$262&lt;bs_pc14_seuil1,7,IF(M$262&lt;bs_pc14_seuil2,6,IF(M$262&lt;bs_pc14_seuil3,5,IF(M$262&lt;bs_pc14_seuil4,4,IF(M$262&lt;bs_pc14_seuil5,3,IF(M$262&lt;bs_pc14_seuil6,2,IF(M$262&lt;bs_pc14_seuil7,1,IF(M$262&lt;bs_pc14_seuil8,0.5,0))))))))
+(M$263=15)*IF(M$262&lt;bs_pc15_seuil1,7,IF(M$262&lt;bs_pc15_seuil2,6,IF(M$262&lt;bs_pc15_seuil3,5,IF(M$262&lt;bs_pc15_seuil4,4,IF(M$262&lt;bs_pc15_seuil5,3,IF(M$262&lt;bs_pc15_seuil6,2,IF(M$262&lt;bs_pc15_seuil7,1,IF(M$262&lt;bs_pc15_seuil8,0.5,0))))))))
+(M$263=16)*IF(M$262&lt;bs_pc16_seuil1,7,IF(M$262&lt;bs_pc16_seuil2,6,IF(M$262&lt;bs_pc16_seuil3,5,IF(M$262&lt;bs_pc16_seuil4,4,IF(M$262&lt;bs_pc16_seuil5,3,IF(M$262&lt;bs_pc16_seuil6,2,IF(M$262&lt;bs_pc16_seuil7,1,IF(M$262&lt;bs_pc16_seuil8,0.5,0))))))))
+(M$263=17)*IF(M$262&lt;bs_pc17_seuil1,7,IF(M$262&lt;bs_pc17_seuil2,6,IF(M$262&lt;bs_pc17_seuil3,5,IF(M$262&lt;bs_pc17_seuil4,4,IF(M$262&lt;bs_pc17_seuil5,3,IF(M$262&lt;bs_pc17_seuil6,2,IF(M$262&lt;bs_pc17_seuil7,1,IF(M$262&lt;bs_pc17_seuil8,0.5,0))))))))</f>
        <v>7</v>
      </c>
      <c r="N264" s="262">
        <f>(N$263=0)*IF(N$262&lt;bs_pc0_seuil1,7,IF(N$262&lt;bs_pc0_seuil2,6,IF(N$262&lt;bs_pc0_seuil3,5,IF(N$262&lt;bs_pc0_seuil4,4,IF(N$262&lt;bs_pc0_seuil5,3,IF(N$262&lt;bs_pc0_seuil6,2,IF(N$262&lt;bs_pc0_seuil7,1,IF(N$262&lt;bs_pc0_seuil8,0.5,0))))))))
+(N$263=1)*IF(N$262&lt;bs_pc1_seuil1,7,IF(N$262&lt;bs_pc1_seuil2,6,IF(N$262&lt;bs_pc1_seuil3,5,IF(N$262&lt;bs_pc1_seuil4,4,IF(N$262&lt;bs_pc1_seuil5,3,IF(N$262&lt;bs_pc1_seuil6,2,IF(N$262&lt;bs_pc1_seuil7,1,IF(N$262&lt;bs_pc1_seuil8,0.5,0))))))))
+(N$263=2)*IF(N$262&lt;bs_pc2_seuil1,7,IF(N$262&lt;bs_pc2_seuil2,6,IF(N$262&lt;bs_pc2_seuil3,5,IF(N$262&lt;bs_pc2_seuil4,4,IF(N$262&lt;bs_pc2_seuil5,3,IF(N$262&lt;bs_pc2_seuil6,2,IF(N$262&lt;bs_pc2_seuil7,1,IF(N$262&lt;bs_pc2_seuil8,0.5,0))))))))
+(N$263=3)*IF(N$262&lt;bs_pc3_seuil1,7,IF(N$262&lt;bs_pc3_seuil2,6,IF(N$262&lt;bs_pc3_seuil3,5,IF(N$262&lt;bs_pc3_seuil4,4,IF(N$262&lt;bs_pc3_seuil5,3,IF(N$262&lt;bs_pc3_seuil6,2,IF(N$262&lt;bs_pc3_seuil7,1,IF(N$262&lt;bs_pc3_seuil8,0.5,0))))))))
+(N$263=4)*IF(N$262&lt;bs_pc4_seuil1,7,IF(N$262&lt;bs_pc4_seuil2,6,IF(N$262&lt;bs_pc4_seuil3,5,IF(N$262&lt;bs_pc4_seuil4,4,IF(N$262&lt;bs_pc4_seuil5,3,IF(N$262&lt;bs_pc4_seuil6,2,IF(N$262&lt;bs_pc4_seuil7,1,IF(N$262&lt;bs_pc4_seuil8,0.5,0))))))))
+(N$263=5)*IF(N$262&lt;bs_pc5_seuil1,7,IF(N$262&lt;bs_pc5_seuil2,6,IF(N$262&lt;bs_pc5_seuil3,5,IF(N$262&lt;bs_pc5_seuil4,4,IF(N$262&lt;bs_pc5_seuil5,3,IF(N$262&lt;bs_pc5_seuil6,2,IF(N$262&lt;bs_pc5_seuil7,1,IF(N$262&lt;bs_pc5_seuil8,0.5,0))))))))
+(N$263=6)*IF(N$262&lt;bs_pc6_seuil1,7,IF(N$262&lt;bs_pc6_seuil2,6,IF(N$262&lt;bs_pc6_seuil3,5,IF(N$262&lt;bs_pc6_seuil4,4,IF(N$262&lt;bs_pc6_seuil5,3,IF(N$262&lt;bs_pc6_seuil6,2,IF(N$262&lt;bs_pc6_seuil7,1,IF(N$262&lt;bs_pc6_seuil8,0.5,0))))))))
+(N$263=7)*IF(N$262&lt;bs_pc7_seuil1,7,IF(N$262&lt;bs_pc7_seuil2,6,IF(N$262&lt;bs_pc7_seuil3,5,IF(N$262&lt;bs_pc7_seuil4,4,IF(N$262&lt;bs_pc7_seuil5,3,IF(N$262&lt;bs_pc7_seuil6,2,IF(N$262&lt;bs_pc7_seuil7,1,IF(N$262&lt;bs_pc7_seuil8,0.5,0))))))))
+(N$263=8)*IF(N$262&lt;bs_pc8_seuil1,7,IF(N$262&lt;bs_pc8_seuil2,6,IF(N$262&lt;bs_pc8_seuil3,5,IF(N$262&lt;bs_pc8_seuil4,4,IF(N$262&lt;bs_pc8_seuil5,3,IF(N$262&lt;bs_pc8_seuil6,2,IF(N$262&lt;bs_pc8_seuil7,1,IF(N$262&lt;bs_pc8_seuil8,0.5,0))))))))
+(N$263=9)*IF(N$262&lt;bs_pc9_seuil1,7,IF(N$262&lt;bs_pc9_seuil2,6,IF(N$262&lt;bs_pc9_seuil3,5,IF(N$262&lt;bs_pc9_seuil4,4,IF(N$262&lt;bs_pc9_seuil5,3,IF(N$262&lt;bs_pc9_seuil6,2,IF(N$262&lt;bs_pc9_seuil7,1,IF(N$262&lt;bs_pc9_seuil8,0.5,0))))))))
+(N$263=10)*IF(N$262&lt;bs_pc10_seuil1,7,IF(N$262&lt;bs_pc10_seuil2,6,IF(N$262&lt;bs_pc10_seuil3,5,IF(N$262&lt;bs_pc10_seuil4,4,IF(N$262&lt;bs_pc10_seuil5,3,IF(N$262&lt;bs_pc10_seuil6,2,IF(N$262&lt;bs_pc10_seuil7,1,IF(N$262&lt;bs_pc10_seuil8,0.5,0))))))))
+(N$263=11)*IF(N$262&lt;bs_pc11_seuil1,7,IF(N$262&lt;bs_pc11_seuil2,6,IF(N$262&lt;bs_pc11_seuil3,5,IF(N$262&lt;bs_pc11_seuil4,4,IF(N$262&lt;bs_pc11_seuil5,3,IF(N$262&lt;bs_pc11_seuil6,2,IF(N$262&lt;bs_pc11_seuil7,1,IF(N$262&lt;bs_pc11_seuil8,0.5,0))))))))
+(N$263=12)*IF(N$262&lt;bs_pc12_seuil1,7,IF(N$262&lt;bs_pc12_seuil2,6,IF(N$262&lt;bs_pc12_seuil3,5,IF(N$262&lt;bs_pc12_seuil4,4,IF(N$262&lt;bs_pc12_seuil5,3,IF(N$262&lt;bs_pc12_seuil6,2,IF(N$262&lt;bs_pc12_seuil7,1,IF(N$262&lt;bs_pc12_seuil8,0.5,0))))))))
+(N$263=13)*IF(N$262&lt;bs_pc13_seuil1,7,IF(N$262&lt;bs_pc13_seuil2,6,IF(N$262&lt;bs_pc13_seuil3,5,IF(N$262&lt;bs_pc13_seuil4,4,IF(N$262&lt;bs_pc13_seuil5,3,IF(N$262&lt;bs_pc13_seuil6,2,IF(N$262&lt;bs_pc13_seuil7,1,IF(N$262&lt;bs_pc13_seuil8,0.5,0))))))))
+(N$263=14)*IF(N$262&lt;bs_pc14_seuil1,7,IF(N$262&lt;bs_pc14_seuil2,6,IF(N$262&lt;bs_pc14_seuil3,5,IF(N$262&lt;bs_pc14_seuil4,4,IF(N$262&lt;bs_pc14_seuil5,3,IF(N$262&lt;bs_pc14_seuil6,2,IF(N$262&lt;bs_pc14_seuil7,1,IF(N$262&lt;bs_pc14_seuil8,0.5,0))))))))
+(N$263=15)*IF(N$262&lt;bs_pc15_seuil1,7,IF(N$262&lt;bs_pc15_seuil2,6,IF(N$262&lt;bs_pc15_seuil3,5,IF(N$262&lt;bs_pc15_seuil4,4,IF(N$262&lt;bs_pc15_seuil5,3,IF(N$262&lt;bs_pc15_seuil6,2,IF(N$262&lt;bs_pc15_seuil7,1,IF(N$262&lt;bs_pc15_seuil8,0.5,0))))))))
+(N$263=16)*IF(N$262&lt;bs_pc16_seuil1,7,IF(N$262&lt;bs_pc16_seuil2,6,IF(N$262&lt;bs_pc16_seuil3,5,IF(N$262&lt;bs_pc16_seuil4,4,IF(N$262&lt;bs_pc16_seuil5,3,IF(N$262&lt;bs_pc16_seuil6,2,IF(N$262&lt;bs_pc16_seuil7,1,IF(N$262&lt;bs_pc16_seuil8,0.5,0))))))))
+(N$263=17)*IF(N$262&lt;bs_pc17_seuil1,7,IF(N$262&lt;bs_pc17_seuil2,6,IF(N$262&lt;bs_pc17_seuil3,5,IF(N$262&lt;bs_pc17_seuil4,4,IF(N$262&lt;bs_pc17_seuil5,3,IF(N$262&lt;bs_pc17_seuil6,2,IF(N$262&lt;bs_pc17_seuil7,1,IF(N$262&lt;bs_pc17_seuil8,0.5,0))))))))</f>
        <v>6</v>
      </c>
      <c r="O264" s="262">
        <f>(O$263=0)*IF(O$262&lt;bs_pc0_seuil1,7,IF(O$262&lt;bs_pc0_seuil2,6,IF(O$262&lt;bs_pc0_seuil3,5,IF(O$262&lt;bs_pc0_seuil4,4,IF(O$262&lt;bs_pc0_seuil5,3,IF(O$262&lt;bs_pc0_seuil6,2,IF(O$262&lt;bs_pc0_seuil7,1,IF(O$262&lt;bs_pc0_seuil8,0.5,0))))))))
+(O$263=1)*IF(O$262&lt;bs_pc1_seuil1,7,IF(O$262&lt;bs_pc1_seuil2,6,IF(O$262&lt;bs_pc1_seuil3,5,IF(O$262&lt;bs_pc1_seuil4,4,IF(O$262&lt;bs_pc1_seuil5,3,IF(O$262&lt;bs_pc1_seuil6,2,IF(O$262&lt;bs_pc1_seuil7,1,IF(O$262&lt;bs_pc1_seuil8,0.5,0))))))))
+(O$263=2)*IF(O$262&lt;bs_pc2_seuil1,7,IF(O$262&lt;bs_pc2_seuil2,6,IF(O$262&lt;bs_pc2_seuil3,5,IF(O$262&lt;bs_pc2_seuil4,4,IF(O$262&lt;bs_pc2_seuil5,3,IF(O$262&lt;bs_pc2_seuil6,2,IF(O$262&lt;bs_pc2_seuil7,1,IF(O$262&lt;bs_pc2_seuil8,0.5,0))))))))
+(O$263=3)*IF(O$262&lt;bs_pc3_seuil1,7,IF(O$262&lt;bs_pc3_seuil2,6,IF(O$262&lt;bs_pc3_seuil3,5,IF(O$262&lt;bs_pc3_seuil4,4,IF(O$262&lt;bs_pc3_seuil5,3,IF(O$262&lt;bs_pc3_seuil6,2,IF(O$262&lt;bs_pc3_seuil7,1,IF(O$262&lt;bs_pc3_seuil8,0.5,0))))))))
+(O$263=4)*IF(O$262&lt;bs_pc4_seuil1,7,IF(O$262&lt;bs_pc4_seuil2,6,IF(O$262&lt;bs_pc4_seuil3,5,IF(O$262&lt;bs_pc4_seuil4,4,IF(O$262&lt;bs_pc4_seuil5,3,IF(O$262&lt;bs_pc4_seuil6,2,IF(O$262&lt;bs_pc4_seuil7,1,IF(O$262&lt;bs_pc4_seuil8,0.5,0))))))))
+(O$263=5)*IF(O$262&lt;bs_pc5_seuil1,7,IF(O$262&lt;bs_pc5_seuil2,6,IF(O$262&lt;bs_pc5_seuil3,5,IF(O$262&lt;bs_pc5_seuil4,4,IF(O$262&lt;bs_pc5_seuil5,3,IF(O$262&lt;bs_pc5_seuil6,2,IF(O$262&lt;bs_pc5_seuil7,1,IF(O$262&lt;bs_pc5_seuil8,0.5,0))))))))
+(O$263=6)*IF(O$262&lt;bs_pc6_seuil1,7,IF(O$262&lt;bs_pc6_seuil2,6,IF(O$262&lt;bs_pc6_seuil3,5,IF(O$262&lt;bs_pc6_seuil4,4,IF(O$262&lt;bs_pc6_seuil5,3,IF(O$262&lt;bs_pc6_seuil6,2,IF(O$262&lt;bs_pc6_seuil7,1,IF(O$262&lt;bs_pc6_seuil8,0.5,0))))))))
+(O$263=7)*IF(O$262&lt;bs_pc7_seuil1,7,IF(O$262&lt;bs_pc7_seuil2,6,IF(O$262&lt;bs_pc7_seuil3,5,IF(O$262&lt;bs_pc7_seuil4,4,IF(O$262&lt;bs_pc7_seuil5,3,IF(O$262&lt;bs_pc7_seuil6,2,IF(O$262&lt;bs_pc7_seuil7,1,IF(O$262&lt;bs_pc7_seuil8,0.5,0))))))))
+(O$263=8)*IF(O$262&lt;bs_pc8_seuil1,7,IF(O$262&lt;bs_pc8_seuil2,6,IF(O$262&lt;bs_pc8_seuil3,5,IF(O$262&lt;bs_pc8_seuil4,4,IF(O$262&lt;bs_pc8_seuil5,3,IF(O$262&lt;bs_pc8_seuil6,2,IF(O$262&lt;bs_pc8_seuil7,1,IF(O$262&lt;bs_pc8_seuil8,0.5,0))))))))
+(O$263=9)*IF(O$262&lt;bs_pc9_seuil1,7,IF(O$262&lt;bs_pc9_seuil2,6,IF(O$262&lt;bs_pc9_seuil3,5,IF(O$262&lt;bs_pc9_seuil4,4,IF(O$262&lt;bs_pc9_seuil5,3,IF(O$262&lt;bs_pc9_seuil6,2,IF(O$262&lt;bs_pc9_seuil7,1,IF(O$262&lt;bs_pc9_seuil8,0.5,0))))))))
+(O$263=10)*IF(O$262&lt;bs_pc10_seuil1,7,IF(O$262&lt;bs_pc10_seuil2,6,IF(O$262&lt;bs_pc10_seuil3,5,IF(O$262&lt;bs_pc10_seuil4,4,IF(O$262&lt;bs_pc10_seuil5,3,IF(O$262&lt;bs_pc10_seuil6,2,IF(O$262&lt;bs_pc10_seuil7,1,IF(O$262&lt;bs_pc10_seuil8,0.5,0))))))))
+(O$263=11)*IF(O$262&lt;bs_pc11_seuil1,7,IF(O$262&lt;bs_pc11_seuil2,6,IF(O$262&lt;bs_pc11_seuil3,5,IF(O$262&lt;bs_pc11_seuil4,4,IF(O$262&lt;bs_pc11_seuil5,3,IF(O$262&lt;bs_pc11_seuil6,2,IF(O$262&lt;bs_pc11_seuil7,1,IF(O$262&lt;bs_pc11_seuil8,0.5,0))))))))
+(O$263=12)*IF(O$262&lt;bs_pc12_seuil1,7,IF(O$262&lt;bs_pc12_seuil2,6,IF(O$262&lt;bs_pc12_seuil3,5,IF(O$262&lt;bs_pc12_seuil4,4,IF(O$262&lt;bs_pc12_seuil5,3,IF(O$262&lt;bs_pc12_seuil6,2,IF(O$262&lt;bs_pc12_seuil7,1,IF(O$262&lt;bs_pc12_seuil8,0.5,0))))))))
+(O$263=13)*IF(O$262&lt;bs_pc13_seuil1,7,IF(O$262&lt;bs_pc13_seuil2,6,IF(O$262&lt;bs_pc13_seuil3,5,IF(O$262&lt;bs_pc13_seuil4,4,IF(O$262&lt;bs_pc13_seuil5,3,IF(O$262&lt;bs_pc13_seuil6,2,IF(O$262&lt;bs_pc13_seuil7,1,IF(O$262&lt;bs_pc13_seuil8,0.5,0))))))))
+(O$263=14)*IF(O$262&lt;bs_pc14_seuil1,7,IF(O$262&lt;bs_pc14_seuil2,6,IF(O$262&lt;bs_pc14_seuil3,5,IF(O$262&lt;bs_pc14_seuil4,4,IF(O$262&lt;bs_pc14_seuil5,3,IF(O$262&lt;bs_pc14_seuil6,2,IF(O$262&lt;bs_pc14_seuil7,1,IF(O$262&lt;bs_pc14_seuil8,0.5,0))))))))
+(O$263=15)*IF(O$262&lt;bs_pc15_seuil1,7,IF(O$262&lt;bs_pc15_seuil2,6,IF(O$262&lt;bs_pc15_seuil3,5,IF(O$262&lt;bs_pc15_seuil4,4,IF(O$262&lt;bs_pc15_seuil5,3,IF(O$262&lt;bs_pc15_seuil6,2,IF(O$262&lt;bs_pc15_seuil7,1,IF(O$262&lt;bs_pc15_seuil8,0.5,0))))))))
+(O$263=16)*IF(O$262&lt;bs_pc16_seuil1,7,IF(O$262&lt;bs_pc16_seuil2,6,IF(O$262&lt;bs_pc16_seuil3,5,IF(O$262&lt;bs_pc16_seuil4,4,IF(O$262&lt;bs_pc16_seuil5,3,IF(O$262&lt;bs_pc16_seuil6,2,IF(O$262&lt;bs_pc16_seuil7,1,IF(O$262&lt;bs_pc16_seuil8,0.5,0))))))))
+(O$263=17)*IF(O$262&lt;bs_pc17_seuil1,7,IF(O$262&lt;bs_pc17_seuil2,6,IF(O$262&lt;bs_pc17_seuil3,5,IF(O$262&lt;bs_pc17_seuil4,4,IF(O$262&lt;bs_pc17_seuil5,3,IF(O$262&lt;bs_pc17_seuil6,2,IF(O$262&lt;bs_pc17_seuil7,1,IF(O$262&lt;bs_pc17_seuil8,0.5,0))))))))</f>
        <v>4</v>
      </c>
      <c r="P264" s="262">
        <f>(P$263=0)*IF(P$262&lt;bs_pc0_seuil1,7,IF(P$262&lt;bs_pc0_seuil2,6,IF(P$262&lt;bs_pc0_seuil3,5,IF(P$262&lt;bs_pc0_seuil4,4,IF(P$262&lt;bs_pc0_seuil5,3,IF(P$262&lt;bs_pc0_seuil6,2,IF(P$262&lt;bs_pc0_seuil7,1,IF(P$262&lt;bs_pc0_seuil8,0.5,0))))))))
+(P$263=1)*IF(P$262&lt;bs_pc1_seuil1,7,IF(P$262&lt;bs_pc1_seuil2,6,IF(P$262&lt;bs_pc1_seuil3,5,IF(P$262&lt;bs_pc1_seuil4,4,IF(P$262&lt;bs_pc1_seuil5,3,IF(P$262&lt;bs_pc1_seuil6,2,IF(P$262&lt;bs_pc1_seuil7,1,IF(P$262&lt;bs_pc1_seuil8,0.5,0))))))))
+(P$263=2)*IF(P$262&lt;bs_pc2_seuil1,7,IF(P$262&lt;bs_pc2_seuil2,6,IF(P$262&lt;bs_pc2_seuil3,5,IF(P$262&lt;bs_pc2_seuil4,4,IF(P$262&lt;bs_pc2_seuil5,3,IF(P$262&lt;bs_pc2_seuil6,2,IF(P$262&lt;bs_pc2_seuil7,1,IF(P$262&lt;bs_pc2_seuil8,0.5,0))))))))
+(P$263=3)*IF(P$262&lt;bs_pc3_seuil1,7,IF(P$262&lt;bs_pc3_seuil2,6,IF(P$262&lt;bs_pc3_seuil3,5,IF(P$262&lt;bs_pc3_seuil4,4,IF(P$262&lt;bs_pc3_seuil5,3,IF(P$262&lt;bs_pc3_seuil6,2,IF(P$262&lt;bs_pc3_seuil7,1,IF(P$262&lt;bs_pc3_seuil8,0.5,0))))))))
+(P$263=4)*IF(P$262&lt;bs_pc4_seuil1,7,IF(P$262&lt;bs_pc4_seuil2,6,IF(P$262&lt;bs_pc4_seuil3,5,IF(P$262&lt;bs_pc4_seuil4,4,IF(P$262&lt;bs_pc4_seuil5,3,IF(P$262&lt;bs_pc4_seuil6,2,IF(P$262&lt;bs_pc4_seuil7,1,IF(P$262&lt;bs_pc4_seuil8,0.5,0))))))))
+(P$263=5)*IF(P$262&lt;bs_pc5_seuil1,7,IF(P$262&lt;bs_pc5_seuil2,6,IF(P$262&lt;bs_pc5_seuil3,5,IF(P$262&lt;bs_pc5_seuil4,4,IF(P$262&lt;bs_pc5_seuil5,3,IF(P$262&lt;bs_pc5_seuil6,2,IF(P$262&lt;bs_pc5_seuil7,1,IF(P$262&lt;bs_pc5_seuil8,0.5,0))))))))
+(P$263=6)*IF(P$262&lt;bs_pc6_seuil1,7,IF(P$262&lt;bs_pc6_seuil2,6,IF(P$262&lt;bs_pc6_seuil3,5,IF(P$262&lt;bs_pc6_seuil4,4,IF(P$262&lt;bs_pc6_seuil5,3,IF(P$262&lt;bs_pc6_seuil6,2,IF(P$262&lt;bs_pc6_seuil7,1,IF(P$262&lt;bs_pc6_seuil8,0.5,0))))))))
+(P$263=7)*IF(P$262&lt;bs_pc7_seuil1,7,IF(P$262&lt;bs_pc7_seuil2,6,IF(P$262&lt;bs_pc7_seuil3,5,IF(P$262&lt;bs_pc7_seuil4,4,IF(P$262&lt;bs_pc7_seuil5,3,IF(P$262&lt;bs_pc7_seuil6,2,IF(P$262&lt;bs_pc7_seuil7,1,IF(P$262&lt;bs_pc7_seuil8,0.5,0))))))))
+(P$263=8)*IF(P$262&lt;bs_pc8_seuil1,7,IF(P$262&lt;bs_pc8_seuil2,6,IF(P$262&lt;bs_pc8_seuil3,5,IF(P$262&lt;bs_pc8_seuil4,4,IF(P$262&lt;bs_pc8_seuil5,3,IF(P$262&lt;bs_pc8_seuil6,2,IF(P$262&lt;bs_pc8_seuil7,1,IF(P$262&lt;bs_pc8_seuil8,0.5,0))))))))
+(P$263=9)*IF(P$262&lt;bs_pc9_seuil1,7,IF(P$262&lt;bs_pc9_seuil2,6,IF(P$262&lt;bs_pc9_seuil3,5,IF(P$262&lt;bs_pc9_seuil4,4,IF(P$262&lt;bs_pc9_seuil5,3,IF(P$262&lt;bs_pc9_seuil6,2,IF(P$262&lt;bs_pc9_seuil7,1,IF(P$262&lt;bs_pc9_seuil8,0.5,0))))))))
+(P$263=10)*IF(P$262&lt;bs_pc10_seuil1,7,IF(P$262&lt;bs_pc10_seuil2,6,IF(P$262&lt;bs_pc10_seuil3,5,IF(P$262&lt;bs_pc10_seuil4,4,IF(P$262&lt;bs_pc10_seuil5,3,IF(P$262&lt;bs_pc10_seuil6,2,IF(P$262&lt;bs_pc10_seuil7,1,IF(P$262&lt;bs_pc10_seuil8,0.5,0))))))))
+(P$263=11)*IF(P$262&lt;bs_pc11_seuil1,7,IF(P$262&lt;bs_pc11_seuil2,6,IF(P$262&lt;bs_pc11_seuil3,5,IF(P$262&lt;bs_pc11_seuil4,4,IF(P$262&lt;bs_pc11_seuil5,3,IF(P$262&lt;bs_pc11_seuil6,2,IF(P$262&lt;bs_pc11_seuil7,1,IF(P$262&lt;bs_pc11_seuil8,0.5,0))))))))
+(P$263=12)*IF(P$262&lt;bs_pc12_seuil1,7,IF(P$262&lt;bs_pc12_seuil2,6,IF(P$262&lt;bs_pc12_seuil3,5,IF(P$262&lt;bs_pc12_seuil4,4,IF(P$262&lt;bs_pc12_seuil5,3,IF(P$262&lt;bs_pc12_seuil6,2,IF(P$262&lt;bs_pc12_seuil7,1,IF(P$262&lt;bs_pc12_seuil8,0.5,0))))))))
+(P$263=13)*IF(P$262&lt;bs_pc13_seuil1,7,IF(P$262&lt;bs_pc13_seuil2,6,IF(P$262&lt;bs_pc13_seuil3,5,IF(P$262&lt;bs_pc13_seuil4,4,IF(P$262&lt;bs_pc13_seuil5,3,IF(P$262&lt;bs_pc13_seuil6,2,IF(P$262&lt;bs_pc13_seuil7,1,IF(P$262&lt;bs_pc13_seuil8,0.5,0))))))))
+(P$263=14)*IF(P$262&lt;bs_pc14_seuil1,7,IF(P$262&lt;bs_pc14_seuil2,6,IF(P$262&lt;bs_pc14_seuil3,5,IF(P$262&lt;bs_pc14_seuil4,4,IF(P$262&lt;bs_pc14_seuil5,3,IF(P$262&lt;bs_pc14_seuil6,2,IF(P$262&lt;bs_pc14_seuil7,1,IF(P$262&lt;bs_pc14_seuil8,0.5,0))))))))
+(P$263=15)*IF(P$262&lt;bs_pc15_seuil1,7,IF(P$262&lt;bs_pc15_seuil2,6,IF(P$262&lt;bs_pc15_seuil3,5,IF(P$262&lt;bs_pc15_seuil4,4,IF(P$262&lt;bs_pc15_seuil5,3,IF(P$262&lt;bs_pc15_seuil6,2,IF(P$262&lt;bs_pc15_seuil7,1,IF(P$262&lt;bs_pc15_seuil8,0.5,0))))))))
+(P$263=16)*IF(P$262&lt;bs_pc16_seuil1,7,IF(P$262&lt;bs_pc16_seuil2,6,IF(P$262&lt;bs_pc16_seuil3,5,IF(P$262&lt;bs_pc16_seuil4,4,IF(P$262&lt;bs_pc16_seuil5,3,IF(P$262&lt;bs_pc16_seuil6,2,IF(P$262&lt;bs_pc16_seuil7,1,IF(P$262&lt;bs_pc16_seuil8,0.5,0))))))))
+(P$263=17)*IF(P$262&lt;bs_pc17_seuil1,7,IF(P$262&lt;bs_pc17_seuil2,6,IF(P$262&lt;bs_pc17_seuil3,5,IF(P$262&lt;bs_pc17_seuil4,4,IF(P$262&lt;bs_pc17_seuil5,3,IF(P$262&lt;bs_pc17_seuil6,2,IF(P$262&lt;bs_pc17_seuil7,1,IF(P$262&lt;bs_pc17_seuil8,0.5,0))))))))</f>
        <v>2</v>
      </c>
      <c r="R264" s="262">
        <f>(R$263=0)*IF(R$262&lt;bs_pc0_seuil1,7,IF(R$262&lt;bs_pc0_seuil2,6,IF(R$262&lt;bs_pc0_seuil3,5,IF(R$262&lt;bs_pc0_seuil4,4,IF(R$262&lt;bs_pc0_seuil5,3,IF(R$262&lt;bs_pc0_seuil6,2,IF(R$262&lt;bs_pc0_seuil7,1,IF(R$262&lt;bs_pc0_seuil8,0.5,0))))))))
+(R$263=1)*IF(R$262&lt;bs_pc1_seuil1,7,IF(R$262&lt;bs_pc1_seuil2,6,IF(R$262&lt;bs_pc1_seuil3,5,IF(R$262&lt;bs_pc1_seuil4,4,IF(R$262&lt;bs_pc1_seuil5,3,IF(R$262&lt;bs_pc1_seuil6,2,IF(R$262&lt;bs_pc1_seuil7,1,IF(R$262&lt;bs_pc1_seuil8,0.5,0))))))))
+(R$263=2)*IF(R$262&lt;bs_pc2_seuil1,7,IF(R$262&lt;bs_pc2_seuil2,6,IF(R$262&lt;bs_pc2_seuil3,5,IF(R$262&lt;bs_pc2_seuil4,4,IF(R$262&lt;bs_pc2_seuil5,3,IF(R$262&lt;bs_pc2_seuil6,2,IF(R$262&lt;bs_pc2_seuil7,1,IF(R$262&lt;bs_pc2_seuil8,0.5,0))))))))
+(R$263=3)*IF(R$262&lt;bs_pc3_seuil1,7,IF(R$262&lt;bs_pc3_seuil2,6,IF(R$262&lt;bs_pc3_seuil3,5,IF(R$262&lt;bs_pc3_seuil4,4,IF(R$262&lt;bs_pc3_seuil5,3,IF(R$262&lt;bs_pc3_seuil6,2,IF(R$262&lt;bs_pc3_seuil7,1,IF(R$262&lt;bs_pc3_seuil8,0.5,0))))))))
+(R$263=4)*IF(R$262&lt;bs_pc4_seuil1,7,IF(R$262&lt;bs_pc4_seuil2,6,IF(R$262&lt;bs_pc4_seuil3,5,IF(R$262&lt;bs_pc4_seuil4,4,IF(R$262&lt;bs_pc4_seuil5,3,IF(R$262&lt;bs_pc4_seuil6,2,IF(R$262&lt;bs_pc4_seuil7,1,IF(R$262&lt;bs_pc4_seuil8,0.5,0))))))))
+(R$263=5)*IF(R$262&lt;bs_pc5_seuil1,7,IF(R$262&lt;bs_pc5_seuil2,6,IF(R$262&lt;bs_pc5_seuil3,5,IF(R$262&lt;bs_pc5_seuil4,4,IF(R$262&lt;bs_pc5_seuil5,3,IF(R$262&lt;bs_pc5_seuil6,2,IF(R$262&lt;bs_pc5_seuil7,1,IF(R$262&lt;bs_pc5_seuil8,0.5,0))))))))
+(R$263=6)*IF(R$262&lt;bs_pc6_seuil1,7,IF(R$262&lt;bs_pc6_seuil2,6,IF(R$262&lt;bs_pc6_seuil3,5,IF(R$262&lt;bs_pc6_seuil4,4,IF(R$262&lt;bs_pc6_seuil5,3,IF(R$262&lt;bs_pc6_seuil6,2,IF(R$262&lt;bs_pc6_seuil7,1,IF(R$262&lt;bs_pc6_seuil8,0.5,0))))))))
+(R$263=7)*IF(R$262&lt;bs_pc7_seuil1,7,IF(R$262&lt;bs_pc7_seuil2,6,IF(R$262&lt;bs_pc7_seuil3,5,IF(R$262&lt;bs_pc7_seuil4,4,IF(R$262&lt;bs_pc7_seuil5,3,IF(R$262&lt;bs_pc7_seuil6,2,IF(R$262&lt;bs_pc7_seuil7,1,IF(R$262&lt;bs_pc7_seuil8,0.5,0))))))))
+(R$263=8)*IF(R$262&lt;bs_pc8_seuil1,7,IF(R$262&lt;bs_pc8_seuil2,6,IF(R$262&lt;bs_pc8_seuil3,5,IF(R$262&lt;bs_pc8_seuil4,4,IF(R$262&lt;bs_pc8_seuil5,3,IF(R$262&lt;bs_pc8_seuil6,2,IF(R$262&lt;bs_pc8_seuil7,1,IF(R$262&lt;bs_pc8_seuil8,0.5,0))))))))
+(R$263=9)*IF(R$262&lt;bs_pc9_seuil1,7,IF(R$262&lt;bs_pc9_seuil2,6,IF(R$262&lt;bs_pc9_seuil3,5,IF(R$262&lt;bs_pc9_seuil4,4,IF(R$262&lt;bs_pc9_seuil5,3,IF(R$262&lt;bs_pc9_seuil6,2,IF(R$262&lt;bs_pc9_seuil7,1,IF(R$262&lt;bs_pc9_seuil8,0.5,0))))))))
+(R$263=10)*IF(R$262&lt;bs_pc10_seuil1,7,IF(R$262&lt;bs_pc10_seuil2,6,IF(R$262&lt;bs_pc10_seuil3,5,IF(R$262&lt;bs_pc10_seuil4,4,IF(R$262&lt;bs_pc10_seuil5,3,IF(R$262&lt;bs_pc10_seuil6,2,IF(R$262&lt;bs_pc10_seuil7,1,IF(R$262&lt;bs_pc10_seuil8,0.5,0))))))))
+(R$263=11)*IF(R$262&lt;bs_pc11_seuil1,7,IF(R$262&lt;bs_pc11_seuil2,6,IF(R$262&lt;bs_pc11_seuil3,5,IF(R$262&lt;bs_pc11_seuil4,4,IF(R$262&lt;bs_pc11_seuil5,3,IF(R$262&lt;bs_pc11_seuil6,2,IF(R$262&lt;bs_pc11_seuil7,1,IF(R$262&lt;bs_pc11_seuil8,0.5,0))))))))
+(R$263=12)*IF(R$262&lt;bs_pc12_seuil1,7,IF(R$262&lt;bs_pc12_seuil2,6,IF(R$262&lt;bs_pc12_seuil3,5,IF(R$262&lt;bs_pc12_seuil4,4,IF(R$262&lt;bs_pc12_seuil5,3,IF(R$262&lt;bs_pc12_seuil6,2,IF(R$262&lt;bs_pc12_seuil7,1,IF(R$262&lt;bs_pc12_seuil8,0.5,0))))))))
+(R$263=13)*IF(R$262&lt;bs_pc13_seuil1,7,IF(R$262&lt;bs_pc13_seuil2,6,IF(R$262&lt;bs_pc13_seuil3,5,IF(R$262&lt;bs_pc13_seuil4,4,IF(R$262&lt;bs_pc13_seuil5,3,IF(R$262&lt;bs_pc13_seuil6,2,IF(R$262&lt;bs_pc13_seuil7,1,IF(R$262&lt;bs_pc13_seuil8,0.5,0))))))))
+(R$263=14)*IF(R$262&lt;bs_pc14_seuil1,7,IF(R$262&lt;bs_pc14_seuil2,6,IF(R$262&lt;bs_pc14_seuil3,5,IF(R$262&lt;bs_pc14_seuil4,4,IF(R$262&lt;bs_pc14_seuil5,3,IF(R$262&lt;bs_pc14_seuil6,2,IF(R$262&lt;bs_pc14_seuil7,1,IF(R$262&lt;bs_pc14_seuil8,0.5,0))))))))
+(R$263=15)*IF(R$262&lt;bs_pc15_seuil1,7,IF(R$262&lt;bs_pc15_seuil2,6,IF(R$262&lt;bs_pc15_seuil3,5,IF(R$262&lt;bs_pc15_seuil4,4,IF(R$262&lt;bs_pc15_seuil5,3,IF(R$262&lt;bs_pc15_seuil6,2,IF(R$262&lt;bs_pc15_seuil7,1,IF(R$262&lt;bs_pc15_seuil8,0.5,0))))))))
+(R$263=16)*IF(R$262&lt;bs_pc16_seuil1,7,IF(R$262&lt;bs_pc16_seuil2,6,IF(R$262&lt;bs_pc16_seuil3,5,IF(R$262&lt;bs_pc16_seuil4,4,IF(R$262&lt;bs_pc16_seuil5,3,IF(R$262&lt;bs_pc16_seuil6,2,IF(R$262&lt;bs_pc16_seuil7,1,IF(R$262&lt;bs_pc16_seuil8,0.5,0))))))))
+(R$263=17)*IF(R$262&lt;bs_pc17_seuil1,7,IF(R$262&lt;bs_pc17_seuil2,6,IF(R$262&lt;bs_pc17_seuil3,5,IF(R$262&lt;bs_pc17_seuil4,4,IF(R$262&lt;bs_pc17_seuil5,3,IF(R$262&lt;bs_pc17_seuil6,2,IF(R$262&lt;bs_pc17_seuil7,1,IF(R$262&lt;bs_pc17_seuil8,0.5,0))))))))</f>
        <v>7</v>
      </c>
      <c r="S264" s="262">
        <f>(S$263=0)*IF(S$262&lt;bs_pc0_seuil1,7,IF(S$262&lt;bs_pc0_seuil2,6,IF(S$262&lt;bs_pc0_seuil3,5,IF(S$262&lt;bs_pc0_seuil4,4,IF(S$262&lt;bs_pc0_seuil5,3,IF(S$262&lt;bs_pc0_seuil6,2,IF(S$262&lt;bs_pc0_seuil7,1,IF(S$262&lt;bs_pc0_seuil8,0.5,0))))))))
+(S$263=1)*IF(S$262&lt;bs_pc1_seuil1,7,IF(S$262&lt;bs_pc1_seuil2,6,IF(S$262&lt;bs_pc1_seuil3,5,IF(S$262&lt;bs_pc1_seuil4,4,IF(S$262&lt;bs_pc1_seuil5,3,IF(S$262&lt;bs_pc1_seuil6,2,IF(S$262&lt;bs_pc1_seuil7,1,IF(S$262&lt;bs_pc1_seuil8,0.5,0))))))))
+(S$263=2)*IF(S$262&lt;bs_pc2_seuil1,7,IF(S$262&lt;bs_pc2_seuil2,6,IF(S$262&lt;bs_pc2_seuil3,5,IF(S$262&lt;bs_pc2_seuil4,4,IF(S$262&lt;bs_pc2_seuil5,3,IF(S$262&lt;bs_pc2_seuil6,2,IF(S$262&lt;bs_pc2_seuil7,1,IF(S$262&lt;bs_pc2_seuil8,0.5,0))))))))
+(S$263=3)*IF(S$262&lt;bs_pc3_seuil1,7,IF(S$262&lt;bs_pc3_seuil2,6,IF(S$262&lt;bs_pc3_seuil3,5,IF(S$262&lt;bs_pc3_seuil4,4,IF(S$262&lt;bs_pc3_seuil5,3,IF(S$262&lt;bs_pc3_seuil6,2,IF(S$262&lt;bs_pc3_seuil7,1,IF(S$262&lt;bs_pc3_seuil8,0.5,0))))))))
+(S$263=4)*IF(S$262&lt;bs_pc4_seuil1,7,IF(S$262&lt;bs_pc4_seuil2,6,IF(S$262&lt;bs_pc4_seuil3,5,IF(S$262&lt;bs_pc4_seuil4,4,IF(S$262&lt;bs_pc4_seuil5,3,IF(S$262&lt;bs_pc4_seuil6,2,IF(S$262&lt;bs_pc4_seuil7,1,IF(S$262&lt;bs_pc4_seuil8,0.5,0))))))))
+(S$263=5)*IF(S$262&lt;bs_pc5_seuil1,7,IF(S$262&lt;bs_pc5_seuil2,6,IF(S$262&lt;bs_pc5_seuil3,5,IF(S$262&lt;bs_pc5_seuil4,4,IF(S$262&lt;bs_pc5_seuil5,3,IF(S$262&lt;bs_pc5_seuil6,2,IF(S$262&lt;bs_pc5_seuil7,1,IF(S$262&lt;bs_pc5_seuil8,0.5,0))))))))
+(S$263=6)*IF(S$262&lt;bs_pc6_seuil1,7,IF(S$262&lt;bs_pc6_seuil2,6,IF(S$262&lt;bs_pc6_seuil3,5,IF(S$262&lt;bs_pc6_seuil4,4,IF(S$262&lt;bs_pc6_seuil5,3,IF(S$262&lt;bs_pc6_seuil6,2,IF(S$262&lt;bs_pc6_seuil7,1,IF(S$262&lt;bs_pc6_seuil8,0.5,0))))))))
+(S$263=7)*IF(S$262&lt;bs_pc7_seuil1,7,IF(S$262&lt;bs_pc7_seuil2,6,IF(S$262&lt;bs_pc7_seuil3,5,IF(S$262&lt;bs_pc7_seuil4,4,IF(S$262&lt;bs_pc7_seuil5,3,IF(S$262&lt;bs_pc7_seuil6,2,IF(S$262&lt;bs_pc7_seuil7,1,IF(S$262&lt;bs_pc7_seuil8,0.5,0))))))))
+(S$263=8)*IF(S$262&lt;bs_pc8_seuil1,7,IF(S$262&lt;bs_pc8_seuil2,6,IF(S$262&lt;bs_pc8_seuil3,5,IF(S$262&lt;bs_pc8_seuil4,4,IF(S$262&lt;bs_pc8_seuil5,3,IF(S$262&lt;bs_pc8_seuil6,2,IF(S$262&lt;bs_pc8_seuil7,1,IF(S$262&lt;bs_pc8_seuil8,0.5,0))))))))
+(S$263=9)*IF(S$262&lt;bs_pc9_seuil1,7,IF(S$262&lt;bs_pc9_seuil2,6,IF(S$262&lt;bs_pc9_seuil3,5,IF(S$262&lt;bs_pc9_seuil4,4,IF(S$262&lt;bs_pc9_seuil5,3,IF(S$262&lt;bs_pc9_seuil6,2,IF(S$262&lt;bs_pc9_seuil7,1,IF(S$262&lt;bs_pc9_seuil8,0.5,0))))))))
+(S$263=10)*IF(S$262&lt;bs_pc10_seuil1,7,IF(S$262&lt;bs_pc10_seuil2,6,IF(S$262&lt;bs_pc10_seuil3,5,IF(S$262&lt;bs_pc10_seuil4,4,IF(S$262&lt;bs_pc10_seuil5,3,IF(S$262&lt;bs_pc10_seuil6,2,IF(S$262&lt;bs_pc10_seuil7,1,IF(S$262&lt;bs_pc10_seuil8,0.5,0))))))))
+(S$263=11)*IF(S$262&lt;bs_pc11_seuil1,7,IF(S$262&lt;bs_pc11_seuil2,6,IF(S$262&lt;bs_pc11_seuil3,5,IF(S$262&lt;bs_pc11_seuil4,4,IF(S$262&lt;bs_pc11_seuil5,3,IF(S$262&lt;bs_pc11_seuil6,2,IF(S$262&lt;bs_pc11_seuil7,1,IF(S$262&lt;bs_pc11_seuil8,0.5,0))))))))
+(S$263=12)*IF(S$262&lt;bs_pc12_seuil1,7,IF(S$262&lt;bs_pc12_seuil2,6,IF(S$262&lt;bs_pc12_seuil3,5,IF(S$262&lt;bs_pc12_seuil4,4,IF(S$262&lt;bs_pc12_seuil5,3,IF(S$262&lt;bs_pc12_seuil6,2,IF(S$262&lt;bs_pc12_seuil7,1,IF(S$262&lt;bs_pc12_seuil8,0.5,0))))))))
+(S$263=13)*IF(S$262&lt;bs_pc13_seuil1,7,IF(S$262&lt;bs_pc13_seuil2,6,IF(S$262&lt;bs_pc13_seuil3,5,IF(S$262&lt;bs_pc13_seuil4,4,IF(S$262&lt;bs_pc13_seuil5,3,IF(S$262&lt;bs_pc13_seuil6,2,IF(S$262&lt;bs_pc13_seuil7,1,IF(S$262&lt;bs_pc13_seuil8,0.5,0))))))))
+(S$263=14)*IF(S$262&lt;bs_pc14_seuil1,7,IF(S$262&lt;bs_pc14_seuil2,6,IF(S$262&lt;bs_pc14_seuil3,5,IF(S$262&lt;bs_pc14_seuil4,4,IF(S$262&lt;bs_pc14_seuil5,3,IF(S$262&lt;bs_pc14_seuil6,2,IF(S$262&lt;bs_pc14_seuil7,1,IF(S$262&lt;bs_pc14_seuil8,0.5,0))))))))
+(S$263=15)*IF(S$262&lt;bs_pc15_seuil1,7,IF(S$262&lt;bs_pc15_seuil2,6,IF(S$262&lt;bs_pc15_seuil3,5,IF(S$262&lt;bs_pc15_seuil4,4,IF(S$262&lt;bs_pc15_seuil5,3,IF(S$262&lt;bs_pc15_seuil6,2,IF(S$262&lt;bs_pc15_seuil7,1,IF(S$262&lt;bs_pc15_seuil8,0.5,0))))))))
+(S$263=16)*IF(S$262&lt;bs_pc16_seuil1,7,IF(S$262&lt;bs_pc16_seuil2,6,IF(S$262&lt;bs_pc16_seuil3,5,IF(S$262&lt;bs_pc16_seuil4,4,IF(S$262&lt;bs_pc16_seuil5,3,IF(S$262&lt;bs_pc16_seuil6,2,IF(S$262&lt;bs_pc16_seuil7,1,IF(S$262&lt;bs_pc16_seuil8,0.5,0))))))))
+(S$263=17)*IF(S$262&lt;bs_pc17_seuil1,7,IF(S$262&lt;bs_pc17_seuil2,6,IF(S$262&lt;bs_pc17_seuil3,5,IF(S$262&lt;bs_pc17_seuil4,4,IF(S$262&lt;bs_pc17_seuil5,3,IF(S$262&lt;bs_pc17_seuil6,2,IF(S$262&lt;bs_pc17_seuil7,1,IF(S$262&lt;bs_pc17_seuil8,0.5,0))))))))</f>
        <v>6</v>
      </c>
      <c r="T264" s="262">
        <f>(T$263=0)*IF(T$262&lt;bs_pc0_seuil1,7,IF(T$262&lt;bs_pc0_seuil2,6,IF(T$262&lt;bs_pc0_seuil3,5,IF(T$262&lt;bs_pc0_seuil4,4,IF(T$262&lt;bs_pc0_seuil5,3,IF(T$262&lt;bs_pc0_seuil6,2,IF(T$262&lt;bs_pc0_seuil7,1,IF(T$262&lt;bs_pc0_seuil8,0.5,0))))))))
+(T$263=1)*IF(T$262&lt;bs_pc1_seuil1,7,IF(T$262&lt;bs_pc1_seuil2,6,IF(T$262&lt;bs_pc1_seuil3,5,IF(T$262&lt;bs_pc1_seuil4,4,IF(T$262&lt;bs_pc1_seuil5,3,IF(T$262&lt;bs_pc1_seuil6,2,IF(T$262&lt;bs_pc1_seuil7,1,IF(T$262&lt;bs_pc1_seuil8,0.5,0))))))))
+(T$263=2)*IF(T$262&lt;bs_pc2_seuil1,7,IF(T$262&lt;bs_pc2_seuil2,6,IF(T$262&lt;bs_pc2_seuil3,5,IF(T$262&lt;bs_pc2_seuil4,4,IF(T$262&lt;bs_pc2_seuil5,3,IF(T$262&lt;bs_pc2_seuil6,2,IF(T$262&lt;bs_pc2_seuil7,1,IF(T$262&lt;bs_pc2_seuil8,0.5,0))))))))
+(T$263=3)*IF(T$262&lt;bs_pc3_seuil1,7,IF(T$262&lt;bs_pc3_seuil2,6,IF(T$262&lt;bs_pc3_seuil3,5,IF(T$262&lt;bs_pc3_seuil4,4,IF(T$262&lt;bs_pc3_seuil5,3,IF(T$262&lt;bs_pc3_seuil6,2,IF(T$262&lt;bs_pc3_seuil7,1,IF(T$262&lt;bs_pc3_seuil8,0.5,0))))))))
+(T$263=4)*IF(T$262&lt;bs_pc4_seuil1,7,IF(T$262&lt;bs_pc4_seuil2,6,IF(T$262&lt;bs_pc4_seuil3,5,IF(T$262&lt;bs_pc4_seuil4,4,IF(T$262&lt;bs_pc4_seuil5,3,IF(T$262&lt;bs_pc4_seuil6,2,IF(T$262&lt;bs_pc4_seuil7,1,IF(T$262&lt;bs_pc4_seuil8,0.5,0))))))))
+(T$263=5)*IF(T$262&lt;bs_pc5_seuil1,7,IF(T$262&lt;bs_pc5_seuil2,6,IF(T$262&lt;bs_pc5_seuil3,5,IF(T$262&lt;bs_pc5_seuil4,4,IF(T$262&lt;bs_pc5_seuil5,3,IF(T$262&lt;bs_pc5_seuil6,2,IF(T$262&lt;bs_pc5_seuil7,1,IF(T$262&lt;bs_pc5_seuil8,0.5,0))))))))
+(T$263=6)*IF(T$262&lt;bs_pc6_seuil1,7,IF(T$262&lt;bs_pc6_seuil2,6,IF(T$262&lt;bs_pc6_seuil3,5,IF(T$262&lt;bs_pc6_seuil4,4,IF(T$262&lt;bs_pc6_seuil5,3,IF(T$262&lt;bs_pc6_seuil6,2,IF(T$262&lt;bs_pc6_seuil7,1,IF(T$262&lt;bs_pc6_seuil8,0.5,0))))))))
+(T$263=7)*IF(T$262&lt;bs_pc7_seuil1,7,IF(T$262&lt;bs_pc7_seuil2,6,IF(T$262&lt;bs_pc7_seuil3,5,IF(T$262&lt;bs_pc7_seuil4,4,IF(T$262&lt;bs_pc7_seuil5,3,IF(T$262&lt;bs_pc7_seuil6,2,IF(T$262&lt;bs_pc7_seuil7,1,IF(T$262&lt;bs_pc7_seuil8,0.5,0))))))))
+(T$263=8)*IF(T$262&lt;bs_pc8_seuil1,7,IF(T$262&lt;bs_pc8_seuil2,6,IF(T$262&lt;bs_pc8_seuil3,5,IF(T$262&lt;bs_pc8_seuil4,4,IF(T$262&lt;bs_pc8_seuil5,3,IF(T$262&lt;bs_pc8_seuil6,2,IF(T$262&lt;bs_pc8_seuil7,1,IF(T$262&lt;bs_pc8_seuil8,0.5,0))))))))
+(T$263=9)*IF(T$262&lt;bs_pc9_seuil1,7,IF(T$262&lt;bs_pc9_seuil2,6,IF(T$262&lt;bs_pc9_seuil3,5,IF(T$262&lt;bs_pc9_seuil4,4,IF(T$262&lt;bs_pc9_seuil5,3,IF(T$262&lt;bs_pc9_seuil6,2,IF(T$262&lt;bs_pc9_seuil7,1,IF(T$262&lt;bs_pc9_seuil8,0.5,0))))))))
+(T$263=10)*IF(T$262&lt;bs_pc10_seuil1,7,IF(T$262&lt;bs_pc10_seuil2,6,IF(T$262&lt;bs_pc10_seuil3,5,IF(T$262&lt;bs_pc10_seuil4,4,IF(T$262&lt;bs_pc10_seuil5,3,IF(T$262&lt;bs_pc10_seuil6,2,IF(T$262&lt;bs_pc10_seuil7,1,IF(T$262&lt;bs_pc10_seuil8,0.5,0))))))))
+(T$263=11)*IF(T$262&lt;bs_pc11_seuil1,7,IF(T$262&lt;bs_pc11_seuil2,6,IF(T$262&lt;bs_pc11_seuil3,5,IF(T$262&lt;bs_pc11_seuil4,4,IF(T$262&lt;bs_pc11_seuil5,3,IF(T$262&lt;bs_pc11_seuil6,2,IF(T$262&lt;bs_pc11_seuil7,1,IF(T$262&lt;bs_pc11_seuil8,0.5,0))))))))
+(T$263=12)*IF(T$262&lt;bs_pc12_seuil1,7,IF(T$262&lt;bs_pc12_seuil2,6,IF(T$262&lt;bs_pc12_seuil3,5,IF(T$262&lt;bs_pc12_seuil4,4,IF(T$262&lt;bs_pc12_seuil5,3,IF(T$262&lt;bs_pc12_seuil6,2,IF(T$262&lt;bs_pc12_seuil7,1,IF(T$262&lt;bs_pc12_seuil8,0.5,0))))))))
+(T$263=13)*IF(T$262&lt;bs_pc13_seuil1,7,IF(T$262&lt;bs_pc13_seuil2,6,IF(T$262&lt;bs_pc13_seuil3,5,IF(T$262&lt;bs_pc13_seuil4,4,IF(T$262&lt;bs_pc13_seuil5,3,IF(T$262&lt;bs_pc13_seuil6,2,IF(T$262&lt;bs_pc13_seuil7,1,IF(T$262&lt;bs_pc13_seuil8,0.5,0))))))))
+(T$263=14)*IF(T$262&lt;bs_pc14_seuil1,7,IF(T$262&lt;bs_pc14_seuil2,6,IF(T$262&lt;bs_pc14_seuil3,5,IF(T$262&lt;bs_pc14_seuil4,4,IF(T$262&lt;bs_pc14_seuil5,3,IF(T$262&lt;bs_pc14_seuil6,2,IF(T$262&lt;bs_pc14_seuil7,1,IF(T$262&lt;bs_pc14_seuil8,0.5,0))))))))
+(T$263=15)*IF(T$262&lt;bs_pc15_seuil1,7,IF(T$262&lt;bs_pc15_seuil2,6,IF(T$262&lt;bs_pc15_seuil3,5,IF(T$262&lt;bs_pc15_seuil4,4,IF(T$262&lt;bs_pc15_seuil5,3,IF(T$262&lt;bs_pc15_seuil6,2,IF(T$262&lt;bs_pc15_seuil7,1,IF(T$262&lt;bs_pc15_seuil8,0.5,0))))))))
+(T$263=16)*IF(T$262&lt;bs_pc16_seuil1,7,IF(T$262&lt;bs_pc16_seuil2,6,IF(T$262&lt;bs_pc16_seuil3,5,IF(T$262&lt;bs_pc16_seuil4,4,IF(T$262&lt;bs_pc16_seuil5,3,IF(T$262&lt;bs_pc16_seuil6,2,IF(T$262&lt;bs_pc16_seuil7,1,IF(T$262&lt;bs_pc16_seuil8,0.5,0))))))))
+(T$263=17)*IF(T$262&lt;bs_pc17_seuil1,7,IF(T$262&lt;bs_pc17_seuil2,6,IF(T$262&lt;bs_pc17_seuil3,5,IF(T$262&lt;bs_pc17_seuil4,4,IF(T$262&lt;bs_pc17_seuil5,3,IF(T$262&lt;bs_pc17_seuil6,2,IF(T$262&lt;bs_pc17_seuil7,1,IF(T$262&lt;bs_pc17_seuil8,0.5,0))))))))</f>
        <v>5</v>
      </c>
      <c r="U264" s="262">
        <f>(U$263=0)*IF(U$262&lt;bs_pc0_seuil1,7,IF(U$262&lt;bs_pc0_seuil2,6,IF(U$262&lt;bs_pc0_seuil3,5,IF(U$262&lt;bs_pc0_seuil4,4,IF(U$262&lt;bs_pc0_seuil5,3,IF(U$262&lt;bs_pc0_seuil6,2,IF(U$262&lt;bs_pc0_seuil7,1,IF(U$262&lt;bs_pc0_seuil8,0.5,0))))))))
+(U$263=1)*IF(U$262&lt;bs_pc1_seuil1,7,IF(U$262&lt;bs_pc1_seuil2,6,IF(U$262&lt;bs_pc1_seuil3,5,IF(U$262&lt;bs_pc1_seuil4,4,IF(U$262&lt;bs_pc1_seuil5,3,IF(U$262&lt;bs_pc1_seuil6,2,IF(U$262&lt;bs_pc1_seuil7,1,IF(U$262&lt;bs_pc1_seuil8,0.5,0))))))))
+(U$263=2)*IF(U$262&lt;bs_pc2_seuil1,7,IF(U$262&lt;bs_pc2_seuil2,6,IF(U$262&lt;bs_pc2_seuil3,5,IF(U$262&lt;bs_pc2_seuil4,4,IF(U$262&lt;bs_pc2_seuil5,3,IF(U$262&lt;bs_pc2_seuil6,2,IF(U$262&lt;bs_pc2_seuil7,1,IF(U$262&lt;bs_pc2_seuil8,0.5,0))))))))
+(U$263=3)*IF(U$262&lt;bs_pc3_seuil1,7,IF(U$262&lt;bs_pc3_seuil2,6,IF(U$262&lt;bs_pc3_seuil3,5,IF(U$262&lt;bs_pc3_seuil4,4,IF(U$262&lt;bs_pc3_seuil5,3,IF(U$262&lt;bs_pc3_seuil6,2,IF(U$262&lt;bs_pc3_seuil7,1,IF(U$262&lt;bs_pc3_seuil8,0.5,0))))))))
+(U$263=4)*IF(U$262&lt;bs_pc4_seuil1,7,IF(U$262&lt;bs_pc4_seuil2,6,IF(U$262&lt;bs_pc4_seuil3,5,IF(U$262&lt;bs_pc4_seuil4,4,IF(U$262&lt;bs_pc4_seuil5,3,IF(U$262&lt;bs_pc4_seuil6,2,IF(U$262&lt;bs_pc4_seuil7,1,IF(U$262&lt;bs_pc4_seuil8,0.5,0))))))))
+(U$263=5)*IF(U$262&lt;bs_pc5_seuil1,7,IF(U$262&lt;bs_pc5_seuil2,6,IF(U$262&lt;bs_pc5_seuil3,5,IF(U$262&lt;bs_pc5_seuil4,4,IF(U$262&lt;bs_pc5_seuil5,3,IF(U$262&lt;bs_pc5_seuil6,2,IF(U$262&lt;bs_pc5_seuil7,1,IF(U$262&lt;bs_pc5_seuil8,0.5,0))))))))
+(U$263=6)*IF(U$262&lt;bs_pc6_seuil1,7,IF(U$262&lt;bs_pc6_seuil2,6,IF(U$262&lt;bs_pc6_seuil3,5,IF(U$262&lt;bs_pc6_seuil4,4,IF(U$262&lt;bs_pc6_seuil5,3,IF(U$262&lt;bs_pc6_seuil6,2,IF(U$262&lt;bs_pc6_seuil7,1,IF(U$262&lt;bs_pc6_seuil8,0.5,0))))))))
+(U$263=7)*IF(U$262&lt;bs_pc7_seuil1,7,IF(U$262&lt;bs_pc7_seuil2,6,IF(U$262&lt;bs_pc7_seuil3,5,IF(U$262&lt;bs_pc7_seuil4,4,IF(U$262&lt;bs_pc7_seuil5,3,IF(U$262&lt;bs_pc7_seuil6,2,IF(U$262&lt;bs_pc7_seuil7,1,IF(U$262&lt;bs_pc7_seuil8,0.5,0))))))))
+(U$263=8)*IF(U$262&lt;bs_pc8_seuil1,7,IF(U$262&lt;bs_pc8_seuil2,6,IF(U$262&lt;bs_pc8_seuil3,5,IF(U$262&lt;bs_pc8_seuil4,4,IF(U$262&lt;bs_pc8_seuil5,3,IF(U$262&lt;bs_pc8_seuil6,2,IF(U$262&lt;bs_pc8_seuil7,1,IF(U$262&lt;bs_pc8_seuil8,0.5,0))))))))
+(U$263=9)*IF(U$262&lt;bs_pc9_seuil1,7,IF(U$262&lt;bs_pc9_seuil2,6,IF(U$262&lt;bs_pc9_seuil3,5,IF(U$262&lt;bs_pc9_seuil4,4,IF(U$262&lt;bs_pc9_seuil5,3,IF(U$262&lt;bs_pc9_seuil6,2,IF(U$262&lt;bs_pc9_seuil7,1,IF(U$262&lt;bs_pc9_seuil8,0.5,0))))))))
+(U$263=10)*IF(U$262&lt;bs_pc10_seuil1,7,IF(U$262&lt;bs_pc10_seuil2,6,IF(U$262&lt;bs_pc10_seuil3,5,IF(U$262&lt;bs_pc10_seuil4,4,IF(U$262&lt;bs_pc10_seuil5,3,IF(U$262&lt;bs_pc10_seuil6,2,IF(U$262&lt;bs_pc10_seuil7,1,IF(U$262&lt;bs_pc10_seuil8,0.5,0))))))))
+(U$263=11)*IF(U$262&lt;bs_pc11_seuil1,7,IF(U$262&lt;bs_pc11_seuil2,6,IF(U$262&lt;bs_pc11_seuil3,5,IF(U$262&lt;bs_pc11_seuil4,4,IF(U$262&lt;bs_pc11_seuil5,3,IF(U$262&lt;bs_pc11_seuil6,2,IF(U$262&lt;bs_pc11_seuil7,1,IF(U$262&lt;bs_pc11_seuil8,0.5,0))))))))
+(U$263=12)*IF(U$262&lt;bs_pc12_seuil1,7,IF(U$262&lt;bs_pc12_seuil2,6,IF(U$262&lt;bs_pc12_seuil3,5,IF(U$262&lt;bs_pc12_seuil4,4,IF(U$262&lt;bs_pc12_seuil5,3,IF(U$262&lt;bs_pc12_seuil6,2,IF(U$262&lt;bs_pc12_seuil7,1,IF(U$262&lt;bs_pc12_seuil8,0.5,0))))))))
+(U$263=13)*IF(U$262&lt;bs_pc13_seuil1,7,IF(U$262&lt;bs_pc13_seuil2,6,IF(U$262&lt;bs_pc13_seuil3,5,IF(U$262&lt;bs_pc13_seuil4,4,IF(U$262&lt;bs_pc13_seuil5,3,IF(U$262&lt;bs_pc13_seuil6,2,IF(U$262&lt;bs_pc13_seuil7,1,IF(U$262&lt;bs_pc13_seuil8,0.5,0))))))))
+(U$263=14)*IF(U$262&lt;bs_pc14_seuil1,7,IF(U$262&lt;bs_pc14_seuil2,6,IF(U$262&lt;bs_pc14_seuil3,5,IF(U$262&lt;bs_pc14_seuil4,4,IF(U$262&lt;bs_pc14_seuil5,3,IF(U$262&lt;bs_pc14_seuil6,2,IF(U$262&lt;bs_pc14_seuil7,1,IF(U$262&lt;bs_pc14_seuil8,0.5,0))))))))
+(U$263=15)*IF(U$262&lt;bs_pc15_seuil1,7,IF(U$262&lt;bs_pc15_seuil2,6,IF(U$262&lt;bs_pc15_seuil3,5,IF(U$262&lt;bs_pc15_seuil4,4,IF(U$262&lt;bs_pc15_seuil5,3,IF(U$262&lt;bs_pc15_seuil6,2,IF(U$262&lt;bs_pc15_seuil7,1,IF(U$262&lt;bs_pc15_seuil8,0.5,0))))))))
+(U$263=16)*IF(U$262&lt;bs_pc16_seuil1,7,IF(U$262&lt;bs_pc16_seuil2,6,IF(U$262&lt;bs_pc16_seuil3,5,IF(U$262&lt;bs_pc16_seuil4,4,IF(U$262&lt;bs_pc16_seuil5,3,IF(U$262&lt;bs_pc16_seuil6,2,IF(U$262&lt;bs_pc16_seuil7,1,IF(U$262&lt;bs_pc16_seuil8,0.5,0))))))))
+(U$263=17)*IF(U$262&lt;bs_pc17_seuil1,7,IF(U$262&lt;bs_pc17_seuil2,6,IF(U$262&lt;bs_pc17_seuil3,5,IF(U$262&lt;bs_pc17_seuil4,4,IF(U$262&lt;bs_pc17_seuil5,3,IF(U$262&lt;bs_pc17_seuil6,2,IF(U$262&lt;bs_pc17_seuil7,1,IF(U$262&lt;bs_pc17_seuil8,0.5,0))))))))</f>
        <v>2</v>
      </c>
    </row>
    <row r="265" spans="1:21" ht="13" hidden="1" thickBot="1" x14ac:dyDescent="0.3">
      <c r="A265" s="279" t="s">
        <v>320</v>
      </c>
      <c r="B265" s="277"/>
      <c r="C265" s="266">
        <f>(C264=0.5)*bs_montant_ech0bis+(C264=1)*bs_montant_ech1+(C264=2)*bs_montant_ech2+(C264=3)*bs_montant_ech3+(C264=4)*bs_montant_ech4+(C264=5)*bs_montant_ech5+(C264=6)*bs_montant_ech6+(C264=7)*bs_montant_ech7</f>
        <v>6335</v>
      </c>
      <c r="D265" s="266">
        <f>(D264=0.5)*bs_montant_ech0bis+(D264=1)*bs_montant_ech1+(D264=2)*bs_montant_ech2+(D264=3)*bs_montant_ech3+(D264=4)*bs_montant_ech4+(D264=5)*bs_montant_ech5+(D264=6)*bs_montant_ech6+(D264=7)*bs_montant_ech7</f>
        <v>5506</v>
      </c>
      <c r="E265" s="266">
        <f>(E264=0.5)*bs_montant_ech0bis+(E264=1)*bs_montant_ech1+(E264=2)*bs_montant_ech2+(E264=3)*bs_montant_ech3+(E264=4)*bs_montant_ech4+(E264=5)*bs_montant_ech5+(E264=6)*bs_montant_ech6+(E264=7)*bs_montant_ech7</f>
        <v>4587</v>
      </c>
      <c r="F265" s="266">
        <f>(F264=0.5)*bs_montant_ech0bis+(F264=1)*bs_montant_ech1+(F264=2)*bs_montant_ech2+(F264=3)*bs_montant_ech3+(F264=4)*bs_montant_ech4+(F264=5)*bs_montant_ech5+(F264=6)*bs_montant_ech6+(F264=7)*bs_montant_ech7</f>
        <v>2163</v>
      </c>
      <c r="H265" s="266">
        <f>(H264=0.5)*bs_montant_ech0bis+(H264=1)*bs_montant_ech1+(H264=2)*bs_montant_ech2+(H264=3)*bs_montant_ech3+(H264=4)*bs_montant_ech4+(H264=5)*bs_montant_ech5+(H264=6)*bs_montant_ech6+(H264=7)*bs_montant_ech7</f>
        <v>6335</v>
      </c>
      <c r="I265" s="266">
        <f>(I264=0.5)*bs_montant_ech0bis+(I264=1)*bs_montant_ech1+(I264=2)*bs_montant_ech2+(I264=3)*bs_montant_ech3+(I264=4)*bs_montant_ech4+(I264=5)*bs_montant_ech5+(I264=6)*bs_montant_ech6+(I264=7)*bs_montant_ech7</f>
        <v>5506</v>
      </c>
      <c r="J265" s="266">
        <f>(J264=0.5)*bs_montant_ech0bis+(J264=1)*bs_montant_ech1+(J264=2)*bs_montant_ech2+(J264=3)*bs_montant_ech3+(J264=4)*bs_montant_ech4+(J264=5)*bs_montant_ech5+(J264=6)*bs_montant_ech6+(J264=7)*bs_montant_ech7</f>
        <v>4587</v>
      </c>
      <c r="K265" s="266">
        <f>(K264=0.5)*bs_montant_ech0bis+(K264=1)*bs_montant_ech1+(K264=2)*bs_montant_ech2+(K264=3)*bs_montant_ech3+(K264=4)*bs_montant_ech4+(K264=5)*bs_montant_ech5+(K264=6)*bs_montant_ech6+(K264=7)*bs_montant_ech7</f>
        <v>2163</v>
      </c>
      <c r="M265" s="266">
        <f>(M264=0.5)*bs_montant_ech0bis+(M264=1)*bs_montant_ech1+(M264=2)*bs_montant_ech2+(M264=3)*bs_montant_ech3+(M264=4)*bs_montant_ech4+(M264=5)*bs_montant_ech5+(M264=6)*bs_montant_ech6+(M264=7)*bs_montant_ech7</f>
        <v>6335</v>
      </c>
      <c r="N265" s="266">
        <f>(N264=0.5)*bs_montant_ech0bis+(N264=1)*bs_montant_ech1+(N264=2)*bs_montant_ech2+(N264=3)*bs_montant_ech3+(N264=4)*bs_montant_ech4+(N264=5)*bs_montant_ech5+(N264=6)*bs_montant_ech6+(N264=7)*bs_montant_ech7</f>
        <v>5506</v>
      </c>
      <c r="O265" s="266">
        <f>(O264=0.5)*bs_montant_ech0bis+(O264=1)*bs_montant_ech1+(O264=2)*bs_montant_ech2+(O264=3)*bs_montant_ech3+(O264=4)*bs_montant_ech4+(O264=5)*bs_montant_ech5+(O264=6)*bs_montant_ech6+(O264=7)*bs_montant_ech7</f>
        <v>4587</v>
      </c>
      <c r="P265" s="266">
        <f>(P264=0.5)*bs_montant_ech0bis+(P264=1)*bs_montant_ech1+(P264=2)*bs_montant_ech2+(P264=3)*bs_montant_ech3+(P264=4)*bs_montant_ech4+(P264=5)*bs_montant_ech5+(P264=6)*bs_montant_ech6+(P264=7)*bs_montant_ech7</f>
        <v>3071</v>
      </c>
      <c r="R265" s="266">
        <f>(R264=0.5)*bs_montant_ech0bis+(R264=1)*bs_montant_ech1+(R264=2)*bs_montant_ech2+(R264=3)*bs_montant_ech3+(R264=4)*bs_montant_ech4+(R264=5)*bs_montant_ech5+(R264=6)*bs_montant_ech6+(R264=7)*bs_montant_ech7</f>
        <v>6335</v>
      </c>
      <c r="S265" s="266">
        <f>(S264=0.5)*bs_montant_ech0bis+(S264=1)*bs_montant_ech1+(S264=2)*bs_montant_ech2+(S264=3)*bs_montant_ech3+(S264=4)*bs_montant_ech4+(S264=5)*bs_montant_ech5+(S264=6)*bs_montant_ech6+(S264=7)*bs_montant_ech7</f>
        <v>5506</v>
      </c>
      <c r="T265" s="266">
        <f>(T264=0.5)*bs_montant_ech0bis+(T264=1)*bs_montant_ech1+(T264=2)*bs_montant_ech2+(T264=3)*bs_montant_ech3+(T264=4)*bs_montant_ech4+(T264=5)*bs_montant_ech5+(T264=6)*bs_montant_ech6+(T264=7)*bs_montant_ech7</f>
        <v>5212</v>
      </c>
      <c r="U265" s="266">
        <f>(U264=0.5)*bs_montant_ech0bis+(U264=1)*bs_montant_ech1+(U264=2)*bs_montant_ech2+(U264=3)*bs_montant_ech3+(U264=4)*bs_montant_ech4+(U264=5)*bs_montant_ech5+(U264=6)*bs_montant_ech6+(U264=7)*bs_montant_ech7</f>
        <v>3071</v>
      </c>
    </row>
    <row r="266" spans="1:21" hidden="1" x14ac:dyDescent="0.25"/>
    <row r="267" spans="1:21" hidden="1" x14ac:dyDescent="0.25"/>
    <row r="269" spans="1:21" s="4" customFormat="1" ht="15" customHeight="1" thickBot="1" x14ac:dyDescent="0.35">
      <c r="A269" s="295" t="s">
        <v>557</v>
      </c>
      <c r="B269" s="89"/>
      <c r="C269" s="289"/>
      <c r="D269" s="289"/>
      <c r="E269" s="289"/>
      <c r="F269" s="289"/>
      <c r="H269" s="289"/>
      <c r="I269" s="289"/>
      <c r="J269" s="289"/>
      <c r="K269" s="289"/>
      <c r="M269" s="289"/>
      <c r="N269" s="289"/>
      <c r="O269" s="289"/>
      <c r="P269" s="289"/>
      <c r="R269" s="289"/>
      <c r="S269" s="289"/>
      <c r="T269" s="289"/>
      <c r="U269" s="289"/>
    </row>
    <row r="270" spans="1:21" s="4" customFormat="1" x14ac:dyDescent="0.25">
      <c r="A270" s="282" t="s">
        <v>214</v>
      </c>
      <c r="B270" s="121"/>
      <c r="C270" s="123">
        <f>IF(C$3="couple",(C$211=0)*pa_forf_c0+(C$211=1)*pa_forf_c1+(C$211&gt;=2)*(pa_forf_c2+(C$211-2)*pa_sup_enf),0)+IF(C$3="isolé",(C68=0)*((C$211=0)*pa_forf_I0+(C$211=1)*pa_forf_I1+(C$211&gt;=2)*(pa_forf_I2+(C$211-2)*pa_sup_enf))+(C68=1)*((C$211=0)*pa_forfm_I0+(C$211=1)*pa_forfm_I1+(C$211&gt;=2)*(pa_forfm_I2+(C$211-2)*pa_forfm_supenf)),0)</f>
        <v>933.94499999999994</v>
      </c>
      <c r="D270" s="123">
        <f>IF(D$3="couple",(D$211=0)*pa_forf_c0+(D$211=1)*pa_forf_c1+(D$211&gt;=2)*(pa_forf_c2+(D$211-2)*pa_sup_enf),0)+IF(D$3="isolé",(D68=0)*((D$211=0)*pa_forf_I0+(D$211=1)*pa_forf_I1+(D$211&gt;=2)*(pa_forf_I2+(D$211-2)*pa_sup_enf))+(D68=1)*((D$211=0)*pa_forfm_I0+(D$211=1)*pa_forfm_I1+(D$211&gt;=2)*(pa_forfm_I2+(D$211-2)*pa_forfm_supenf)),0)</f>
        <v>933.94499999999994</v>
      </c>
      <c r="E270" s="123">
        <f>IF(E$3="couple",(E$211=0)*pa_forf_c0+(E$211=1)*pa_forf_c1+(E$211&gt;=2)*(pa_forf_c2+(E$211-2)*pa_sup_enf),0)+IF(E$3="isolé",(E68=0)*((E$211=0)*pa_forf_I0+(E$211=1)*pa_forf_I1+(E$211&gt;=2)*(pa_forf_I2+(E$211-2)*pa_sup_enf))+(E68=1)*((E$211=0)*pa_forfm_I0+(E$211=1)*pa_forfm_I1+(E$211&gt;=2)*(pa_forfm_I2+(E$211-2)*pa_forfm_supenf)),0)</f>
        <v>933.94499999999994</v>
      </c>
      <c r="F270" s="123">
        <f>IF(F$3="couple",(F$211=0)*pa_forf_c0+(F$211=1)*pa_forf_c1+(F$211&gt;=2)*(pa_forf_c2+(F$211-2)*pa_sup_enf),0)+IF(F$3="isolé",(F68=0)*((F$211=0)*pa_forf_I0+(F$211=1)*pa_forf_I1+(F$211&gt;=2)*(pa_forf_I2+(F$211-2)*pa_sup_enf))+(F68=1)*((F$211=0)*pa_forfm_I0+(F$211=1)*pa_forfm_I1+(F$211&gt;=2)*(pa_forfm_I2+(F$211-2)*pa_forfm_supenf)),0)</f>
        <v>933.94499999999994</v>
      </c>
      <c r="H270" s="123">
        <f>IF(H$3="couple",(H$211=0)*pa_forf_c0+(H$211=1)*pa_forf_c1+(H$211&gt;=2)*(pa_forf_c2+(H$211-2)*pa_sup_enf),0)+IF(H$3="isolé",(H68=0)*((H$211=0)*pa_forf_I0+(H$211=1)*pa_forf_I1+(H$211&gt;=2)*(pa_forf_I2+(H$211-2)*pa_sup_enf))+(H68=1)*((H$211=0)*pa_forfm_I0+(H$211=1)*pa_forfm_I1+(H$211&gt;=2)*(pa_forfm_I2+(H$211-2)*pa_forfm_supenf)),0)</f>
        <v>1120.7339999999999</v>
      </c>
      <c r="I270" s="123">
        <f>IF(I$3="couple",(I$211=0)*pa_forf_c0+(I$211=1)*pa_forf_c1+(I$211&gt;=2)*(pa_forf_c2+(I$211-2)*pa_sup_enf),0)+IF(I$3="isolé",(I68=0)*((I$211=0)*pa_forf_I0+(I$211=1)*pa_forf_I1+(I$211&gt;=2)*(pa_forf_I2+(I$211-2)*pa_sup_enf))+(I68=1)*((I$211=0)*pa_forfm_I0+(I$211=1)*pa_forfm_I1+(I$211&gt;=2)*(pa_forfm_I2+(I$211-2)*pa_forfm_supenf)),0)</f>
        <v>1120.7339999999999</v>
      </c>
      <c r="J270" s="123">
        <f>IF(J$3="couple",(J$211=0)*pa_forf_c0+(J$211=1)*pa_forf_c1+(J$211&gt;=2)*(pa_forf_c2+(J$211-2)*pa_sup_enf),0)+IF(J$3="isolé",(J68=0)*((J$211=0)*pa_forf_I0+(J$211=1)*pa_forf_I1+(J$211&gt;=2)*(pa_forf_I2+(J$211-2)*pa_sup_enf))+(J68=1)*((J$211=0)*pa_forfm_I0+(J$211=1)*pa_forfm_I1+(J$211&gt;=2)*(pa_forfm_I2+(J$211-2)*pa_forfm_supenf)),0)</f>
        <v>1120.7339999999999</v>
      </c>
      <c r="K270" s="123">
        <f>IF(K$3="couple",(K$211=0)*pa_forf_c0+(K$211=1)*pa_forf_c1+(K$211&gt;=2)*(pa_forf_c2+(K$211-2)*pa_sup_enf),0)+IF(K$3="isolé",(K68=0)*((K$211=0)*pa_forf_I0+(K$211=1)*pa_forf_I1+(K$211&gt;=2)*(pa_forf_I2+(K$211-2)*pa_sup_enf))+(K68=1)*((K$211=0)*pa_forfm_I0+(K$211=1)*pa_forfm_I1+(K$211&gt;=2)*(pa_forfm_I2+(K$211-2)*pa_forfm_supenf)),0)</f>
        <v>1120.7339999999999</v>
      </c>
      <c r="M270" s="123">
        <f>IF(M$3="couple",(M$211=0)*pa_forf_c0+(M$211=1)*pa_forf_c1+(M$211&gt;=2)*(pa_forf_c2+(M$211-2)*pa_sup_enf),0)+IF(M$3="isolé",(M68=0)*((M$211=0)*pa_forf_I0+(M$211=1)*pa_forf_I1+(M$211&gt;=2)*(pa_forf_I2+(M$211-2)*pa_sup_enf))+(M68=1)*((M$211=0)*pa_forfm_I0+(M$211=1)*pa_forfm_I1+(M$211&gt;=2)*(pa_forfm_I2+(M$211-2)*pa_forfm_supenf)),0)</f>
        <v>1307.5229999999999</v>
      </c>
      <c r="N270" s="123">
        <f>IF(N$3="couple",(N$211=0)*pa_forf_c0+(N$211=1)*pa_forf_c1+(N$211&gt;=2)*(pa_forf_c2+(N$211-2)*pa_sup_enf),0)+IF(N$3="isolé",(N68=0)*((N$211=0)*pa_forf_I0+(N$211=1)*pa_forf_I1+(N$211&gt;=2)*(pa_forf_I2+(N$211-2)*pa_sup_enf))+(N68=1)*((N$211=0)*pa_forfm_I0+(N$211=1)*pa_forfm_I1+(N$211&gt;=2)*(pa_forfm_I2+(N$211-2)*pa_forfm_supenf)),0)</f>
        <v>1307.5229999999999</v>
      </c>
      <c r="O270" s="123">
        <f>IF(O$3="couple",(O$211=0)*pa_forf_c0+(O$211=1)*pa_forf_c1+(O$211&gt;=2)*(pa_forf_c2+(O$211-2)*pa_sup_enf),0)+IF(O$3="isolé",(O68=0)*((O$211=0)*pa_forf_I0+(O$211=1)*pa_forf_I1+(O$211&gt;=2)*(pa_forf_I2+(O$211-2)*pa_sup_enf))+(O68=1)*((O$211=0)*pa_forfm_I0+(O$211=1)*pa_forfm_I1+(O$211&gt;=2)*(pa_forfm_I2+(O$211-2)*pa_forfm_supenf)),0)</f>
        <v>1307.5229999999999</v>
      </c>
      <c r="P270" s="123">
        <f>IF(P$3="couple",(P$211=0)*pa_forf_c0+(P$211=1)*pa_forf_c1+(P$211&gt;=2)*(pa_forf_c2+(P$211-2)*pa_sup_enf),0)+IF(P$3="isolé",(P68=0)*((P$211=0)*pa_forf_I0+(P$211=1)*pa_forf_I1+(P$211&gt;=2)*(pa_forf_I2+(P$211-2)*pa_sup_enf))+(P68=1)*((P$211=0)*pa_forfm_I0+(P$211=1)*pa_forfm_I1+(P$211&gt;=2)*(pa_forfm_I2+(P$211-2)*pa_forfm_supenf)),0)</f>
        <v>1307.5229999999999</v>
      </c>
      <c r="R270" s="123">
        <f>IF(R$3="couple",(R$211=0)*pa_forf_c0+(R$211=1)*pa_forf_c1+(R$211&gt;=2)*(pa_forf_c2+(R$211-2)*pa_sup_enf),0)+IF(R$3="isolé",(R68=0)*((R$211=0)*pa_forf_I0+(R$211=1)*pa_forf_I1+(R$211&gt;=2)*(pa_forf_I2+(R$211-2)*pa_sup_enf))+(R68=1)*((R$211=0)*pa_forfm_I0+(R$211=1)*pa_forfm_I1+(R$211&gt;=2)*(pa_forfm_I2+(R$211-2)*pa_forfm_supenf)),0)</f>
        <v>1556.5749999999998</v>
      </c>
      <c r="S270" s="123">
        <f>IF(S$3="couple",(S$211=0)*pa_forf_c0+(S$211=1)*pa_forf_c1+(S$211&gt;=2)*(pa_forf_c2+(S$211-2)*pa_sup_enf),0)+IF(S$3="isolé",(S68=0)*((S$211=0)*pa_forf_I0+(S$211=1)*pa_forf_I1+(S$211&gt;=2)*(pa_forf_I2+(S$211-2)*pa_sup_enf))+(S68=1)*((S$211=0)*pa_forfm_I0+(S$211=1)*pa_forfm_I1+(S$211&gt;=2)*(pa_forfm_I2+(S$211-2)*pa_forfm_supenf)),0)</f>
        <v>1556.5749999999998</v>
      </c>
      <c r="T270" s="123">
        <f>IF(T$3="couple",(T$211=0)*pa_forf_c0+(T$211=1)*pa_forf_c1+(T$211&gt;=2)*(pa_forf_c2+(T$211-2)*pa_sup_enf),0)+IF(T$3="isolé",(T68=0)*((T$211=0)*pa_forf_I0+(T$211=1)*pa_forf_I1+(T$211&gt;=2)*(pa_forf_I2+(T$211-2)*pa_sup_enf))+(T68=1)*((T$211=0)*pa_forfm_I0+(T$211=1)*pa_forfm_I1+(T$211&gt;=2)*(pa_forfm_I2+(T$211-2)*pa_forfm_supenf)),0)</f>
        <v>1556.5749999999998</v>
      </c>
      <c r="U270" s="123">
        <f>IF(U$3="couple",(U$211=0)*pa_forf_c0+(U$211=1)*pa_forf_c1+(U$211&gt;=2)*(pa_forf_c2+(U$211-2)*pa_sup_enf),0)+IF(U$3="isolé",(U68=0)*((U$211=0)*pa_forf_I0+(U$211=1)*pa_forf_I1+(U$211&gt;=2)*(pa_forf_I2+(U$211-2)*pa_sup_enf))+(U68=1)*((U$211=0)*pa_forfm_I0+(U$211=1)*pa_forfm_I1+(U$211&gt;=2)*(pa_forfm_I2+(U$211-2)*pa_forfm_supenf)),0)</f>
        <v>1556.5749999999998</v>
      </c>
    </row>
    <row r="271" spans="1:21" s="4" customFormat="1" x14ac:dyDescent="0.25">
      <c r="A271" s="275" t="s">
        <v>162</v>
      </c>
      <c r="B271" s="5"/>
      <c r="C271" s="85">
        <f>MIN(C$185,IF(C$3="isolé",(C$211=0)*pa_fl1+(C$211=1)*pa_fl2+(C$211&gt;1)*pa_fl3,(C$211=0)*pa_fl2+(C$211&gt;0)*pa_fl3))</f>
        <v>149.43119999999999</v>
      </c>
      <c r="D271" s="85">
        <f>MIN(D$185,IF(D$3="isolé",(D$211=0)*pa_fl1+(D$211=1)*pa_fl2+(D$211&gt;1)*pa_fl3,(D$211=0)*pa_fl2+(D$211&gt;0)*pa_fl3))</f>
        <v>149.43119999999999</v>
      </c>
      <c r="E271" s="85">
        <f>MIN(E$185,IF(E$3="isolé",(E$211=0)*pa_fl1+(E$211=1)*pa_fl2+(E$211&gt;1)*pa_fl3,(E$211=0)*pa_fl2+(E$211&gt;0)*pa_fl3))</f>
        <v>88.576232220529803</v>
      </c>
      <c r="F271" s="85">
        <f>MIN(F$185,IF(F$3="isolé",(F$211=0)*pa_fl1+(F$211=1)*pa_fl2+(F$211&gt;1)*pa_fl3,(F$211=0)*pa_fl2+(F$211&gt;0)*pa_fl3))</f>
        <v>0</v>
      </c>
      <c r="H271" s="85">
        <f>MIN(H$185,IF(H$3="isolé",(H$211=0)*pa_fl1+(H$211=1)*pa_fl2+(H$211&gt;1)*pa_fl3,(H$211=0)*pa_fl2+(H$211&gt;0)*pa_fl3))</f>
        <v>184.92111</v>
      </c>
      <c r="I271" s="85">
        <f>MIN(I$185,IF(I$3="isolé",(I$211=0)*pa_fl1+(I$211=1)*pa_fl2+(I$211&gt;1)*pa_fl3,(I$211=0)*pa_fl2+(I$211&gt;0)*pa_fl3))</f>
        <v>184.92111</v>
      </c>
      <c r="J271" s="85">
        <f>MIN(J$185,IF(J$3="isolé",(J$211=0)*pa_fl1+(J$211=1)*pa_fl2+(J$211&gt;1)*pa_fl3,(J$211=0)*pa_fl2+(J$211&gt;0)*pa_fl3))</f>
        <v>184.92111</v>
      </c>
      <c r="K271" s="85">
        <f>MIN(K$185,IF(K$3="isolé",(K$211=0)*pa_fl1+(K$211=1)*pa_fl2+(K$211&gt;1)*pa_fl3,(K$211=0)*pa_fl2+(K$211&gt;0)*pa_fl3))</f>
        <v>0</v>
      </c>
      <c r="M271" s="85">
        <f>MIN(M$185,IF(M$3="isolé",(M$211=0)*pa_fl1+(M$211=1)*pa_fl2+(M$211&gt;1)*pa_fl3,(M$211=0)*pa_fl2+(M$211&gt;0)*pa_fl3))</f>
        <v>184.92111</v>
      </c>
      <c r="N271" s="85">
        <f>MIN(N$185,IF(N$3="isolé",(N$211=0)*pa_fl1+(N$211=1)*pa_fl2+(N$211&gt;1)*pa_fl3,(N$211=0)*pa_fl2+(N$211&gt;0)*pa_fl3))</f>
        <v>184.92111</v>
      </c>
      <c r="O271" s="85">
        <f>MIN(O$185,IF(O$3="isolé",(O$211=0)*pa_fl1+(O$211=1)*pa_fl2+(O$211&gt;1)*pa_fl3,(O$211=0)*pa_fl2+(O$211&gt;0)*pa_fl3))</f>
        <v>184.92111</v>
      </c>
      <c r="P271" s="85">
        <f>MIN(P$185,IF(P$3="isolé",(P$211=0)*pa_fl1+(P$211=1)*pa_fl2+(P$211&gt;1)*pa_fl3,(P$211=0)*pa_fl2+(P$211&gt;0)*pa_fl3))</f>
        <v>106.52656054361321</v>
      </c>
      <c r="R271" s="85">
        <f>MIN(R$185,IF(R$3="isolé",(R$211=0)*pa_fl1+(R$211=1)*pa_fl2+(R$211&gt;1)*pa_fl3,(R$211=0)*pa_fl2+(R$211&gt;0)*pa_fl3))</f>
        <v>184.92111</v>
      </c>
      <c r="S271" s="85">
        <f>MIN(S$185,IF(S$3="isolé",(S$211=0)*pa_fl1+(S$211=1)*pa_fl2+(S$211&gt;1)*pa_fl3,(S$211=0)*pa_fl2+(S$211&gt;0)*pa_fl3))</f>
        <v>184.92111</v>
      </c>
      <c r="T271" s="85">
        <f>MIN(T$185,IF(T$3="isolé",(T$211=0)*pa_fl1+(T$211=1)*pa_fl2+(T$211&gt;1)*pa_fl3,(T$211=0)*pa_fl2+(T$211&gt;0)*pa_fl3))</f>
        <v>184.92111</v>
      </c>
      <c r="U271" s="85">
        <f>MIN(U$185,IF(U$3="isolé",(U$211=0)*pa_fl1+(U$211=1)*pa_fl2+(U$211&gt;1)*pa_fl3,(U$211=0)*pa_fl2+(U$211&gt;0)*pa_fl3))</f>
        <v>184.92111</v>
      </c>
    </row>
    <row r="272" spans="1:21" s="4" customFormat="1" x14ac:dyDescent="0.25">
      <c r="A272" s="275" t="s">
        <v>526</v>
      </c>
      <c r="B272" s="5"/>
      <c r="C272" s="85">
        <v>0</v>
      </c>
      <c r="D272" s="85">
        <v>0</v>
      </c>
      <c r="E272" s="85">
        <v>0</v>
      </c>
      <c r="F272" s="85">
        <v>0</v>
      </c>
      <c r="H272" s="85">
        <v>0</v>
      </c>
      <c r="I272" s="85">
        <v>0</v>
      </c>
      <c r="J272" s="85">
        <v>0</v>
      </c>
      <c r="K272" s="85">
        <v>0</v>
      </c>
      <c r="M272" s="85">
        <v>0</v>
      </c>
      <c r="N272" s="85">
        <v>0</v>
      </c>
      <c r="O272" s="85">
        <v>0</v>
      </c>
      <c r="P272" s="85">
        <v>0</v>
      </c>
      <c r="R272" s="85">
        <v>0</v>
      </c>
      <c r="S272" s="85">
        <v>0</v>
      </c>
      <c r="T272" s="85">
        <v>0</v>
      </c>
      <c r="U272" s="85">
        <v>0</v>
      </c>
    </row>
    <row r="273" spans="1:21" s="4" customFormat="1" x14ac:dyDescent="0.25">
      <c r="A273" s="275" t="s">
        <v>527</v>
      </c>
      <c r="B273" s="5"/>
      <c r="C273" s="85">
        <v>0</v>
      </c>
      <c r="D273" s="85">
        <v>0</v>
      </c>
      <c r="E273" s="85">
        <v>0</v>
      </c>
      <c r="F273" s="85">
        <v>0</v>
      </c>
      <c r="H273" s="85">
        <v>0</v>
      </c>
      <c r="I273" s="85">
        <v>0</v>
      </c>
      <c r="J273" s="85">
        <v>0</v>
      </c>
      <c r="K273" s="85">
        <v>0</v>
      </c>
      <c r="M273" s="85">
        <v>0</v>
      </c>
      <c r="N273" s="85">
        <v>0</v>
      </c>
      <c r="O273" s="85">
        <v>0</v>
      </c>
      <c r="P273" s="85">
        <v>0</v>
      </c>
      <c r="R273" s="85">
        <v>0</v>
      </c>
      <c r="S273" s="85">
        <v>0</v>
      </c>
      <c r="T273" s="85">
        <v>0</v>
      </c>
      <c r="U273" s="85">
        <v>0</v>
      </c>
    </row>
    <row r="274" spans="1:21" s="4" customFormat="1" x14ac:dyDescent="0.25">
      <c r="A274" s="116" t="s">
        <v>92</v>
      </c>
      <c r="B274" s="5"/>
      <c r="C274" s="85">
        <f>C$38+C$32*IF(C$38&gt;=AAH_salmin_revact,C$205,0)+(C$3="couple")*(C$39+C$33*IF(C$39&gt;=AAH_salmin_revact,C$207,0))</f>
        <v>0</v>
      </c>
      <c r="D274" s="85">
        <f>D$38+D$32*IF(D$38&gt;=AAH_salmin_revact,D$205,0)+(D$3="couple")*(D$39+D$33*IF(D$39&gt;=AAH_salmin_revact,D$207,0))</f>
        <v>699.35</v>
      </c>
      <c r="E274" s="85">
        <f>E$38+E$32*IF(E$38&gt;=AAH_salmin_revact,E$205,0)+(E$3="couple")*(E$39+E$33*IF(E$39&gt;=AAH_salmin_revact,E$207,0))</f>
        <v>1398.7</v>
      </c>
      <c r="F274" s="85">
        <f>F$38+F$32*IF(F$38&gt;=AAH_salmin_revact,F$205,0)+(F$3="couple")*(F$39+F$33*IF(F$39&gt;=AAH_salmin_revact,F$207,0))</f>
        <v>2098.0500000000002</v>
      </c>
      <c r="H274" s="85">
        <f>H$38+H$32*IF(H$38&gt;=AAH_salmin_revact,H$205,0)+(H$3="couple")*(H$39+H$33*IF(H$39&gt;=AAH_salmin_revact,H$207,0))</f>
        <v>0</v>
      </c>
      <c r="I274" s="85">
        <f>I$38+I$32*IF(I$38&gt;=AAH_salmin_revact,I$205,0)+(I$3="couple")*(I$39+I$33*IF(I$39&gt;=AAH_salmin_revact,I$207,0))</f>
        <v>699.35</v>
      </c>
      <c r="J274" s="85">
        <f>J$38+J$32*IF(J$38&gt;=AAH_salmin_revact,J$205,0)+(J$3="couple")*(J$39+J$33*IF(J$39&gt;=AAH_salmin_revact,J$207,0))</f>
        <v>1398.7</v>
      </c>
      <c r="K274" s="85">
        <f>K$38+K$32*IF(K$38&gt;=AAH_salmin_revact,K$205,0)+(K$3="couple")*(K$39+K$33*IF(K$39&gt;=AAH_salmin_revact,K$207,0))</f>
        <v>2098.0500000000002</v>
      </c>
      <c r="M274" s="85">
        <f>M$38+M$32*IF(M$38&gt;=AAH_salmin_revact,M$205,0)+(M$3="couple")*(M$39+M$33*IF(M$39&gt;=AAH_salmin_revact,M$207,0))</f>
        <v>0</v>
      </c>
      <c r="N274" s="85">
        <f>N$38+N$32*IF(N$38&gt;=AAH_salmin_revact,N$205,0)+(N$3="couple")*(N$39+N$33*IF(N$39&gt;=AAH_salmin_revact,N$207,0))</f>
        <v>699.35</v>
      </c>
      <c r="O274" s="85">
        <f>O$38+O$32*IF(O$38&gt;=AAH_salmin_revact,O$205,0)+(O$3="couple")*(O$39+O$33*IF(O$39&gt;=AAH_salmin_revact,O$207,0))</f>
        <v>1398.7</v>
      </c>
      <c r="P274" s="85">
        <f>P$38+P$32*IF(P$38&gt;=AAH_salmin_revact,P$205,0)+(P$3="couple")*(P$39+P$33*IF(P$39&gt;=AAH_salmin_revact,P$207,0))</f>
        <v>2098.0500000000002</v>
      </c>
      <c r="R274" s="85">
        <f>R$38+R$32*IF(R$38&gt;=AAH_salmin_revact,R$205,0)+(R$3="couple")*(R$39+R$33*IF(R$39&gt;=AAH_salmin_revact,R$207,0))</f>
        <v>0</v>
      </c>
      <c r="S274" s="85">
        <f>S$38+S$32*IF(S$38&gt;=AAH_salmin_revact,S$205,0)+(S$3="couple")*(S$39+S$33*IF(S$39&gt;=AAH_salmin_revact,S$207,0))</f>
        <v>699.35</v>
      </c>
      <c r="T274" s="85">
        <f>T$38+T$32*IF(T$38&gt;=AAH_salmin_revact,T$205,0)+(T$3="couple")*(T$39+T$33*IF(T$39&gt;=AAH_salmin_revact,T$207,0))</f>
        <v>1398.7</v>
      </c>
      <c r="U274" s="85">
        <f>U$38+U$32*IF(U$38&gt;=AAH_salmin_revact,U$205,0)+(U$3="couple")*(U$39+U$33*IF(U$39&gt;=AAH_salmin_revact,U$207,0))</f>
        <v>2098.0500000000002</v>
      </c>
    </row>
    <row r="275" spans="1:21" s="4" customFormat="1" x14ac:dyDescent="0.25">
      <c r="A275" s="275" t="s">
        <v>216</v>
      </c>
      <c r="B275" s="5"/>
      <c r="C275" s="85">
        <f>C270+C272+C273+pa_taux_rev_act*C274</f>
        <v>933.94499999999994</v>
      </c>
      <c r="D275" s="85">
        <f>D270+D272+D273+pa_taux_rev_act*D274</f>
        <v>1360.5484999999999</v>
      </c>
      <c r="E275" s="85">
        <f>E270+E272+E273+pa_taux_rev_act*E274</f>
        <v>1787.152</v>
      </c>
      <c r="F275" s="85">
        <f>F270+F272+F273+pa_taux_rev_act*F274</f>
        <v>2213.7555000000002</v>
      </c>
      <c r="H275" s="85">
        <f>H270+H272+H273+pa_taux_rev_act*H274</f>
        <v>1120.7339999999999</v>
      </c>
      <c r="I275" s="85">
        <f>I270+I272+I273+pa_taux_rev_act*I274</f>
        <v>1547.3374999999999</v>
      </c>
      <c r="J275" s="85">
        <f>J270+J272+J273+pa_taux_rev_act*J274</f>
        <v>1973.9409999999998</v>
      </c>
      <c r="K275" s="85">
        <f>K270+K272+K273+pa_taux_rev_act*K274</f>
        <v>2400.5445</v>
      </c>
      <c r="M275" s="85">
        <f>M270+M272+M273+pa_taux_rev_act*M274</f>
        <v>1307.5229999999999</v>
      </c>
      <c r="N275" s="85">
        <f>N270+N272+N273+pa_taux_rev_act*N274</f>
        <v>1734.1264999999999</v>
      </c>
      <c r="O275" s="85">
        <f>O270+O272+O273+pa_taux_rev_act*O274</f>
        <v>2160.73</v>
      </c>
      <c r="P275" s="85">
        <f>P270+P272+P273+pa_taux_rev_act*P274</f>
        <v>2587.3334999999997</v>
      </c>
      <c r="R275" s="85">
        <f>R270+R272+R273+pa_taux_rev_act*R274</f>
        <v>1556.5749999999998</v>
      </c>
      <c r="S275" s="85">
        <f>S270+S272+S273+pa_taux_rev_act*S274</f>
        <v>1983.1784999999998</v>
      </c>
      <c r="T275" s="85">
        <f>T270+T272+T273+pa_taux_rev_act*T274</f>
        <v>2409.7819999999997</v>
      </c>
      <c r="U275" s="85">
        <f>U270+U272+U273+pa_taux_rev_act*U274</f>
        <v>2836.3854999999999</v>
      </c>
    </row>
    <row r="276" spans="1:21" s="4" customFormat="1" x14ac:dyDescent="0.25">
      <c r="A276" s="275" t="s">
        <v>209</v>
      </c>
      <c r="B276" s="5"/>
      <c r="C276" s="85">
        <f>(C$127+C$137+C$64)/(1-crds)+(C$62&gt;0)*MAX(0,(ASF_à_déduire_du_RSA/(1-crds))*C$97-C$52)</f>
        <v>0</v>
      </c>
      <c r="D276" s="85">
        <f>(D$127+D$137+D$64)/(1-crds)+(D$62&gt;0)*MAX(0,(ASF_à_déduire_du_RSA/(1-crds))*D$97-D$52)</f>
        <v>0</v>
      </c>
      <c r="E276" s="85">
        <f>(E$127+E$137+E$64)/(1-crds)+(E$62&gt;0)*MAX(0,(ASF_à_déduire_du_RSA/(1-crds))*E$97-E$52)</f>
        <v>0</v>
      </c>
      <c r="F276" s="85">
        <f>(F$127+F$137+F$64)/(1-crds)+(F$62&gt;0)*MAX(0,(ASF_à_déduire_du_RSA/(1-crds))*F$97-F$52)</f>
        <v>0</v>
      </c>
      <c r="H276" s="85">
        <f>(H$127+H$137+H$64)/(1-crds)+(H$62&gt;0)*MAX(0,(ASF_à_déduire_du_RSA/(1-crds))*H$97-H$52)</f>
        <v>0</v>
      </c>
      <c r="I276" s="85">
        <f>(I$127+I$137+I$64)/(1-crds)+(I$62&gt;0)*MAX(0,(ASF_à_déduire_du_RSA/(1-crds))*I$97-I$52)</f>
        <v>0</v>
      </c>
      <c r="J276" s="85">
        <f>(J$127+J$137+J$64)/(1-crds)+(J$62&gt;0)*MAX(0,(ASF_à_déduire_du_RSA/(1-crds))*J$97-J$52)</f>
        <v>0</v>
      </c>
      <c r="K276" s="85">
        <f>(K$127+K$137+K$64)/(1-crds)+(K$62&gt;0)*MAX(0,(ASF_à_déduire_du_RSA/(1-crds))*K$97-K$52)</f>
        <v>0</v>
      </c>
      <c r="M276" s="85">
        <f>(M$127+M$137+M$64)/(1-crds)+(M$62&gt;0)*MAX(0,(ASF_à_déduire_du_RSA/(1-crds))*M$97-M$52)</f>
        <v>149.26079999999999</v>
      </c>
      <c r="N276" s="85">
        <f>(N$127+N$137+N$64)/(1-crds)+(N$62&gt;0)*MAX(0,(ASF_à_déduire_du_RSA/(1-crds))*N$97-N$52)</f>
        <v>149.26079999999999</v>
      </c>
      <c r="O276" s="85">
        <f>(O$127+O$137+O$64)/(1-crds)+(O$62&gt;0)*MAX(0,(ASF_à_déduire_du_RSA/(1-crds))*O$97-O$52)</f>
        <v>149.26079999999999</v>
      </c>
      <c r="P276" s="85">
        <f>(P$127+P$137+P$64)/(1-crds)+(P$62&gt;0)*MAX(0,(ASF_à_déduire_du_RSA/(1-crds))*P$97-P$52)</f>
        <v>149.26079999999999</v>
      </c>
      <c r="R276" s="85">
        <f>(R$127+R$137+R$64)/(1-crds)+(R$62&gt;0)*MAX(0,(ASF_à_déduire_du_RSA/(1-crds))*R$97-R$52)</f>
        <v>534.77345999999989</v>
      </c>
      <c r="S276" s="85">
        <f>(S$127+S$137+S$64)/(1-crds)+(S$62&gt;0)*MAX(0,(ASF_à_déduire_du_RSA/(1-crds))*S$97-S$52)</f>
        <v>534.77345999999989</v>
      </c>
      <c r="T276" s="85">
        <f>(T$127+T$137+T$64)/(1-crds)+(T$62&gt;0)*MAX(0,(ASF_à_déduire_du_RSA/(1-crds))*T$97-T$52)</f>
        <v>534.77345999999989</v>
      </c>
      <c r="U276" s="85">
        <f>(U$127+U$137+U$64)/(1-crds)+(U$62&gt;0)*MAX(0,(ASF_à_déduire_du_RSA/(1-crds))*U$97-U$52)</f>
        <v>534.77345999999989</v>
      </c>
    </row>
    <row r="277" spans="1:21" x14ac:dyDescent="0.25">
      <c r="A277" s="275" t="s">
        <v>331</v>
      </c>
      <c r="B277" s="5"/>
      <c r="C277" s="85">
        <f>C$218+C$227+C$38+C$39+C$52+C$57+C$74</f>
        <v>800.99459999999999</v>
      </c>
      <c r="D277" s="85">
        <f t="shared" ref="D277:F277" si="154">D$218+D$227+D$38+D$39+D$52+D$57+D$74</f>
        <v>800.99459999999999</v>
      </c>
      <c r="E277" s="85">
        <f t="shared" si="154"/>
        <v>1398.7</v>
      </c>
      <c r="F277" s="85">
        <f t="shared" si="154"/>
        <v>2098.0500000000002</v>
      </c>
      <c r="H277" s="85">
        <f>H$218+H$227+H$38+H$39+H$52+H$57+H$74</f>
        <v>955.47212999999999</v>
      </c>
      <c r="I277" s="85">
        <f t="shared" ref="I277:K277" si="155">I$218+I$227+I$38+I$39+I$52+I$57+I$74</f>
        <v>955.47212999999999</v>
      </c>
      <c r="J277" s="85">
        <f t="shared" si="155"/>
        <v>1398.7</v>
      </c>
      <c r="K277" s="85">
        <f t="shared" si="155"/>
        <v>2098.0500000000002</v>
      </c>
      <c r="M277" s="85">
        <f>M$218+M$227+M$38+M$39+M$52+M$57+M$74</f>
        <v>1146.1851300000001</v>
      </c>
      <c r="N277" s="85">
        <f t="shared" ref="N277:P277" si="156">N$218+N$227+N$38+N$39+N$52+N$57+N$74</f>
        <v>1146.1851300000001</v>
      </c>
      <c r="O277" s="85">
        <f t="shared" si="156"/>
        <v>1547.9608000000001</v>
      </c>
      <c r="P277" s="85">
        <f t="shared" si="156"/>
        <v>2247.3108000000002</v>
      </c>
      <c r="R277" s="85">
        <f>R$218+R$227+R$38+R$39+R$52+R$57+R$74</f>
        <v>1400.4691300000002</v>
      </c>
      <c r="S277" s="85">
        <f t="shared" ref="S277:U277" si="157">S$218+S$227+S$38+S$39+S$52+S$57+S$74</f>
        <v>1400.4691300000004</v>
      </c>
      <c r="T277" s="85">
        <f t="shared" si="157"/>
        <v>1933.4734599999999</v>
      </c>
      <c r="U277" s="85">
        <f t="shared" si="157"/>
        <v>2632.8234600000001</v>
      </c>
    </row>
    <row r="278" spans="1:21" ht="13" thickBot="1" x14ac:dyDescent="0.3">
      <c r="A278" s="288" t="s">
        <v>143</v>
      </c>
      <c r="B278" s="125"/>
      <c r="C278" s="126">
        <f>(C$225&gt;0)*MAX(0,C$226-C$222-C$228)</f>
        <v>0</v>
      </c>
      <c r="D278" s="126">
        <f t="shared" ref="D278:F278" si="158">(D$225&gt;0)*MAX(0,D$226-D$222-D$228)</f>
        <v>410.1226999999999</v>
      </c>
      <c r="E278" s="126">
        <f t="shared" si="158"/>
        <v>481.06576777947021</v>
      </c>
      <c r="F278" s="126">
        <f t="shared" si="158"/>
        <v>296.89549999999963</v>
      </c>
      <c r="H278" s="126">
        <f>(H$225&gt;0)*MAX(0,H$226-H$222-H$228)</f>
        <v>0</v>
      </c>
      <c r="I278" s="126">
        <f t="shared" ref="I278:K278" si="159">(I$225&gt;0)*MAX(0,I$226-I$222-I$228)</f>
        <v>406.94425999999987</v>
      </c>
      <c r="J278" s="126">
        <f t="shared" si="159"/>
        <v>571.50988999999981</v>
      </c>
      <c r="K278" s="126">
        <f t="shared" si="159"/>
        <v>483.68449999999984</v>
      </c>
      <c r="M278" s="126">
        <f>(M$225&gt;0)*MAX(0,M$226-M$222-M$228)</f>
        <v>0</v>
      </c>
      <c r="N278" s="126">
        <f t="shared" ref="N278:P278" si="160">(N$225&gt;0)*MAX(0,N$226-N$222-N$228)</f>
        <v>403.02025999999978</v>
      </c>
      <c r="O278" s="126">
        <f t="shared" si="160"/>
        <v>609.03808999999978</v>
      </c>
      <c r="P278" s="126">
        <f t="shared" si="160"/>
        <v>414.68613945638663</v>
      </c>
      <c r="R278" s="126">
        <f>(R$225&gt;0)*MAX(0,R$226-R$222-R$228)</f>
        <v>0</v>
      </c>
      <c r="S278" s="126">
        <f t="shared" ref="S278:U278" si="161">(S$225&gt;0)*MAX(0,S$226-S$222-S$228)</f>
        <v>397.78825999999935</v>
      </c>
      <c r="T278" s="126">
        <f t="shared" si="161"/>
        <v>472.57742999999959</v>
      </c>
      <c r="U278" s="126">
        <f t="shared" si="161"/>
        <v>199.83092999999963</v>
      </c>
    </row>
    <row r="279" spans="1:21" x14ac:dyDescent="0.25">
      <c r="C279" s="202">
        <f>(C278&gt;=pa_seuil_versement)*C278*(1-taux_CRDS)</f>
        <v>0</v>
      </c>
      <c r="D279" s="202">
        <f>(D278&gt;=pa_seuil_versement)*D278*(1-taux_CRDS)</f>
        <v>408.0720864999999</v>
      </c>
      <c r="E279" s="202">
        <f>(E278&gt;=pa_seuil_versement)*E278*(1-taux_CRDS)</f>
        <v>478.66043894057287</v>
      </c>
      <c r="F279" s="202">
        <f>(F278&gt;=pa_seuil_versement)*F278*(1-taux_CRDS)</f>
        <v>295.4110224999996</v>
      </c>
      <c r="H279" s="202">
        <f>(H278&gt;=pa_seuil_versement)*H278*(1-taux_CRDS)</f>
        <v>0</v>
      </c>
      <c r="I279" s="202">
        <f>(I278&gt;=pa_seuil_versement)*I278*(1-taux_CRDS)</f>
        <v>404.90953869999987</v>
      </c>
      <c r="J279" s="202">
        <f>(J278&gt;=pa_seuil_versement)*J278*(1-taux_CRDS)</f>
        <v>568.65234054999985</v>
      </c>
      <c r="K279" s="202">
        <f>(K278&gt;=pa_seuil_versement)*K278*(1-taux_CRDS)</f>
        <v>481.26607749999982</v>
      </c>
      <c r="M279" s="202">
        <f>(M278&gt;=pa_seuil_versement)*M278*(1-taux_CRDS)</f>
        <v>0</v>
      </c>
      <c r="N279" s="202">
        <f>(N278&gt;=pa_seuil_versement)*N278*(1-taux_CRDS)</f>
        <v>401.00515869999975</v>
      </c>
      <c r="O279" s="202">
        <f>(O278&gt;=pa_seuil_versement)*O278*(1-taux_CRDS)</f>
        <v>605.99289954999983</v>
      </c>
      <c r="P279" s="202">
        <f>(P278&gt;=pa_seuil_versement)*P278*(1-taux_CRDS)</f>
        <v>412.61270875910469</v>
      </c>
      <c r="R279" s="202">
        <f>(R278&gt;=pa_seuil_versement)*R278*(1-taux_CRDS)</f>
        <v>0</v>
      </c>
      <c r="S279" s="202">
        <f>(S278&gt;=pa_seuil_versement)*S278*(1-taux_CRDS)</f>
        <v>395.79931869999933</v>
      </c>
      <c r="T279" s="202">
        <f>(T278&gt;=pa_seuil_versement)*T278*(1-taux_CRDS)</f>
        <v>470.21454284999959</v>
      </c>
      <c r="U279" s="202">
        <f>(U278&gt;=pa_seuil_versement)*U278*(1-taux_CRDS)</f>
        <v>198.83177534999962</v>
      </c>
    </row>
  </sheetData>
  <sheetProtection selectLockedCells="1" selectUnlockedCells="1"/>
  <mergeCells count="5">
    <mergeCell ref="C2:F2"/>
    <mergeCell ref="H2:K2"/>
    <mergeCell ref="M2:P2"/>
    <mergeCell ref="B40:B41"/>
    <mergeCell ref="R2:U2"/>
  </mergeCells>
  <pageMargins left="0.78740157499999996" right="0.78740157499999996" top="0.984251969" bottom="0.984251969" header="0.4921259845" footer="0.4921259845"/>
  <pageSetup paperSize="9" scale="16"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582A-7B4D-46D9-8551-F4ED79E076F5}">
  <sheetPr filterMode="1"/>
  <dimension ref="A1:U81"/>
  <sheetViews>
    <sheetView tabSelected="1" workbookViewId="0">
      <pane xSplit="4" ySplit="1" topLeftCell="E2" activePane="bottomRight" state="frozen"/>
      <selection pane="topRight" activeCell="E1" sqref="E1"/>
      <selection pane="bottomLeft" activeCell="A2" sqref="A2"/>
      <selection pane="bottomRight" activeCell="T52" sqref="T52:T64"/>
    </sheetView>
  </sheetViews>
  <sheetFormatPr baseColWidth="10" defaultRowHeight="12.5" x14ac:dyDescent="0.25"/>
  <cols>
    <col min="6" max="11" width="10.81640625" customWidth="1"/>
    <col min="14" max="14" width="14.453125" hidden="1" customWidth="1"/>
    <col min="15" max="15" width="11.7265625" hidden="1" customWidth="1"/>
    <col min="16" max="16" width="12" style="461" hidden="1" customWidth="1"/>
    <col min="17" max="17" width="13.1796875" customWidth="1"/>
    <col min="18" max="18" width="10.90625" hidden="1" customWidth="1"/>
    <col min="19" max="19" width="0" hidden="1" customWidth="1"/>
  </cols>
  <sheetData>
    <row r="1" spans="1:21" x14ac:dyDescent="0.25">
      <c r="A1" t="s">
        <v>541</v>
      </c>
      <c r="B1" t="s">
        <v>539</v>
      </c>
      <c r="C1" t="s">
        <v>540</v>
      </c>
      <c r="D1" t="s">
        <v>542</v>
      </c>
      <c r="E1" t="s">
        <v>543</v>
      </c>
      <c r="F1" t="s">
        <v>544</v>
      </c>
      <c r="G1" t="s">
        <v>545</v>
      </c>
      <c r="H1" t="s">
        <v>546</v>
      </c>
      <c r="I1" t="s">
        <v>84</v>
      </c>
      <c r="J1" t="s">
        <v>547</v>
      </c>
      <c r="K1" t="s">
        <v>550</v>
      </c>
      <c r="L1" t="s">
        <v>548</v>
      </c>
      <c r="M1" t="s">
        <v>549</v>
      </c>
      <c r="N1" t="s">
        <v>558</v>
      </c>
      <c r="O1" t="s">
        <v>559</v>
      </c>
      <c r="P1" s="461" t="s">
        <v>561</v>
      </c>
      <c r="Q1" s="296" t="s">
        <v>560</v>
      </c>
      <c r="R1" s="10" t="s">
        <v>562</v>
      </c>
      <c r="T1" t="s">
        <v>564</v>
      </c>
    </row>
    <row r="2" spans="1:21" hidden="1" x14ac:dyDescent="0.25">
      <c r="A2" s="461" t="s">
        <v>11</v>
      </c>
      <c r="B2" s="461">
        <v>0</v>
      </c>
      <c r="C2" s="461" t="s">
        <v>556</v>
      </c>
      <c r="D2" s="465">
        <v>0</v>
      </c>
      <c r="E2" s="461">
        <v>0</v>
      </c>
      <c r="F2" s="461">
        <v>0</v>
      </c>
      <c r="G2" s="461">
        <v>0</v>
      </c>
      <c r="H2" s="461">
        <v>291.98274999999995</v>
      </c>
      <c r="I2" s="461">
        <v>559.4248</v>
      </c>
      <c r="J2" s="461">
        <v>0</v>
      </c>
      <c r="K2" s="461">
        <v>0</v>
      </c>
      <c r="L2" s="461">
        <v>851.4075499999999</v>
      </c>
      <c r="M2" s="461">
        <v>851.4075499999999</v>
      </c>
      <c r="N2" s="461">
        <v>0</v>
      </c>
      <c r="O2" s="461">
        <v>0</v>
      </c>
      <c r="P2" s="461">
        <v>1309</v>
      </c>
      <c r="Q2" s="465">
        <v>0.65042593582887698</v>
      </c>
      <c r="R2" s="469">
        <v>0.34957406417112302</v>
      </c>
      <c r="T2" s="465">
        <f>(L2-J2)*Q2/L2</f>
        <v>0.65042593582887698</v>
      </c>
    </row>
    <row r="3" spans="1:21" hidden="1" x14ac:dyDescent="0.25">
      <c r="A3" s="461" t="s">
        <v>11</v>
      </c>
      <c r="B3" s="461">
        <v>0</v>
      </c>
      <c r="C3" s="461" t="s">
        <v>556</v>
      </c>
      <c r="D3" s="465">
        <v>0.5</v>
      </c>
      <c r="E3" s="461">
        <v>699.35</v>
      </c>
      <c r="F3" s="461">
        <v>0</v>
      </c>
      <c r="G3" s="461">
        <v>0</v>
      </c>
      <c r="H3" s="461">
        <v>217.44281760403189</v>
      </c>
      <c r="I3" s="461">
        <v>0</v>
      </c>
      <c r="J3" s="461">
        <v>273.79206050000005</v>
      </c>
      <c r="K3" s="461">
        <v>0</v>
      </c>
      <c r="L3" s="461">
        <v>1190.584878104032</v>
      </c>
      <c r="M3" s="461">
        <v>1190.584878104032</v>
      </c>
      <c r="N3" s="461">
        <v>273.79206050000005</v>
      </c>
      <c r="O3" s="461">
        <v>0</v>
      </c>
      <c r="P3" s="461">
        <v>1309</v>
      </c>
      <c r="Q3" s="465">
        <v>0.90953772200460814</v>
      </c>
      <c r="R3" s="469">
        <v>9.046227799539186E-2</v>
      </c>
      <c r="S3" s="465">
        <f>(L3-L2)/E3</f>
        <v>0.48498938743695158</v>
      </c>
      <c r="T3" s="465">
        <f t="shared" ref="T3:T66" si="0">(L3-J3)*Q3/L3</f>
        <v>0.70037648403669361</v>
      </c>
    </row>
    <row r="4" spans="1:21" s="89" customFormat="1" ht="13" hidden="1" x14ac:dyDescent="0.3">
      <c r="A4" s="268" t="s">
        <v>11</v>
      </c>
      <c r="B4" s="268">
        <v>0</v>
      </c>
      <c r="C4" s="268" t="s">
        <v>556</v>
      </c>
      <c r="D4" s="471">
        <v>1</v>
      </c>
      <c r="E4" s="268">
        <v>1398.7</v>
      </c>
      <c r="F4" s="268">
        <v>0</v>
      </c>
      <c r="G4" s="268">
        <v>0</v>
      </c>
      <c r="H4" s="268">
        <v>0</v>
      </c>
      <c r="I4" s="268">
        <v>0</v>
      </c>
      <c r="J4" s="268">
        <v>257.03536500000001</v>
      </c>
      <c r="K4" s="268">
        <v>0</v>
      </c>
      <c r="L4" s="268">
        <v>1655.735365</v>
      </c>
      <c r="M4" s="268">
        <v>1655.735365</v>
      </c>
      <c r="N4" s="268">
        <v>257.03536500000001</v>
      </c>
      <c r="O4" s="268">
        <v>0</v>
      </c>
      <c r="P4" s="268">
        <v>1309</v>
      </c>
      <c r="Q4" s="471">
        <v>1.2648856875477463</v>
      </c>
      <c r="R4" s="472" t="s">
        <v>563</v>
      </c>
      <c r="S4" s="465">
        <f>(L4-L2)/E4</f>
        <v>0.57505384642882684</v>
      </c>
      <c r="T4" s="465">
        <f t="shared" si="0"/>
        <v>1.0685255920550039</v>
      </c>
      <c r="U4" s="475"/>
    </row>
    <row r="5" spans="1:21" hidden="1" x14ac:dyDescent="0.25">
      <c r="A5" s="461" t="s">
        <v>11</v>
      </c>
      <c r="B5" s="461">
        <v>0</v>
      </c>
      <c r="C5" s="461" t="s">
        <v>556</v>
      </c>
      <c r="D5" s="465">
        <v>1</v>
      </c>
      <c r="E5" s="461">
        <v>2098.0500000000002</v>
      </c>
      <c r="F5" s="461">
        <v>0</v>
      </c>
      <c r="G5" s="461">
        <v>0</v>
      </c>
      <c r="H5" s="461">
        <v>0</v>
      </c>
      <c r="I5" s="461">
        <v>0</v>
      </c>
      <c r="J5" s="461">
        <v>0</v>
      </c>
      <c r="K5" s="461">
        <v>-82.164760956023912</v>
      </c>
      <c r="L5" s="461">
        <v>2015.8852390439763</v>
      </c>
      <c r="M5" s="461">
        <v>2015.8852390439763</v>
      </c>
      <c r="N5" s="461">
        <v>0</v>
      </c>
      <c r="O5" s="461">
        <v>0</v>
      </c>
      <c r="P5" s="461">
        <v>1309</v>
      </c>
      <c r="Q5" s="465">
        <v>1.5400192811642295</v>
      </c>
      <c r="R5" s="469" t="s">
        <v>563</v>
      </c>
      <c r="S5" s="465">
        <f>(L5-L2)/E5</f>
        <v>0.55502856893018582</v>
      </c>
      <c r="T5" s="465">
        <f t="shared" si="0"/>
        <v>1.5400192811642295</v>
      </c>
    </row>
    <row r="6" spans="1:21" hidden="1" x14ac:dyDescent="0.25">
      <c r="A6" s="461" t="s">
        <v>11</v>
      </c>
      <c r="B6" s="461">
        <v>1</v>
      </c>
      <c r="C6" s="461" t="s">
        <v>556</v>
      </c>
      <c r="D6" s="465">
        <v>0</v>
      </c>
      <c r="E6" s="461">
        <v>0</v>
      </c>
      <c r="F6" s="461">
        <v>0</v>
      </c>
      <c r="G6" s="461">
        <v>195.83028621</v>
      </c>
      <c r="H6" s="461">
        <v>408.83555000000001</v>
      </c>
      <c r="I6" s="461">
        <v>696.04560000000004</v>
      </c>
      <c r="J6" s="461">
        <v>0</v>
      </c>
      <c r="K6" s="461">
        <v>0</v>
      </c>
      <c r="L6" s="461">
        <v>1300.7114362100001</v>
      </c>
      <c r="M6" s="461">
        <v>1000.5472586230769</v>
      </c>
      <c r="N6" s="461">
        <v>0</v>
      </c>
      <c r="O6" s="461">
        <v>0</v>
      </c>
      <c r="P6" s="461">
        <v>1309</v>
      </c>
      <c r="Q6" s="465">
        <v>0.76436001422694955</v>
      </c>
      <c r="R6" s="469">
        <v>0.23563998577305045</v>
      </c>
      <c r="T6" s="465">
        <f t="shared" si="0"/>
        <v>0.76436001422694955</v>
      </c>
    </row>
    <row r="7" spans="1:21" hidden="1" x14ac:dyDescent="0.25">
      <c r="A7" s="461" t="s">
        <v>11</v>
      </c>
      <c r="B7" s="461">
        <v>1</v>
      </c>
      <c r="C7" s="461" t="s">
        <v>556</v>
      </c>
      <c r="D7" s="465">
        <v>0.5</v>
      </c>
      <c r="E7" s="461">
        <v>699.35</v>
      </c>
      <c r="F7" s="461">
        <v>0</v>
      </c>
      <c r="G7" s="461">
        <v>195.83028621</v>
      </c>
      <c r="H7" s="461">
        <v>408.83555000000001</v>
      </c>
      <c r="I7" s="461">
        <v>0</v>
      </c>
      <c r="J7" s="461">
        <v>404.78420849999992</v>
      </c>
      <c r="K7" s="461">
        <v>0</v>
      </c>
      <c r="L7" s="461">
        <v>1708.8000447099998</v>
      </c>
      <c r="M7" s="461">
        <v>1314.4615728538461</v>
      </c>
      <c r="N7" s="461">
        <v>404.78420849999992</v>
      </c>
      <c r="O7" s="461">
        <v>0</v>
      </c>
      <c r="P7" s="461">
        <v>1309</v>
      </c>
      <c r="Q7" s="465">
        <v>1.0041723245636716</v>
      </c>
      <c r="R7" s="469" t="s">
        <v>563</v>
      </c>
      <c r="S7" s="465">
        <f>(L7-L6)/E7</f>
        <v>0.58352557160220164</v>
      </c>
      <c r="T7" s="465">
        <f t="shared" si="0"/>
        <v>0.76630183710994881</v>
      </c>
    </row>
    <row r="8" spans="1:21" s="89" customFormat="1" ht="13" hidden="1" x14ac:dyDescent="0.3">
      <c r="A8" s="268" t="s">
        <v>11</v>
      </c>
      <c r="B8" s="268">
        <v>1</v>
      </c>
      <c r="C8" s="268" t="s">
        <v>556</v>
      </c>
      <c r="D8" s="471">
        <v>1</v>
      </c>
      <c r="E8" s="268">
        <v>1398.7</v>
      </c>
      <c r="F8" s="268">
        <v>0</v>
      </c>
      <c r="G8" s="268">
        <v>195.83028621</v>
      </c>
      <c r="H8" s="268">
        <v>220.78900287487463</v>
      </c>
      <c r="I8" s="268">
        <v>0</v>
      </c>
      <c r="J8" s="268">
        <v>313.68549100000001</v>
      </c>
      <c r="K8" s="268">
        <v>0</v>
      </c>
      <c r="L8" s="268">
        <v>2129.0047800848747</v>
      </c>
      <c r="M8" s="268">
        <v>1637.6959846806728</v>
      </c>
      <c r="N8" s="268">
        <v>313.68549100000001</v>
      </c>
      <c r="O8" s="268">
        <v>0</v>
      </c>
      <c r="P8" s="268">
        <v>1309</v>
      </c>
      <c r="Q8" s="471">
        <v>1.2511046483427599</v>
      </c>
      <c r="R8" s="472" t="s">
        <v>563</v>
      </c>
      <c r="S8" s="465">
        <f>(L8-L6)/E8</f>
        <v>0.59218799161712632</v>
      </c>
      <c r="T8" s="465">
        <f t="shared" si="0"/>
        <v>1.0667681078244546</v>
      </c>
    </row>
    <row r="9" spans="1:21" hidden="1" x14ac:dyDescent="0.25">
      <c r="A9" s="461" t="s">
        <v>11</v>
      </c>
      <c r="B9" s="461">
        <v>1</v>
      </c>
      <c r="C9" s="461" t="s">
        <v>556</v>
      </c>
      <c r="D9" s="465">
        <v>1</v>
      </c>
      <c r="E9" s="461">
        <v>2098.0500000000002</v>
      </c>
      <c r="F9" s="461">
        <v>0</v>
      </c>
      <c r="G9" s="461">
        <v>195.83028621</v>
      </c>
      <c r="H9" s="461">
        <v>0</v>
      </c>
      <c r="I9" s="461">
        <v>0</v>
      </c>
      <c r="J9" s="461">
        <v>190.98676749999956</v>
      </c>
      <c r="K9" s="461">
        <v>0</v>
      </c>
      <c r="L9" s="461">
        <v>2484.8670537099997</v>
      </c>
      <c r="M9" s="461">
        <v>1911.4361951615381</v>
      </c>
      <c r="N9" s="461">
        <v>190.98676749999956</v>
      </c>
      <c r="O9" s="461">
        <v>0</v>
      </c>
      <c r="P9" s="461">
        <v>1309</v>
      </c>
      <c r="Q9" s="465">
        <v>1.4602262759064462</v>
      </c>
      <c r="R9" s="469" t="s">
        <v>563</v>
      </c>
      <c r="S9" s="465">
        <f>(L9-L6)/E9</f>
        <v>0.5644077202640545</v>
      </c>
      <c r="T9" s="465">
        <f t="shared" si="0"/>
        <v>1.3479933514779336</v>
      </c>
    </row>
    <row r="10" spans="1:21" hidden="1" x14ac:dyDescent="0.25">
      <c r="A10" s="461" t="s">
        <v>11</v>
      </c>
      <c r="B10" s="461">
        <v>2</v>
      </c>
      <c r="C10" s="461" t="s">
        <v>556</v>
      </c>
      <c r="D10" s="465">
        <v>0</v>
      </c>
      <c r="E10" s="461">
        <v>0</v>
      </c>
      <c r="F10" s="461">
        <v>0</v>
      </c>
      <c r="G10" s="461">
        <v>574.87486160000003</v>
      </c>
      <c r="H10" s="461">
        <v>471.62004999999999</v>
      </c>
      <c r="I10" s="461">
        <v>596.31333000000006</v>
      </c>
      <c r="J10" s="461">
        <v>0</v>
      </c>
      <c r="K10" s="461">
        <v>0</v>
      </c>
      <c r="L10" s="461">
        <v>1642.8082416000002</v>
      </c>
      <c r="M10" s="461">
        <v>1026.7551510000001</v>
      </c>
      <c r="N10" s="461">
        <v>0</v>
      </c>
      <c r="O10" s="461">
        <v>0</v>
      </c>
      <c r="P10" s="461">
        <v>1309</v>
      </c>
      <c r="Q10" s="465">
        <v>0.78438132238349889</v>
      </c>
      <c r="R10" s="469">
        <v>0.21561867761650111</v>
      </c>
      <c r="T10" s="465">
        <f t="shared" si="0"/>
        <v>0.78438132238349889</v>
      </c>
    </row>
    <row r="11" spans="1:21" hidden="1" x14ac:dyDescent="0.25">
      <c r="A11" s="461" t="s">
        <v>11</v>
      </c>
      <c r="B11" s="461">
        <v>2</v>
      </c>
      <c r="C11" s="461" t="s">
        <v>556</v>
      </c>
      <c r="D11" s="465">
        <v>0.5</v>
      </c>
      <c r="E11" s="461">
        <v>699.35</v>
      </c>
      <c r="F11" s="461">
        <v>0</v>
      </c>
      <c r="G11" s="461">
        <v>574.87486160000003</v>
      </c>
      <c r="H11" s="461">
        <v>471.62004999999999</v>
      </c>
      <c r="I11" s="461">
        <v>0</v>
      </c>
      <c r="J11" s="461">
        <v>302.38805204999977</v>
      </c>
      <c r="K11" s="461">
        <v>0</v>
      </c>
      <c r="L11" s="461">
        <v>2048.2329636499999</v>
      </c>
      <c r="M11" s="461">
        <v>1280.1456022812499</v>
      </c>
      <c r="N11" s="461">
        <v>302.38805204999977</v>
      </c>
      <c r="O11" s="461">
        <v>0</v>
      </c>
      <c r="P11" s="461">
        <v>1309</v>
      </c>
      <c r="Q11" s="465">
        <v>0.97795691541730323</v>
      </c>
      <c r="R11" s="469">
        <v>2.204308458269677E-2</v>
      </c>
      <c r="S11" s="465">
        <f>(L11-L10)/E11</f>
        <v>0.57971648251948193</v>
      </c>
      <c r="T11" s="465">
        <f t="shared" si="0"/>
        <v>0.83357759339190229</v>
      </c>
    </row>
    <row r="12" spans="1:21" s="89" customFormat="1" ht="13" hidden="1" x14ac:dyDescent="0.3">
      <c r="A12" s="268" t="s">
        <v>11</v>
      </c>
      <c r="B12" s="268">
        <v>2</v>
      </c>
      <c r="C12" s="268" t="s">
        <v>556</v>
      </c>
      <c r="D12" s="471">
        <v>1</v>
      </c>
      <c r="E12" s="268">
        <v>1398.7</v>
      </c>
      <c r="F12" s="268">
        <v>0</v>
      </c>
      <c r="G12" s="268">
        <v>574.87486160000003</v>
      </c>
      <c r="H12" s="268">
        <v>308.9148606124088</v>
      </c>
      <c r="I12" s="268">
        <v>0</v>
      </c>
      <c r="J12" s="268">
        <v>211.28933454999989</v>
      </c>
      <c r="K12" s="268">
        <v>0</v>
      </c>
      <c r="L12" s="268">
        <v>2493.7790567624088</v>
      </c>
      <c r="M12" s="268">
        <v>1558.6119104765055</v>
      </c>
      <c r="N12" s="268">
        <v>211.28933454999989</v>
      </c>
      <c r="O12" s="268">
        <v>0</v>
      </c>
      <c r="P12" s="268">
        <v>1309</v>
      </c>
      <c r="Q12" s="471">
        <v>1.1906890072395</v>
      </c>
      <c r="R12" s="472" t="s">
        <v>563</v>
      </c>
      <c r="S12" s="465">
        <f>(L12-L10)/E12</f>
        <v>0.60840124055366307</v>
      </c>
      <c r="T12" s="465">
        <f t="shared" si="0"/>
        <v>1.0898060170991259</v>
      </c>
    </row>
    <row r="13" spans="1:21" hidden="1" x14ac:dyDescent="0.25">
      <c r="A13" s="461" t="s">
        <v>11</v>
      </c>
      <c r="B13" s="461">
        <v>2</v>
      </c>
      <c r="C13" s="461" t="s">
        <v>556</v>
      </c>
      <c r="D13" s="465">
        <v>1</v>
      </c>
      <c r="E13" s="461">
        <v>2098.0500000000002</v>
      </c>
      <c r="F13" s="461">
        <v>0</v>
      </c>
      <c r="G13" s="461">
        <v>574.87486160000003</v>
      </c>
      <c r="H13" s="461">
        <v>106.52656054361321</v>
      </c>
      <c r="I13" s="461">
        <v>0</v>
      </c>
      <c r="J13" s="461">
        <v>17.909143759104342</v>
      </c>
      <c r="K13" s="461">
        <v>0</v>
      </c>
      <c r="L13" s="461">
        <v>2797.360565902718</v>
      </c>
      <c r="M13" s="461">
        <v>1748.3503536891988</v>
      </c>
      <c r="N13" s="461">
        <v>17.909143759104342</v>
      </c>
      <c r="O13" s="461">
        <v>0</v>
      </c>
      <c r="P13" s="461">
        <v>1309</v>
      </c>
      <c r="Q13" s="465">
        <v>1.3356381617182573</v>
      </c>
      <c r="R13" s="469" t="s">
        <v>563</v>
      </c>
      <c r="S13" s="465">
        <f>(L13-L10)/E13</f>
        <v>0.55029781192188831</v>
      </c>
      <c r="T13" s="465">
        <f t="shared" si="0"/>
        <v>1.3270871954467218</v>
      </c>
    </row>
    <row r="14" spans="1:21" hidden="1" x14ac:dyDescent="0.25">
      <c r="A14" s="461" t="s">
        <v>11</v>
      </c>
      <c r="B14" s="461">
        <v>3</v>
      </c>
      <c r="C14" s="461" t="s">
        <v>556</v>
      </c>
      <c r="D14" s="465">
        <v>0</v>
      </c>
      <c r="E14" s="461">
        <v>0</v>
      </c>
      <c r="F14" s="461">
        <v>0</v>
      </c>
      <c r="G14" s="461">
        <v>1285.6636924300001</v>
      </c>
      <c r="H14" s="461">
        <v>534.40454999999997</v>
      </c>
      <c r="I14" s="461">
        <v>360.13567000000035</v>
      </c>
      <c r="J14" s="461">
        <v>0</v>
      </c>
      <c r="K14" s="461">
        <v>0</v>
      </c>
      <c r="L14" s="461">
        <v>2180.2039124300004</v>
      </c>
      <c r="M14" s="461">
        <v>1147.4757433842108</v>
      </c>
      <c r="N14" s="461">
        <v>0</v>
      </c>
      <c r="O14" s="461">
        <v>0</v>
      </c>
      <c r="P14" s="461">
        <v>1309</v>
      </c>
      <c r="Q14" s="465">
        <v>0.87660484597724275</v>
      </c>
      <c r="R14" s="469">
        <v>0.12339515402275725</v>
      </c>
      <c r="T14" s="465">
        <f t="shared" si="0"/>
        <v>0.87660484597724275</v>
      </c>
    </row>
    <row r="15" spans="1:21" hidden="1" x14ac:dyDescent="0.25">
      <c r="A15" s="461" t="s">
        <v>11</v>
      </c>
      <c r="B15" s="461">
        <v>3</v>
      </c>
      <c r="C15" s="461" t="s">
        <v>556</v>
      </c>
      <c r="D15" s="465">
        <v>0.5</v>
      </c>
      <c r="E15" s="461">
        <v>699.35</v>
      </c>
      <c r="F15" s="461">
        <v>0</v>
      </c>
      <c r="G15" s="461">
        <v>1285.6636924300001</v>
      </c>
      <c r="H15" s="461">
        <v>534.40454999999997</v>
      </c>
      <c r="I15" s="461">
        <v>0</v>
      </c>
      <c r="J15" s="461">
        <v>62.185440349999993</v>
      </c>
      <c r="K15" s="461">
        <v>0</v>
      </c>
      <c r="L15" s="461">
        <v>2581.6036827799999</v>
      </c>
      <c r="M15" s="461">
        <v>1358.7387804105263</v>
      </c>
      <c r="N15" s="461">
        <v>62.185440349999993</v>
      </c>
      <c r="O15" s="461">
        <v>0</v>
      </c>
      <c r="P15" s="461">
        <v>1309</v>
      </c>
      <c r="Q15" s="465">
        <v>1.0379975404205701</v>
      </c>
      <c r="R15" s="469" t="s">
        <v>563</v>
      </c>
      <c r="S15" s="465">
        <f>(L15-L14)/E15</f>
        <v>0.57396120733538203</v>
      </c>
      <c r="T15" s="465">
        <f t="shared" si="0"/>
        <v>1.0129943478066823</v>
      </c>
    </row>
    <row r="16" spans="1:21" s="89" customFormat="1" ht="13" hidden="1" x14ac:dyDescent="0.3">
      <c r="A16" s="268" t="s">
        <v>11</v>
      </c>
      <c r="B16" s="268">
        <v>3</v>
      </c>
      <c r="C16" s="268" t="s">
        <v>556</v>
      </c>
      <c r="D16" s="471">
        <v>1</v>
      </c>
      <c r="E16" s="268">
        <v>1398.7</v>
      </c>
      <c r="F16" s="268">
        <v>0</v>
      </c>
      <c r="G16" s="268">
        <v>1285.6636924300001</v>
      </c>
      <c r="H16" s="268">
        <v>402.11344464487013</v>
      </c>
      <c r="I16" s="268">
        <v>0</v>
      </c>
      <c r="J16" s="268">
        <v>0</v>
      </c>
      <c r="K16" s="268">
        <v>0</v>
      </c>
      <c r="L16" s="268">
        <v>3086.4771370748704</v>
      </c>
      <c r="M16" s="268">
        <v>1624.4616510920371</v>
      </c>
      <c r="N16" s="268">
        <v>0</v>
      </c>
      <c r="O16" s="268">
        <v>0</v>
      </c>
      <c r="P16" s="268">
        <v>1309</v>
      </c>
      <c r="Q16" s="471">
        <v>1.2409943858609909</v>
      </c>
      <c r="R16" s="472" t="s">
        <v>563</v>
      </c>
      <c r="S16" s="465">
        <f>(L16-L14)/E16</f>
        <v>0.64793967587393286</v>
      </c>
      <c r="T16" s="465">
        <f t="shared" si="0"/>
        <v>1.2409943858609909</v>
      </c>
    </row>
    <row r="17" spans="1:20" hidden="1" x14ac:dyDescent="0.25">
      <c r="A17" s="461" t="s">
        <v>11</v>
      </c>
      <c r="B17" s="461">
        <v>3</v>
      </c>
      <c r="C17" s="461" t="s">
        <v>556</v>
      </c>
      <c r="D17" s="465">
        <v>1</v>
      </c>
      <c r="E17" s="461">
        <v>2098.0500000000002</v>
      </c>
      <c r="F17" s="461">
        <v>0</v>
      </c>
      <c r="G17" s="461">
        <v>1285.6636924300001</v>
      </c>
      <c r="H17" s="461">
        <v>227.6147799673052</v>
      </c>
      <c r="I17" s="461">
        <v>0</v>
      </c>
      <c r="J17" s="461">
        <v>0</v>
      </c>
      <c r="K17" s="461">
        <v>0</v>
      </c>
      <c r="L17" s="461">
        <v>3611.3284723973056</v>
      </c>
      <c r="M17" s="461">
        <v>1900.6991959985819</v>
      </c>
      <c r="N17" s="461">
        <v>0</v>
      </c>
      <c r="O17" s="461">
        <v>0</v>
      </c>
      <c r="P17" s="461">
        <v>1309</v>
      </c>
      <c r="Q17" s="465">
        <v>1.4520238319316898</v>
      </c>
      <c r="R17" s="469" t="s">
        <v>563</v>
      </c>
      <c r="S17" s="465">
        <f>(L17-L14)/E17</f>
        <v>0.68212128403389105</v>
      </c>
      <c r="T17" s="465">
        <f t="shared" si="0"/>
        <v>1.4520238319316896</v>
      </c>
    </row>
    <row r="18" spans="1:20" s="468" customFormat="1" hidden="1" x14ac:dyDescent="0.25">
      <c r="A18" s="466" t="s">
        <v>12</v>
      </c>
      <c r="B18" s="466">
        <v>0</v>
      </c>
      <c r="C18" s="466" t="s">
        <v>552</v>
      </c>
      <c r="D18" s="467">
        <v>0</v>
      </c>
      <c r="E18" s="466">
        <v>0</v>
      </c>
      <c r="F18" s="466">
        <v>0</v>
      </c>
      <c r="G18" s="466">
        <v>0</v>
      </c>
      <c r="H18" s="466">
        <v>354.01104999999995</v>
      </c>
      <c r="I18" s="466">
        <v>800.99459999999999</v>
      </c>
      <c r="J18" s="466">
        <v>0</v>
      </c>
      <c r="K18" s="466">
        <v>0</v>
      </c>
      <c r="L18" s="466">
        <v>1155.0056500000001</v>
      </c>
      <c r="M18" s="466">
        <v>770.00376666666671</v>
      </c>
      <c r="N18" s="466">
        <v>0</v>
      </c>
      <c r="O18" s="461">
        <v>0</v>
      </c>
      <c r="P18" s="461">
        <v>1309</v>
      </c>
      <c r="Q18" s="465">
        <v>0.58823817163228931</v>
      </c>
      <c r="R18" s="469">
        <v>0.41176182836771069</v>
      </c>
      <c r="S18"/>
      <c r="T18" s="465">
        <f t="shared" si="0"/>
        <v>0.58823817163228931</v>
      </c>
    </row>
    <row r="19" spans="1:20" s="468" customFormat="1" hidden="1" x14ac:dyDescent="0.25">
      <c r="A19" s="466" t="s">
        <v>12</v>
      </c>
      <c r="B19" s="466">
        <v>0</v>
      </c>
      <c r="C19" s="466" t="s">
        <v>552</v>
      </c>
      <c r="D19" s="467">
        <v>0.5</v>
      </c>
      <c r="E19" s="466">
        <v>699.35</v>
      </c>
      <c r="F19" s="466">
        <v>0</v>
      </c>
      <c r="G19" s="466">
        <v>0</v>
      </c>
      <c r="H19" s="466">
        <v>349.00512486026486</v>
      </c>
      <c r="I19" s="466">
        <v>101.64459999999997</v>
      </c>
      <c r="J19" s="466">
        <v>408.0720864999999</v>
      </c>
      <c r="K19" s="466">
        <v>0</v>
      </c>
      <c r="L19" s="466">
        <v>1558.0718113602647</v>
      </c>
      <c r="M19" s="466">
        <v>1038.7145409068432</v>
      </c>
      <c r="N19" s="466">
        <v>408.0720864999999</v>
      </c>
      <c r="O19" s="461">
        <v>0</v>
      </c>
      <c r="P19" s="461">
        <v>1309</v>
      </c>
      <c r="Q19" s="465">
        <v>0.79351760191508269</v>
      </c>
      <c r="R19" s="469">
        <v>0.20648239808491731</v>
      </c>
      <c r="S19" s="465">
        <f>(L19-L18)/E19</f>
        <v>0.57634397849469465</v>
      </c>
      <c r="T19" s="465">
        <f t="shared" si="0"/>
        <v>0.58568868085574988</v>
      </c>
    </row>
    <row r="20" spans="1:20" s="473" customFormat="1" ht="13" x14ac:dyDescent="0.3">
      <c r="A20" s="448" t="s">
        <v>12</v>
      </c>
      <c r="B20" s="448">
        <v>0</v>
      </c>
      <c r="C20" s="448" t="s">
        <v>552</v>
      </c>
      <c r="D20" s="470">
        <v>1</v>
      </c>
      <c r="E20" s="448">
        <v>1398.7</v>
      </c>
      <c r="F20" s="448">
        <v>0</v>
      </c>
      <c r="G20" s="448">
        <v>0</v>
      </c>
      <c r="H20" s="448">
        <v>88.576232220529803</v>
      </c>
      <c r="I20" s="448">
        <v>0</v>
      </c>
      <c r="J20" s="448">
        <v>478.66043894057287</v>
      </c>
      <c r="K20" s="448">
        <v>0</v>
      </c>
      <c r="L20" s="448">
        <v>1965.9366711611028</v>
      </c>
      <c r="M20" s="448">
        <v>1310.6244474407351</v>
      </c>
      <c r="N20" s="448">
        <v>478.66043894057287</v>
      </c>
      <c r="O20" s="268">
        <v>0</v>
      </c>
      <c r="P20" s="461">
        <v>1309</v>
      </c>
      <c r="Q20" s="474">
        <v>1.0012409835299734</v>
      </c>
      <c r="R20" s="472" t="s">
        <v>563</v>
      </c>
      <c r="S20" s="465">
        <f>(L20-L18)/E20</f>
        <v>0.579774806006365</v>
      </c>
      <c r="T20" s="465">
        <f t="shared" si="0"/>
        <v>0.75746179384799073</v>
      </c>
    </row>
    <row r="21" spans="1:20" s="468" customFormat="1" hidden="1" x14ac:dyDescent="0.25">
      <c r="A21" s="466" t="s">
        <v>12</v>
      </c>
      <c r="B21" s="466">
        <v>0</v>
      </c>
      <c r="C21" s="466" t="s">
        <v>552</v>
      </c>
      <c r="D21" s="467">
        <v>1</v>
      </c>
      <c r="E21" s="466">
        <v>2098.0500000000002</v>
      </c>
      <c r="F21" s="466">
        <v>0</v>
      </c>
      <c r="G21" s="466">
        <v>0</v>
      </c>
      <c r="H21" s="466">
        <v>0</v>
      </c>
      <c r="I21" s="466">
        <v>0</v>
      </c>
      <c r="J21" s="466">
        <v>295.4110224999996</v>
      </c>
      <c r="K21" s="466">
        <v>0</v>
      </c>
      <c r="L21" s="466">
        <v>2393.4610224999997</v>
      </c>
      <c r="M21" s="466">
        <v>1595.6406816666665</v>
      </c>
      <c r="N21" s="466">
        <v>295.4110224999996</v>
      </c>
      <c r="O21" s="461">
        <v>0</v>
      </c>
      <c r="P21" s="461">
        <v>1309</v>
      </c>
      <c r="Q21" s="465">
        <v>1.2189768385536031</v>
      </c>
      <c r="R21" s="469" t="s">
        <v>563</v>
      </c>
      <c r="S21" s="465">
        <f>(L21-L18)/E21</f>
        <v>0.59028877886608966</v>
      </c>
      <c r="T21" s="465">
        <f t="shared" si="0"/>
        <v>1.0685255920550039</v>
      </c>
    </row>
    <row r="22" spans="1:20" s="468" customFormat="1" hidden="1" x14ac:dyDescent="0.25">
      <c r="A22" s="466" t="s">
        <v>12</v>
      </c>
      <c r="B22" s="466">
        <v>1</v>
      </c>
      <c r="C22" s="466" t="s">
        <v>552</v>
      </c>
      <c r="D22" s="467">
        <v>0</v>
      </c>
      <c r="E22" s="466">
        <v>0</v>
      </c>
      <c r="F22" s="466">
        <v>0</v>
      </c>
      <c r="G22" s="466">
        <v>0</v>
      </c>
      <c r="H22" s="466">
        <v>408.83555000000001</v>
      </c>
      <c r="I22" s="466">
        <v>955.47212999999999</v>
      </c>
      <c r="J22" s="466">
        <v>0</v>
      </c>
      <c r="K22" s="466">
        <v>0</v>
      </c>
      <c r="L22" s="466">
        <v>1364.3076799999999</v>
      </c>
      <c r="M22" s="466">
        <v>757.94871111111104</v>
      </c>
      <c r="N22" s="466">
        <v>0</v>
      </c>
      <c r="O22" s="461">
        <v>0</v>
      </c>
      <c r="P22" s="461">
        <v>1309</v>
      </c>
      <c r="Q22" s="465">
        <v>0.57902880909939725</v>
      </c>
      <c r="R22" s="469">
        <v>0.42097119090060275</v>
      </c>
      <c r="S22"/>
      <c r="T22" s="465">
        <f t="shared" si="0"/>
        <v>0.57902880909939725</v>
      </c>
    </row>
    <row r="23" spans="1:20" s="468" customFormat="1" hidden="1" x14ac:dyDescent="0.25">
      <c r="A23" s="466" t="s">
        <v>12</v>
      </c>
      <c r="B23" s="466">
        <v>1</v>
      </c>
      <c r="C23" s="466" t="s">
        <v>552</v>
      </c>
      <c r="D23" s="467">
        <v>0.5</v>
      </c>
      <c r="E23" s="466">
        <v>699.35</v>
      </c>
      <c r="F23" s="466">
        <v>0</v>
      </c>
      <c r="G23" s="466">
        <v>0</v>
      </c>
      <c r="H23" s="466">
        <v>408.83555000000001</v>
      </c>
      <c r="I23" s="466">
        <v>256.12212999999997</v>
      </c>
      <c r="J23" s="466">
        <v>404.90953869999987</v>
      </c>
      <c r="K23" s="466">
        <v>0</v>
      </c>
      <c r="L23" s="466">
        <v>1769.2172186999996</v>
      </c>
      <c r="M23" s="466">
        <v>982.89845483333306</v>
      </c>
      <c r="N23" s="466">
        <v>404.90953869999987</v>
      </c>
      <c r="O23" s="461">
        <v>0</v>
      </c>
      <c r="P23" s="461">
        <v>1309</v>
      </c>
      <c r="Q23" s="465">
        <v>0.75087735281385259</v>
      </c>
      <c r="R23" s="469">
        <v>0.24912264718614741</v>
      </c>
      <c r="S23" s="465">
        <f>(L23-L22)/E23</f>
        <v>0.57897982226353006</v>
      </c>
      <c r="T23" s="465">
        <f t="shared" si="0"/>
        <v>0.57902880909939725</v>
      </c>
    </row>
    <row r="24" spans="1:20" s="473" customFormat="1" ht="13" x14ac:dyDescent="0.3">
      <c r="A24" s="448" t="s">
        <v>12</v>
      </c>
      <c r="B24" s="448">
        <v>1</v>
      </c>
      <c r="C24" s="448" t="s">
        <v>552</v>
      </c>
      <c r="D24" s="470">
        <v>1</v>
      </c>
      <c r="E24" s="448">
        <v>1398.7</v>
      </c>
      <c r="F24" s="448">
        <v>0</v>
      </c>
      <c r="G24" s="448">
        <v>0</v>
      </c>
      <c r="H24" s="448">
        <v>220.78900287487463</v>
      </c>
      <c r="I24" s="448">
        <v>0</v>
      </c>
      <c r="J24" s="448">
        <v>568.65234054999985</v>
      </c>
      <c r="K24" s="448">
        <v>0</v>
      </c>
      <c r="L24" s="448">
        <v>2188.1413434248743</v>
      </c>
      <c r="M24" s="448">
        <v>1215.6340796804857</v>
      </c>
      <c r="N24" s="448">
        <v>568.65234054999985</v>
      </c>
      <c r="O24" s="268">
        <v>0</v>
      </c>
      <c r="P24" s="461">
        <v>1309</v>
      </c>
      <c r="Q24" s="471">
        <v>0.92867385766270871</v>
      </c>
      <c r="R24" s="472">
        <v>7.1326142337291287E-2</v>
      </c>
      <c r="S24" s="465">
        <f>(L24-L22)/E24</f>
        <v>0.58899954488087114</v>
      </c>
      <c r="T24" s="465">
        <f t="shared" si="0"/>
        <v>0.68733087296276818</v>
      </c>
    </row>
    <row r="25" spans="1:20" s="468" customFormat="1" hidden="1" x14ac:dyDescent="0.25">
      <c r="A25" s="466" t="s">
        <v>12</v>
      </c>
      <c r="B25" s="466">
        <v>1</v>
      </c>
      <c r="C25" s="466" t="s">
        <v>552</v>
      </c>
      <c r="D25" s="467">
        <v>1</v>
      </c>
      <c r="E25" s="466">
        <v>2098.0500000000002</v>
      </c>
      <c r="F25" s="466">
        <v>0</v>
      </c>
      <c r="G25" s="466">
        <v>0</v>
      </c>
      <c r="H25" s="466">
        <v>0</v>
      </c>
      <c r="I25" s="466">
        <v>0</v>
      </c>
      <c r="J25" s="466">
        <v>481.26607749999982</v>
      </c>
      <c r="K25" s="466">
        <v>0</v>
      </c>
      <c r="L25" s="466">
        <v>2579.3160775000001</v>
      </c>
      <c r="M25" s="466">
        <v>1432.953376388889</v>
      </c>
      <c r="N25" s="466">
        <v>481.26607749999982</v>
      </c>
      <c r="O25" s="461">
        <v>0</v>
      </c>
      <c r="P25" s="461">
        <v>1309</v>
      </c>
      <c r="Q25" s="465">
        <v>1.0946931828792124</v>
      </c>
      <c r="R25" s="469" t="s">
        <v>563</v>
      </c>
      <c r="S25" s="465">
        <f>(L25-L22)/E25</f>
        <v>0.57911317532947271</v>
      </c>
      <c r="T25" s="465">
        <f t="shared" si="0"/>
        <v>0.89043799337916996</v>
      </c>
    </row>
    <row r="26" spans="1:20" s="468" customFormat="1" hidden="1" x14ac:dyDescent="0.25">
      <c r="A26" s="466" t="s">
        <v>12</v>
      </c>
      <c r="B26" s="466">
        <v>2</v>
      </c>
      <c r="C26" s="466" t="s">
        <v>552</v>
      </c>
      <c r="D26" s="467">
        <v>0</v>
      </c>
      <c r="E26" s="466">
        <v>0</v>
      </c>
      <c r="F26" s="466">
        <v>0</v>
      </c>
      <c r="G26" s="466">
        <v>183.21428917999998</v>
      </c>
      <c r="H26" s="466">
        <v>471.62004999999999</v>
      </c>
      <c r="I26" s="466">
        <v>996.92433000000005</v>
      </c>
      <c r="J26" s="466">
        <v>0</v>
      </c>
      <c r="K26" s="466">
        <v>0</v>
      </c>
      <c r="L26" s="466">
        <v>1651.75866918</v>
      </c>
      <c r="M26" s="466">
        <v>786.55174722857134</v>
      </c>
      <c r="N26" s="466">
        <v>0</v>
      </c>
      <c r="O26" s="461">
        <v>0</v>
      </c>
      <c r="P26" s="461">
        <v>1309</v>
      </c>
      <c r="Q26" s="465">
        <v>0.60087986801265958</v>
      </c>
      <c r="R26" s="469">
        <v>0.39912013198734042</v>
      </c>
      <c r="S26"/>
      <c r="T26" s="465">
        <f t="shared" si="0"/>
        <v>0.60087986801265958</v>
      </c>
    </row>
    <row r="27" spans="1:20" s="468" customFormat="1" hidden="1" x14ac:dyDescent="0.25">
      <c r="A27" s="466" t="s">
        <v>12</v>
      </c>
      <c r="B27" s="466">
        <v>2</v>
      </c>
      <c r="C27" s="466" t="s">
        <v>552</v>
      </c>
      <c r="D27" s="467">
        <v>0.5</v>
      </c>
      <c r="E27" s="466">
        <v>699.35</v>
      </c>
      <c r="F27" s="466">
        <v>0</v>
      </c>
      <c r="G27" s="466">
        <v>183.21428917999998</v>
      </c>
      <c r="H27" s="466">
        <v>471.62004999999999</v>
      </c>
      <c r="I27" s="466">
        <v>297.57433000000003</v>
      </c>
      <c r="J27" s="466">
        <v>401.00515869999975</v>
      </c>
      <c r="K27" s="466">
        <v>0</v>
      </c>
      <c r="L27" s="466">
        <v>2052.7638278799996</v>
      </c>
      <c r="M27" s="466">
        <v>977.50658470476162</v>
      </c>
      <c r="N27" s="466">
        <v>401.00515869999975</v>
      </c>
      <c r="O27" s="461">
        <v>0</v>
      </c>
      <c r="P27" s="461">
        <v>1309</v>
      </c>
      <c r="Q27" s="465">
        <v>0.74675827708537934</v>
      </c>
      <c r="R27" s="469">
        <v>0.25324172291462066</v>
      </c>
      <c r="S27" s="465">
        <f>(L27-L26)/E27</f>
        <v>0.57339695245585121</v>
      </c>
      <c r="T27" s="465">
        <f t="shared" si="0"/>
        <v>0.60087986801265947</v>
      </c>
    </row>
    <row r="28" spans="1:20" s="473" customFormat="1" ht="13" x14ac:dyDescent="0.3">
      <c r="A28" s="448" t="s">
        <v>12</v>
      </c>
      <c r="B28" s="448">
        <v>2</v>
      </c>
      <c r="C28" s="448" t="s">
        <v>552</v>
      </c>
      <c r="D28" s="470">
        <v>1</v>
      </c>
      <c r="E28" s="448">
        <v>1398.7</v>
      </c>
      <c r="F28" s="448">
        <v>0</v>
      </c>
      <c r="G28" s="448">
        <v>183.21428917999998</v>
      </c>
      <c r="H28" s="448">
        <v>308.9148606124088</v>
      </c>
      <c r="I28" s="448">
        <v>0</v>
      </c>
      <c r="J28" s="448">
        <v>605.99289954999983</v>
      </c>
      <c r="K28" s="448">
        <v>0</v>
      </c>
      <c r="L28" s="448">
        <v>2496.8220493424087</v>
      </c>
      <c r="M28" s="448">
        <v>1188.9628806392423</v>
      </c>
      <c r="N28" s="448">
        <v>605.99289954999983</v>
      </c>
      <c r="O28" s="268">
        <v>0</v>
      </c>
      <c r="P28" s="461">
        <v>1309</v>
      </c>
      <c r="Q28" s="471">
        <v>0.90829861011401247</v>
      </c>
      <c r="R28" s="472">
        <v>9.1701389885987528E-2</v>
      </c>
      <c r="S28" s="465">
        <f>(L28-L26)/E28</f>
        <v>0.60417772228670097</v>
      </c>
      <c r="T28" s="465">
        <f t="shared" si="0"/>
        <v>0.68784937603856411</v>
      </c>
    </row>
    <row r="29" spans="1:20" s="468" customFormat="1" hidden="1" x14ac:dyDescent="0.25">
      <c r="A29" s="466" t="s">
        <v>12</v>
      </c>
      <c r="B29" s="466">
        <v>2</v>
      </c>
      <c r="C29" s="466" t="s">
        <v>552</v>
      </c>
      <c r="D29" s="467">
        <v>1</v>
      </c>
      <c r="E29" s="466">
        <v>2098.0500000000002</v>
      </c>
      <c r="F29" s="466">
        <v>0</v>
      </c>
      <c r="G29" s="466">
        <v>183.21428917999998</v>
      </c>
      <c r="H29" s="466">
        <v>106.52656054361321</v>
      </c>
      <c r="I29" s="466">
        <v>0</v>
      </c>
      <c r="J29" s="466">
        <v>412.61270875910469</v>
      </c>
      <c r="K29" s="466">
        <v>0</v>
      </c>
      <c r="L29" s="466">
        <v>2800.4035584827179</v>
      </c>
      <c r="M29" s="466">
        <v>1333.5255040393895</v>
      </c>
      <c r="N29" s="466">
        <v>412.61270875910469</v>
      </c>
      <c r="O29" s="461">
        <v>0</v>
      </c>
      <c r="P29" s="461">
        <v>1309</v>
      </c>
      <c r="Q29" s="465">
        <v>1.0187360611454466</v>
      </c>
      <c r="R29" s="469" t="s">
        <v>563</v>
      </c>
      <c r="S29" s="465">
        <f>(L29-L26)/E29</f>
        <v>0.54748213307724691</v>
      </c>
      <c r="T29" s="465">
        <f t="shared" si="0"/>
        <v>0.86863503573197032</v>
      </c>
    </row>
    <row r="30" spans="1:20" s="468" customFormat="1" hidden="1" x14ac:dyDescent="0.25">
      <c r="A30" s="466" t="s">
        <v>12</v>
      </c>
      <c r="B30" s="466">
        <v>3</v>
      </c>
      <c r="C30" s="466" t="s">
        <v>552</v>
      </c>
      <c r="D30" s="467">
        <v>0</v>
      </c>
      <c r="E30" s="466">
        <v>0</v>
      </c>
      <c r="F30" s="466">
        <v>0</v>
      </c>
      <c r="G30" s="466">
        <v>698.17283380000003</v>
      </c>
      <c r="H30" s="466">
        <v>534.40454999999997</v>
      </c>
      <c r="I30" s="466">
        <v>865.69567000000029</v>
      </c>
      <c r="J30" s="466">
        <v>0</v>
      </c>
      <c r="K30" s="466">
        <v>0</v>
      </c>
      <c r="L30" s="466">
        <v>2098.2730538000005</v>
      </c>
      <c r="M30" s="466">
        <v>874.28043908333359</v>
      </c>
      <c r="N30" s="466">
        <v>0</v>
      </c>
      <c r="O30" s="461">
        <v>0</v>
      </c>
      <c r="P30" s="461">
        <v>1309</v>
      </c>
      <c r="Q30" s="465">
        <v>0.66789949509803936</v>
      </c>
      <c r="R30" s="469">
        <v>0.33210050490196064</v>
      </c>
      <c r="S30"/>
      <c r="T30" s="465">
        <f t="shared" si="0"/>
        <v>0.66789949509803936</v>
      </c>
    </row>
    <row r="31" spans="1:20" s="468" customFormat="1" hidden="1" x14ac:dyDescent="0.25">
      <c r="A31" s="466" t="s">
        <v>12</v>
      </c>
      <c r="B31" s="466">
        <v>3</v>
      </c>
      <c r="C31" s="466" t="s">
        <v>552</v>
      </c>
      <c r="D31" s="467">
        <v>0.5</v>
      </c>
      <c r="E31" s="466">
        <v>699.35</v>
      </c>
      <c r="F31" s="466">
        <v>0</v>
      </c>
      <c r="G31" s="466">
        <v>698.17283380000003</v>
      </c>
      <c r="H31" s="466">
        <v>534.40454999999997</v>
      </c>
      <c r="I31" s="466">
        <v>166.34567000000038</v>
      </c>
      <c r="J31" s="466">
        <v>395.79931869999933</v>
      </c>
      <c r="K31" s="466">
        <v>0</v>
      </c>
      <c r="L31" s="466">
        <v>2494.0723724999998</v>
      </c>
      <c r="M31" s="466">
        <v>1039.1968218750001</v>
      </c>
      <c r="N31" s="466">
        <v>395.79931869999933</v>
      </c>
      <c r="O31" s="461">
        <v>0</v>
      </c>
      <c r="P31" s="461">
        <v>1309</v>
      </c>
      <c r="Q31" s="465">
        <v>0.79388603657372048</v>
      </c>
      <c r="R31" s="469">
        <v>0.20611396342627952</v>
      </c>
      <c r="S31" s="465">
        <f>(L31-L30)/E31</f>
        <v>0.56595312604561276</v>
      </c>
      <c r="T31" s="465">
        <f t="shared" si="0"/>
        <v>0.66789949509803948</v>
      </c>
    </row>
    <row r="32" spans="1:20" s="473" customFormat="1" ht="13" x14ac:dyDescent="0.3">
      <c r="A32" s="448" t="s">
        <v>12</v>
      </c>
      <c r="B32" s="448">
        <v>3</v>
      </c>
      <c r="C32" s="448" t="s">
        <v>552</v>
      </c>
      <c r="D32" s="470">
        <v>1</v>
      </c>
      <c r="E32" s="448">
        <v>1398.7</v>
      </c>
      <c r="F32" s="448">
        <v>0</v>
      </c>
      <c r="G32" s="448">
        <v>698.17283380000003</v>
      </c>
      <c r="H32" s="448">
        <v>402.11344464487013</v>
      </c>
      <c r="I32" s="448">
        <v>0</v>
      </c>
      <c r="J32" s="448">
        <v>470.21454284999959</v>
      </c>
      <c r="K32" s="448">
        <v>0</v>
      </c>
      <c r="L32" s="448">
        <v>2969.2008212948699</v>
      </c>
      <c r="M32" s="448">
        <v>1237.1670088728624</v>
      </c>
      <c r="N32" s="448">
        <v>470.21454284999959</v>
      </c>
      <c r="O32" s="268">
        <v>0</v>
      </c>
      <c r="P32" s="461">
        <v>1309</v>
      </c>
      <c r="Q32" s="471">
        <v>0.9451237653726986</v>
      </c>
      <c r="R32" s="472">
        <v>5.4876234627301401E-2</v>
      </c>
      <c r="S32" s="465">
        <f>(L32-L30)/E32</f>
        <v>0.62266945556221442</v>
      </c>
      <c r="T32" s="465">
        <f t="shared" si="0"/>
        <v>0.79545017775810745</v>
      </c>
    </row>
    <row r="33" spans="1:20" s="468" customFormat="1" hidden="1" x14ac:dyDescent="0.25">
      <c r="A33" s="466" t="s">
        <v>12</v>
      </c>
      <c r="B33" s="466">
        <v>3</v>
      </c>
      <c r="C33" s="466" t="s">
        <v>552</v>
      </c>
      <c r="D33" s="467">
        <v>1</v>
      </c>
      <c r="E33" s="466">
        <v>2098.0500000000002</v>
      </c>
      <c r="F33" s="466">
        <v>0</v>
      </c>
      <c r="G33" s="466">
        <v>601.49917905999996</v>
      </c>
      <c r="H33" s="466">
        <v>227.6147799673052</v>
      </c>
      <c r="I33" s="466">
        <v>0</v>
      </c>
      <c r="J33" s="466">
        <v>198.83177534999962</v>
      </c>
      <c r="K33" s="466">
        <v>0</v>
      </c>
      <c r="L33" s="466">
        <v>3125.9957343773049</v>
      </c>
      <c r="M33" s="466">
        <v>1302.4982226572104</v>
      </c>
      <c r="N33" s="466">
        <v>198.83177534999962</v>
      </c>
      <c r="O33" s="461">
        <v>0</v>
      </c>
      <c r="P33" s="461">
        <v>1309</v>
      </c>
      <c r="Q33" s="465">
        <v>0.99503301960061907</v>
      </c>
      <c r="R33" s="469">
        <v>4.9669803993809269E-3</v>
      </c>
      <c r="S33" s="465">
        <f>(L33-L30)/E33</f>
        <v>0.48984661022249432</v>
      </c>
      <c r="T33" s="465">
        <f t="shared" si="0"/>
        <v>0.93174304781872463</v>
      </c>
    </row>
    <row r="34" spans="1:20" hidden="1" x14ac:dyDescent="0.25">
      <c r="A34" s="461" t="s">
        <v>12</v>
      </c>
      <c r="B34" s="461">
        <v>0</v>
      </c>
      <c r="C34" s="461" t="s">
        <v>553</v>
      </c>
      <c r="D34" s="465">
        <v>0</v>
      </c>
      <c r="E34" s="461">
        <v>0</v>
      </c>
      <c r="F34" s="461">
        <v>1398.7</v>
      </c>
      <c r="G34" s="461">
        <v>0</v>
      </c>
      <c r="H34" s="461">
        <v>88.576232220529803</v>
      </c>
      <c r="I34" s="461">
        <v>0</v>
      </c>
      <c r="J34" s="461">
        <v>0</v>
      </c>
      <c r="K34" s="461">
        <v>0</v>
      </c>
      <c r="L34" s="461">
        <v>1487.2762322205299</v>
      </c>
      <c r="M34" s="461">
        <v>991.51748814701989</v>
      </c>
      <c r="N34" s="461">
        <v>0</v>
      </c>
      <c r="O34" s="461">
        <v>0</v>
      </c>
      <c r="P34" s="461">
        <v>1309</v>
      </c>
      <c r="Q34" s="465">
        <v>0.75746179384799073</v>
      </c>
      <c r="R34" s="469">
        <v>0.24253820615200927</v>
      </c>
      <c r="T34" s="465">
        <f t="shared" si="0"/>
        <v>0.75746179384799073</v>
      </c>
    </row>
    <row r="35" spans="1:20" hidden="1" x14ac:dyDescent="0.25">
      <c r="A35" s="461" t="s">
        <v>12</v>
      </c>
      <c r="B35" s="461">
        <v>0</v>
      </c>
      <c r="C35" s="461" t="s">
        <v>553</v>
      </c>
      <c r="D35" s="465">
        <v>0.5</v>
      </c>
      <c r="E35" s="461">
        <v>699.35</v>
      </c>
      <c r="F35" s="461">
        <v>1398.7</v>
      </c>
      <c r="G35" s="461">
        <v>0</v>
      </c>
      <c r="H35" s="461">
        <v>0</v>
      </c>
      <c r="I35" s="461">
        <v>0</v>
      </c>
      <c r="J35" s="461">
        <v>0</v>
      </c>
      <c r="K35" s="461">
        <v>0</v>
      </c>
      <c r="L35" s="461">
        <v>2098.0500000000002</v>
      </c>
      <c r="M35" s="461">
        <v>1398.7</v>
      </c>
      <c r="N35" s="461">
        <v>0</v>
      </c>
      <c r="O35" s="461">
        <v>0</v>
      </c>
      <c r="P35" s="461">
        <v>1309</v>
      </c>
      <c r="Q35" s="465">
        <v>1.0685255920550039</v>
      </c>
      <c r="R35" s="469" t="s">
        <v>563</v>
      </c>
      <c r="S35" s="465">
        <f>(L35-L34)/E35</f>
        <v>0.87334491710798634</v>
      </c>
      <c r="T35" s="465">
        <f t="shared" si="0"/>
        <v>1.0685255920550039</v>
      </c>
    </row>
    <row r="36" spans="1:20" x14ac:dyDescent="0.25">
      <c r="A36" s="479" t="s">
        <v>12</v>
      </c>
      <c r="B36" s="479">
        <v>0</v>
      </c>
      <c r="C36" s="479" t="s">
        <v>553</v>
      </c>
      <c r="D36" s="478">
        <v>1</v>
      </c>
      <c r="E36" s="479">
        <v>1398.7</v>
      </c>
      <c r="F36" s="479">
        <v>1398.7</v>
      </c>
      <c r="G36" s="479">
        <v>0</v>
      </c>
      <c r="H36" s="479">
        <v>0</v>
      </c>
      <c r="I36" s="479">
        <v>0</v>
      </c>
      <c r="J36" s="479">
        <v>0</v>
      </c>
      <c r="K36" s="479">
        <v>0</v>
      </c>
      <c r="L36" s="479">
        <v>2797.4</v>
      </c>
      <c r="M36" s="479">
        <v>1864.9333333333334</v>
      </c>
      <c r="N36" s="461">
        <v>0</v>
      </c>
      <c r="O36" s="461">
        <v>0</v>
      </c>
      <c r="P36" s="461">
        <v>1309</v>
      </c>
      <c r="Q36" s="465">
        <v>1.4247007894066719</v>
      </c>
      <c r="R36" s="469" t="s">
        <v>563</v>
      </c>
      <c r="S36" s="478">
        <f>(L36-L34)/E36</f>
        <v>0.93667245855399306</v>
      </c>
      <c r="T36" s="465">
        <f t="shared" si="0"/>
        <v>1.4247007894066719</v>
      </c>
    </row>
    <row r="37" spans="1:20" hidden="1" x14ac:dyDescent="0.25">
      <c r="A37" s="461" t="s">
        <v>12</v>
      </c>
      <c r="B37" s="461">
        <v>0</v>
      </c>
      <c r="C37" s="461" t="s">
        <v>553</v>
      </c>
      <c r="D37" s="465">
        <v>1</v>
      </c>
      <c r="E37" s="461">
        <v>2098.0500000000002</v>
      </c>
      <c r="F37" s="461">
        <v>1398.7</v>
      </c>
      <c r="G37" s="461">
        <v>0</v>
      </c>
      <c r="H37" s="461">
        <v>0</v>
      </c>
      <c r="I37" s="461">
        <v>0</v>
      </c>
      <c r="J37" s="461">
        <v>0</v>
      </c>
      <c r="K37" s="461">
        <v>-86.061439929424481</v>
      </c>
      <c r="L37" s="461">
        <v>3410.6885600705755</v>
      </c>
      <c r="M37" s="461">
        <v>2273.7923733803837</v>
      </c>
      <c r="N37" s="461">
        <v>0</v>
      </c>
      <c r="O37" s="461">
        <v>0</v>
      </c>
      <c r="P37" s="461">
        <v>1309</v>
      </c>
      <c r="Q37" s="465">
        <v>1.7370453578154192</v>
      </c>
      <c r="R37" s="469" t="s">
        <v>563</v>
      </c>
      <c r="S37" s="465">
        <f>(L37-L34)/E37</f>
        <v>0.91676191122711348</v>
      </c>
      <c r="T37" s="465">
        <f t="shared" si="0"/>
        <v>1.7370453578154192</v>
      </c>
    </row>
    <row r="38" spans="1:20" hidden="1" x14ac:dyDescent="0.25">
      <c r="A38" s="461" t="s">
        <v>12</v>
      </c>
      <c r="B38" s="461">
        <v>1</v>
      </c>
      <c r="C38" s="461" t="s">
        <v>553</v>
      </c>
      <c r="D38" s="465">
        <v>0</v>
      </c>
      <c r="E38" s="461">
        <v>0</v>
      </c>
      <c r="F38" s="461">
        <v>1398.7</v>
      </c>
      <c r="G38" s="461">
        <v>0</v>
      </c>
      <c r="H38" s="461">
        <v>220.78900287487463</v>
      </c>
      <c r="I38" s="461">
        <v>0</v>
      </c>
      <c r="J38" s="461">
        <v>0</v>
      </c>
      <c r="K38" s="461">
        <v>0</v>
      </c>
      <c r="L38" s="461">
        <v>1619.4890028748746</v>
      </c>
      <c r="M38" s="461">
        <v>899.71611270826361</v>
      </c>
      <c r="N38" s="461">
        <v>0</v>
      </c>
      <c r="O38" s="461">
        <v>0</v>
      </c>
      <c r="P38" s="461">
        <v>1309</v>
      </c>
      <c r="Q38" s="465">
        <v>0.68733087296276818</v>
      </c>
      <c r="R38" s="469">
        <v>0.31266912703723182</v>
      </c>
      <c r="T38" s="465">
        <f t="shared" si="0"/>
        <v>0.68733087296276807</v>
      </c>
    </row>
    <row r="39" spans="1:20" hidden="1" x14ac:dyDescent="0.25">
      <c r="A39" s="461" t="s">
        <v>12</v>
      </c>
      <c r="B39" s="461">
        <v>1</v>
      </c>
      <c r="C39" s="461" t="s">
        <v>553</v>
      </c>
      <c r="D39" s="465">
        <v>0.5</v>
      </c>
      <c r="E39" s="461">
        <v>699.35</v>
      </c>
      <c r="F39" s="461">
        <v>1398.7</v>
      </c>
      <c r="G39" s="461">
        <v>0</v>
      </c>
      <c r="H39" s="461">
        <v>0</v>
      </c>
      <c r="I39" s="461">
        <v>0</v>
      </c>
      <c r="J39" s="461">
        <v>0</v>
      </c>
      <c r="K39" s="461">
        <v>0</v>
      </c>
      <c r="L39" s="461">
        <v>2098.0500000000002</v>
      </c>
      <c r="M39" s="461">
        <v>1165.5833333333335</v>
      </c>
      <c r="N39" s="461">
        <v>0</v>
      </c>
      <c r="O39" s="461">
        <v>0</v>
      </c>
      <c r="P39" s="461">
        <v>1309</v>
      </c>
      <c r="Q39" s="465">
        <v>0.89043799337916996</v>
      </c>
      <c r="R39" s="469">
        <v>0.10956200662083004</v>
      </c>
      <c r="S39" s="465">
        <f>(L39-L38)/E39</f>
        <v>0.68429398316311663</v>
      </c>
      <c r="T39" s="465">
        <f t="shared" si="0"/>
        <v>0.89043799337916996</v>
      </c>
    </row>
    <row r="40" spans="1:20" x14ac:dyDescent="0.25">
      <c r="A40" s="461" t="s">
        <v>12</v>
      </c>
      <c r="B40" s="461">
        <v>1</v>
      </c>
      <c r="C40" s="461" t="s">
        <v>553</v>
      </c>
      <c r="D40" s="465">
        <v>1</v>
      </c>
      <c r="E40" s="461">
        <v>1398.7</v>
      </c>
      <c r="F40" s="461">
        <v>1398.7</v>
      </c>
      <c r="G40" s="461">
        <v>0</v>
      </c>
      <c r="H40" s="461">
        <v>0</v>
      </c>
      <c r="I40" s="461">
        <v>0</v>
      </c>
      <c r="J40" s="461">
        <v>0</v>
      </c>
      <c r="K40" s="461">
        <v>0</v>
      </c>
      <c r="L40" s="461">
        <v>2797.4</v>
      </c>
      <c r="M40" s="461">
        <v>1554.1111111111111</v>
      </c>
      <c r="N40" s="461">
        <v>0</v>
      </c>
      <c r="O40" s="461">
        <v>0</v>
      </c>
      <c r="P40" s="461">
        <v>1309</v>
      </c>
      <c r="Q40" s="465">
        <v>1.1872506578388931</v>
      </c>
      <c r="R40" s="469" t="s">
        <v>563</v>
      </c>
      <c r="S40" s="465">
        <f>(L40-L38)/E40</f>
        <v>0.84214699158155826</v>
      </c>
      <c r="T40" s="465">
        <f t="shared" si="0"/>
        <v>1.1872506578388931</v>
      </c>
    </row>
    <row r="41" spans="1:20" hidden="1" x14ac:dyDescent="0.25">
      <c r="A41" s="461" t="s">
        <v>12</v>
      </c>
      <c r="B41" s="461">
        <v>1</v>
      </c>
      <c r="C41" s="461" t="s">
        <v>553</v>
      </c>
      <c r="D41" s="465">
        <v>1</v>
      </c>
      <c r="E41" s="461">
        <v>2098.0500000000002</v>
      </c>
      <c r="F41" s="461">
        <v>1398.7</v>
      </c>
      <c r="G41" s="461">
        <v>0</v>
      </c>
      <c r="H41" s="461">
        <v>0</v>
      </c>
      <c r="I41" s="461">
        <v>0</v>
      </c>
      <c r="J41" s="461">
        <v>0</v>
      </c>
      <c r="K41" s="461">
        <v>-8.3384180392352398</v>
      </c>
      <c r="L41" s="461">
        <v>3488.4115819607646</v>
      </c>
      <c r="M41" s="461">
        <v>1938.0064344226469</v>
      </c>
      <c r="N41" s="461">
        <v>0</v>
      </c>
      <c r="O41" s="461">
        <v>0</v>
      </c>
      <c r="P41" s="461">
        <v>1309</v>
      </c>
      <c r="Q41" s="465">
        <v>1.4805243960448029</v>
      </c>
      <c r="R41" s="469" t="s">
        <v>563</v>
      </c>
      <c r="S41" s="465">
        <f>(L41-L38)/E41</f>
        <v>0.89079029531512111</v>
      </c>
      <c r="T41" s="465">
        <f t="shared" si="0"/>
        <v>1.4805243960448029</v>
      </c>
    </row>
    <row r="42" spans="1:20" hidden="1" x14ac:dyDescent="0.25">
      <c r="A42" s="461" t="s">
        <v>12</v>
      </c>
      <c r="B42" s="461">
        <v>2</v>
      </c>
      <c r="C42" s="461" t="s">
        <v>553</v>
      </c>
      <c r="D42" s="465">
        <v>0</v>
      </c>
      <c r="E42" s="461">
        <v>0</v>
      </c>
      <c r="F42" s="461">
        <v>1398.7</v>
      </c>
      <c r="G42" s="461">
        <v>183.21428917999998</v>
      </c>
      <c r="H42" s="461">
        <v>308.9148606124088</v>
      </c>
      <c r="I42" s="461">
        <v>0</v>
      </c>
      <c r="J42" s="461">
        <v>0</v>
      </c>
      <c r="K42" s="461">
        <v>0</v>
      </c>
      <c r="L42" s="461">
        <v>1890.8291497924088</v>
      </c>
      <c r="M42" s="461">
        <v>900.3948332344803</v>
      </c>
      <c r="N42" s="461">
        <v>0</v>
      </c>
      <c r="O42" s="461">
        <v>0</v>
      </c>
      <c r="P42" s="461">
        <v>1309</v>
      </c>
      <c r="Q42" s="465">
        <v>0.687849376038564</v>
      </c>
      <c r="R42" s="469">
        <v>0.312150623961436</v>
      </c>
      <c r="T42" s="465">
        <f t="shared" si="0"/>
        <v>0.687849376038564</v>
      </c>
    </row>
    <row r="43" spans="1:20" hidden="1" x14ac:dyDescent="0.25">
      <c r="A43" s="461" t="s">
        <v>12</v>
      </c>
      <c r="B43" s="461">
        <v>2</v>
      </c>
      <c r="C43" s="461" t="s">
        <v>553</v>
      </c>
      <c r="D43" s="465">
        <v>0.5</v>
      </c>
      <c r="E43" s="461">
        <v>699.35</v>
      </c>
      <c r="F43" s="461">
        <v>1398.7</v>
      </c>
      <c r="G43" s="461">
        <v>183.21428917999998</v>
      </c>
      <c r="H43" s="461">
        <v>106.52656054361321</v>
      </c>
      <c r="I43" s="461">
        <v>0</v>
      </c>
      <c r="J43" s="461">
        <v>0</v>
      </c>
      <c r="K43" s="461">
        <v>0</v>
      </c>
      <c r="L43" s="461">
        <v>2387.7908497236135</v>
      </c>
      <c r="M43" s="461">
        <v>1137.0432617731492</v>
      </c>
      <c r="N43" s="461">
        <v>0</v>
      </c>
      <c r="O43" s="461">
        <v>0</v>
      </c>
      <c r="P43" s="461">
        <v>1309</v>
      </c>
      <c r="Q43" s="465">
        <v>0.86863503573197032</v>
      </c>
      <c r="R43" s="469">
        <v>0.13136496426802968</v>
      </c>
      <c r="S43" s="465">
        <f>(L43-L42)/E43</f>
        <v>0.7106051332397294</v>
      </c>
      <c r="T43" s="465">
        <f t="shared" si="0"/>
        <v>0.86863503573197043</v>
      </c>
    </row>
    <row r="44" spans="1:20" x14ac:dyDescent="0.25">
      <c r="A44" s="461" t="s">
        <v>12</v>
      </c>
      <c r="B44" s="461">
        <v>2</v>
      </c>
      <c r="C44" s="461" t="s">
        <v>553</v>
      </c>
      <c r="D44" s="465">
        <v>1</v>
      </c>
      <c r="E44" s="461">
        <v>1398.7</v>
      </c>
      <c r="F44" s="461">
        <v>1398.7</v>
      </c>
      <c r="G44" s="461">
        <v>183.21428917999998</v>
      </c>
      <c r="H44" s="461">
        <v>0</v>
      </c>
      <c r="I44" s="461">
        <v>0</v>
      </c>
      <c r="J44" s="461">
        <v>0</v>
      </c>
      <c r="K44" s="461">
        <v>0</v>
      </c>
      <c r="L44" s="461">
        <v>2980.61428918</v>
      </c>
      <c r="M44" s="461">
        <v>1419.3401377047619</v>
      </c>
      <c r="N44" s="461">
        <v>0</v>
      </c>
      <c r="O44" s="461">
        <v>0</v>
      </c>
      <c r="P44" s="461">
        <v>1309</v>
      </c>
      <c r="Q44" s="465">
        <v>1.0842934589035613</v>
      </c>
      <c r="R44" s="469" t="s">
        <v>563</v>
      </c>
      <c r="S44" s="465">
        <f>(L44-L42)/E44</f>
        <v>0.77914144519024175</v>
      </c>
      <c r="T44" s="465">
        <f t="shared" si="0"/>
        <v>1.0842934589035613</v>
      </c>
    </row>
    <row r="45" spans="1:20" hidden="1" x14ac:dyDescent="0.25">
      <c r="A45" s="461" t="s">
        <v>12</v>
      </c>
      <c r="B45" s="461">
        <v>2</v>
      </c>
      <c r="C45" s="461" t="s">
        <v>553</v>
      </c>
      <c r="D45" s="465">
        <v>1</v>
      </c>
      <c r="E45" s="461">
        <v>2098.0500000000002</v>
      </c>
      <c r="F45" s="461">
        <v>1398.7</v>
      </c>
      <c r="G45" s="461">
        <v>148.51449599999998</v>
      </c>
      <c r="H45" s="461">
        <v>0</v>
      </c>
      <c r="I45" s="461">
        <v>0</v>
      </c>
      <c r="J45" s="461">
        <v>0</v>
      </c>
      <c r="K45" s="461">
        <v>0</v>
      </c>
      <c r="L45" s="461">
        <v>3645.2644959999998</v>
      </c>
      <c r="M45" s="461">
        <v>1735.8402361904759</v>
      </c>
      <c r="N45" s="461">
        <v>0</v>
      </c>
      <c r="O45" s="461">
        <v>0</v>
      </c>
      <c r="P45" s="461">
        <v>1309</v>
      </c>
      <c r="Q45" s="465">
        <v>1.3260811582814942</v>
      </c>
      <c r="R45" s="469" t="s">
        <v>563</v>
      </c>
      <c r="S45" s="465">
        <f>(L45-L42)/E45</f>
        <v>0.83622189471537423</v>
      </c>
      <c r="T45" s="465">
        <f t="shared" si="0"/>
        <v>1.3260811582814942</v>
      </c>
    </row>
    <row r="46" spans="1:20" hidden="1" x14ac:dyDescent="0.25">
      <c r="A46" s="461" t="s">
        <v>12</v>
      </c>
      <c r="B46" s="461">
        <v>3</v>
      </c>
      <c r="C46" s="461" t="s">
        <v>553</v>
      </c>
      <c r="D46" s="465">
        <v>0</v>
      </c>
      <c r="E46" s="461">
        <v>0</v>
      </c>
      <c r="F46" s="461">
        <v>1398.7</v>
      </c>
      <c r="G46" s="461">
        <v>698.17283380000003</v>
      </c>
      <c r="H46" s="461">
        <v>402.11344464487013</v>
      </c>
      <c r="I46" s="461">
        <v>0</v>
      </c>
      <c r="J46" s="461">
        <v>0</v>
      </c>
      <c r="K46" s="461">
        <v>0</v>
      </c>
      <c r="L46" s="461">
        <v>2498.9862784448705</v>
      </c>
      <c r="M46" s="461">
        <v>1041.2442826853628</v>
      </c>
      <c r="N46" s="461">
        <v>0</v>
      </c>
      <c r="O46" s="461">
        <v>0</v>
      </c>
      <c r="P46" s="461">
        <v>1309</v>
      </c>
      <c r="Q46" s="465">
        <v>0.79545017775810756</v>
      </c>
      <c r="R46" s="469">
        <v>0.20454982224189244</v>
      </c>
      <c r="T46" s="465">
        <f t="shared" si="0"/>
        <v>0.79545017775810756</v>
      </c>
    </row>
    <row r="47" spans="1:20" hidden="1" x14ac:dyDescent="0.25">
      <c r="A47" s="461" t="s">
        <v>12</v>
      </c>
      <c r="B47" s="461">
        <v>3</v>
      </c>
      <c r="C47" s="461" t="s">
        <v>553</v>
      </c>
      <c r="D47" s="465">
        <v>0.5</v>
      </c>
      <c r="E47" s="461">
        <v>699.35</v>
      </c>
      <c r="F47" s="461">
        <v>1398.7</v>
      </c>
      <c r="G47" s="461">
        <v>601.49917905999996</v>
      </c>
      <c r="H47" s="461">
        <v>227.6147799673052</v>
      </c>
      <c r="I47" s="461">
        <v>0</v>
      </c>
      <c r="J47" s="461">
        <v>0</v>
      </c>
      <c r="K47" s="461">
        <v>0</v>
      </c>
      <c r="L47" s="461">
        <v>2927.1639590273053</v>
      </c>
      <c r="M47" s="461">
        <v>1219.6516495947105</v>
      </c>
      <c r="N47" s="461">
        <v>0</v>
      </c>
      <c r="O47" s="461">
        <v>0</v>
      </c>
      <c r="P47" s="461">
        <v>1309</v>
      </c>
      <c r="Q47" s="465">
        <v>0.93174304781872463</v>
      </c>
      <c r="R47" s="469">
        <v>6.8256952181275365E-2</v>
      </c>
      <c r="S47" s="465">
        <f>(L47-L46)/E47</f>
        <v>0.61225091954305388</v>
      </c>
      <c r="T47" s="465">
        <f t="shared" si="0"/>
        <v>0.93174304781872463</v>
      </c>
    </row>
    <row r="48" spans="1:20" x14ac:dyDescent="0.25">
      <c r="A48" s="461" t="s">
        <v>12</v>
      </c>
      <c r="B48" s="461">
        <v>3</v>
      </c>
      <c r="C48" s="461" t="s">
        <v>553</v>
      </c>
      <c r="D48" s="465">
        <v>1</v>
      </c>
      <c r="E48" s="461">
        <v>1398.7</v>
      </c>
      <c r="F48" s="461">
        <v>1398.7</v>
      </c>
      <c r="G48" s="461">
        <v>601.49917905999996</v>
      </c>
      <c r="H48" s="461">
        <v>53.116115289740293</v>
      </c>
      <c r="I48" s="461">
        <v>0</v>
      </c>
      <c r="J48" s="461">
        <v>0</v>
      </c>
      <c r="K48" s="461">
        <v>0</v>
      </c>
      <c r="L48" s="461">
        <v>3452.0152943497405</v>
      </c>
      <c r="M48" s="461">
        <v>1438.3397059790586</v>
      </c>
      <c r="N48" s="461">
        <v>0</v>
      </c>
      <c r="O48" s="461">
        <v>0</v>
      </c>
      <c r="P48" s="461">
        <v>1309</v>
      </c>
      <c r="Q48" s="465">
        <v>1.098808025958028</v>
      </c>
      <c r="R48" s="469" t="s">
        <v>563</v>
      </c>
      <c r="S48" s="465">
        <f>(L48-L46)/E48</f>
        <v>0.68136770994843066</v>
      </c>
      <c r="T48" s="465">
        <f t="shared" si="0"/>
        <v>1.098808025958028</v>
      </c>
    </row>
    <row r="49" spans="1:20" hidden="1" x14ac:dyDescent="0.25">
      <c r="A49" s="461" t="s">
        <v>12</v>
      </c>
      <c r="B49" s="461">
        <v>3</v>
      </c>
      <c r="C49" s="461" t="s">
        <v>553</v>
      </c>
      <c r="D49" s="465">
        <v>1</v>
      </c>
      <c r="E49" s="461">
        <v>2098.0500000000002</v>
      </c>
      <c r="F49" s="461">
        <v>1398.7</v>
      </c>
      <c r="G49" s="461">
        <v>601.49917905999996</v>
      </c>
      <c r="H49" s="461">
        <v>0</v>
      </c>
      <c r="I49" s="461">
        <v>0</v>
      </c>
      <c r="J49" s="461">
        <v>0</v>
      </c>
      <c r="K49" s="461">
        <v>0</v>
      </c>
      <c r="L49" s="461">
        <v>4098.2491790599997</v>
      </c>
      <c r="M49" s="461">
        <v>1707.6038246083333</v>
      </c>
      <c r="N49" s="461">
        <v>0</v>
      </c>
      <c r="O49" s="461">
        <v>0</v>
      </c>
      <c r="P49" s="461">
        <v>1309</v>
      </c>
      <c r="Q49" s="465">
        <v>1.3045101792271454</v>
      </c>
      <c r="R49" s="469" t="s">
        <v>563</v>
      </c>
      <c r="S49" s="465">
        <f>(L49-L46)/E49</f>
        <v>0.76226157651873361</v>
      </c>
      <c r="T49" s="465">
        <f t="shared" si="0"/>
        <v>1.3045101792271454</v>
      </c>
    </row>
    <row r="50" spans="1:20" s="468" customFormat="1" hidden="1" x14ac:dyDescent="0.25">
      <c r="A50" s="466" t="s">
        <v>12</v>
      </c>
      <c r="B50" s="466">
        <v>0</v>
      </c>
      <c r="C50" s="466" t="s">
        <v>554</v>
      </c>
      <c r="D50" s="467">
        <v>0</v>
      </c>
      <c r="E50" s="466">
        <v>0</v>
      </c>
      <c r="F50" s="466">
        <v>1398.7</v>
      </c>
      <c r="G50" s="466">
        <v>0</v>
      </c>
      <c r="H50" s="466">
        <v>88.576232220529803</v>
      </c>
      <c r="I50" s="466">
        <v>0</v>
      </c>
      <c r="J50" s="466">
        <v>478.66043894057287</v>
      </c>
      <c r="K50" s="466">
        <v>0</v>
      </c>
      <c r="L50" s="466">
        <v>1965.9366711611028</v>
      </c>
      <c r="M50" s="466">
        <v>1310.6244474407351</v>
      </c>
      <c r="N50" s="466">
        <v>478.66043894057287</v>
      </c>
      <c r="O50" s="461">
        <v>0</v>
      </c>
      <c r="P50" s="461">
        <v>1309</v>
      </c>
      <c r="Q50" s="465">
        <v>1.0012409835299734</v>
      </c>
      <c r="R50" s="469" t="s">
        <v>563</v>
      </c>
      <c r="S50"/>
      <c r="T50" s="465">
        <f t="shared" si="0"/>
        <v>0.75746179384799073</v>
      </c>
    </row>
    <row r="51" spans="1:20" s="468" customFormat="1" hidden="1" x14ac:dyDescent="0.25">
      <c r="A51" s="466" t="s">
        <v>12</v>
      </c>
      <c r="B51" s="466">
        <v>0</v>
      </c>
      <c r="C51" s="466" t="s">
        <v>554</v>
      </c>
      <c r="D51" s="467">
        <v>0.5</v>
      </c>
      <c r="E51" s="466">
        <v>699.35</v>
      </c>
      <c r="F51" s="466">
        <v>1398.7</v>
      </c>
      <c r="G51" s="466">
        <v>0</v>
      </c>
      <c r="H51" s="466">
        <v>0</v>
      </c>
      <c r="I51" s="466">
        <v>0</v>
      </c>
      <c r="J51" s="466">
        <v>295.4110224999996</v>
      </c>
      <c r="K51" s="466">
        <v>0</v>
      </c>
      <c r="L51" s="466">
        <v>2393.4610224999997</v>
      </c>
      <c r="M51" s="466">
        <v>1595.6406816666665</v>
      </c>
      <c r="N51" s="466">
        <v>295.4110224999996</v>
      </c>
      <c r="O51" s="461">
        <v>0</v>
      </c>
      <c r="P51" s="461">
        <v>1309</v>
      </c>
      <c r="Q51" s="465">
        <v>1.2189768385536031</v>
      </c>
      <c r="R51" s="469" t="s">
        <v>563</v>
      </c>
      <c r="S51" s="465">
        <f>(L51-L50)/E51</f>
        <v>0.61131672458553921</v>
      </c>
      <c r="T51" s="465">
        <f t="shared" si="0"/>
        <v>1.0685255920550039</v>
      </c>
    </row>
    <row r="52" spans="1:20" s="473" customFormat="1" ht="13" x14ac:dyDescent="0.3">
      <c r="A52" s="448" t="s">
        <v>12</v>
      </c>
      <c r="B52" s="448">
        <v>0</v>
      </c>
      <c r="C52" s="448" t="s">
        <v>554</v>
      </c>
      <c r="D52" s="470">
        <v>1</v>
      </c>
      <c r="E52" s="448">
        <v>1398.7</v>
      </c>
      <c r="F52" s="448">
        <v>1398.7</v>
      </c>
      <c r="G52" s="448">
        <v>0</v>
      </c>
      <c r="H52" s="448">
        <v>0</v>
      </c>
      <c r="I52" s="448">
        <v>0</v>
      </c>
      <c r="J52" s="448">
        <v>204.31230499999995</v>
      </c>
      <c r="K52" s="448">
        <v>0</v>
      </c>
      <c r="L52" s="448">
        <v>3001.712305</v>
      </c>
      <c r="M52" s="448">
        <v>2001.1415366666668</v>
      </c>
      <c r="N52" s="448">
        <v>204.31230499999995</v>
      </c>
      <c r="O52" s="268">
        <v>0</v>
      </c>
      <c r="P52" s="461">
        <v>1309</v>
      </c>
      <c r="Q52" s="471">
        <v>1.5287559485612428</v>
      </c>
      <c r="R52" s="472" t="s">
        <v>563</v>
      </c>
      <c r="S52" s="465">
        <f>(L52-L50)/E52</f>
        <v>0.74052737101515487</v>
      </c>
      <c r="T52" s="465">
        <f t="shared" si="0"/>
        <v>1.4247007894066717</v>
      </c>
    </row>
    <row r="53" spans="1:20" s="468" customFormat="1" hidden="1" x14ac:dyDescent="0.25">
      <c r="A53" s="466" t="s">
        <v>12</v>
      </c>
      <c r="B53" s="466">
        <v>0</v>
      </c>
      <c r="C53" s="466" t="s">
        <v>554</v>
      </c>
      <c r="D53" s="467">
        <v>1</v>
      </c>
      <c r="E53" s="466">
        <v>2098.0500000000002</v>
      </c>
      <c r="F53" s="466">
        <v>1398.7</v>
      </c>
      <c r="G53" s="466">
        <v>0</v>
      </c>
      <c r="H53" s="466">
        <v>0</v>
      </c>
      <c r="I53" s="466">
        <v>0</v>
      </c>
      <c r="J53" s="466">
        <v>0</v>
      </c>
      <c r="K53" s="466">
        <v>-86.061439929424481</v>
      </c>
      <c r="L53" s="466">
        <v>3410.6885600705755</v>
      </c>
      <c r="M53" s="466">
        <v>2273.7923733803837</v>
      </c>
      <c r="N53" s="466">
        <v>0</v>
      </c>
      <c r="O53" s="461">
        <v>0</v>
      </c>
      <c r="P53" s="461">
        <v>1309</v>
      </c>
      <c r="Q53" s="465">
        <v>1.7370453578154192</v>
      </c>
      <c r="R53" s="469" t="s">
        <v>563</v>
      </c>
      <c r="S53" s="465">
        <f>(L53-L50)/E53</f>
        <v>0.68861651958221803</v>
      </c>
      <c r="T53" s="465">
        <f t="shared" si="0"/>
        <v>1.7370453578154192</v>
      </c>
    </row>
    <row r="54" spans="1:20" s="468" customFormat="1" hidden="1" x14ac:dyDescent="0.25">
      <c r="A54" s="466" t="s">
        <v>12</v>
      </c>
      <c r="B54" s="466">
        <v>1</v>
      </c>
      <c r="C54" s="466" t="s">
        <v>554</v>
      </c>
      <c r="D54" s="467">
        <v>0</v>
      </c>
      <c r="E54" s="466">
        <v>0</v>
      </c>
      <c r="F54" s="466">
        <v>1398.7</v>
      </c>
      <c r="G54" s="466">
        <v>0</v>
      </c>
      <c r="H54" s="466">
        <v>220.78900287487463</v>
      </c>
      <c r="I54" s="466">
        <v>0</v>
      </c>
      <c r="J54" s="466">
        <v>568.65234054999985</v>
      </c>
      <c r="K54" s="466">
        <v>0</v>
      </c>
      <c r="L54" s="466">
        <v>2188.1413434248743</v>
      </c>
      <c r="M54" s="466">
        <v>1215.6340796804857</v>
      </c>
      <c r="N54" s="466">
        <v>568.65234054999985</v>
      </c>
      <c r="O54" s="461">
        <v>0</v>
      </c>
      <c r="P54" s="461">
        <v>1309</v>
      </c>
      <c r="Q54" s="465">
        <v>0.92867385766270871</v>
      </c>
      <c r="R54" s="469">
        <v>7.1326142337291287E-2</v>
      </c>
      <c r="S54"/>
      <c r="T54" s="465">
        <f t="shared" si="0"/>
        <v>0.68733087296276818</v>
      </c>
    </row>
    <row r="55" spans="1:20" s="468" customFormat="1" hidden="1" x14ac:dyDescent="0.25">
      <c r="A55" s="466" t="s">
        <v>12</v>
      </c>
      <c r="B55" s="466">
        <v>1</v>
      </c>
      <c r="C55" s="466" t="s">
        <v>554</v>
      </c>
      <c r="D55" s="467">
        <v>0.5</v>
      </c>
      <c r="E55" s="466">
        <v>699.35</v>
      </c>
      <c r="F55" s="466">
        <v>1398.7</v>
      </c>
      <c r="G55" s="466">
        <v>0</v>
      </c>
      <c r="H55" s="466">
        <v>0</v>
      </c>
      <c r="I55" s="466">
        <v>0</v>
      </c>
      <c r="J55" s="466">
        <v>481.26607749999982</v>
      </c>
      <c r="K55" s="466">
        <v>0</v>
      </c>
      <c r="L55" s="466">
        <v>2579.3160775000001</v>
      </c>
      <c r="M55" s="466">
        <v>1432.953376388889</v>
      </c>
      <c r="N55" s="466">
        <v>481.26607749999982</v>
      </c>
      <c r="O55" s="461">
        <v>0</v>
      </c>
      <c r="P55" s="461">
        <v>1309</v>
      </c>
      <c r="Q55" s="465">
        <v>1.0946931828792124</v>
      </c>
      <c r="R55" s="469" t="s">
        <v>563</v>
      </c>
      <c r="S55" s="465">
        <f>(L55-L54)/E55</f>
        <v>0.55934043622667584</v>
      </c>
      <c r="T55" s="465">
        <f t="shared" si="0"/>
        <v>0.89043799337916996</v>
      </c>
    </row>
    <row r="56" spans="1:20" s="473" customFormat="1" ht="13" x14ac:dyDescent="0.3">
      <c r="A56" s="448" t="s">
        <v>12</v>
      </c>
      <c r="B56" s="448">
        <v>1</v>
      </c>
      <c r="C56" s="448" t="s">
        <v>554</v>
      </c>
      <c r="D56" s="470">
        <v>1</v>
      </c>
      <c r="E56" s="448">
        <v>1398.7</v>
      </c>
      <c r="F56" s="448">
        <v>1398.7</v>
      </c>
      <c r="G56" s="448">
        <v>0</v>
      </c>
      <c r="H56" s="448">
        <v>0</v>
      </c>
      <c r="I56" s="448">
        <v>0</v>
      </c>
      <c r="J56" s="448">
        <v>390.16736000000014</v>
      </c>
      <c r="K56" s="448">
        <v>0</v>
      </c>
      <c r="L56" s="448">
        <v>3187.56736</v>
      </c>
      <c r="M56" s="448">
        <v>1770.8707555555554</v>
      </c>
      <c r="N56" s="448">
        <v>390.16736000000014</v>
      </c>
      <c r="O56" s="268">
        <v>0</v>
      </c>
      <c r="P56" s="461">
        <v>1309</v>
      </c>
      <c r="Q56" s="471">
        <v>1.3528424412189117</v>
      </c>
      <c r="R56" s="472" t="s">
        <v>563</v>
      </c>
      <c r="S56" s="465">
        <f>(L56-L54)/E56</f>
        <v>0.71453922683572291</v>
      </c>
      <c r="T56" s="465">
        <f t="shared" si="0"/>
        <v>1.1872506578388928</v>
      </c>
    </row>
    <row r="57" spans="1:20" s="468" customFormat="1" hidden="1" x14ac:dyDescent="0.25">
      <c r="A57" s="466" t="s">
        <v>12</v>
      </c>
      <c r="B57" s="466">
        <v>1</v>
      </c>
      <c r="C57" s="466" t="s">
        <v>554</v>
      </c>
      <c r="D57" s="467">
        <v>1</v>
      </c>
      <c r="E57" s="466">
        <v>2098.0500000000002</v>
      </c>
      <c r="F57" s="466">
        <v>1398.7</v>
      </c>
      <c r="G57" s="466">
        <v>0</v>
      </c>
      <c r="H57" s="466">
        <v>0</v>
      </c>
      <c r="I57" s="466">
        <v>0</v>
      </c>
      <c r="J57" s="466">
        <v>118.78459249999996</v>
      </c>
      <c r="K57" s="466">
        <v>-8.3384180392352398</v>
      </c>
      <c r="L57" s="466">
        <v>3607.1961744607647</v>
      </c>
      <c r="M57" s="466">
        <v>2003.9978747004247</v>
      </c>
      <c r="N57" s="466">
        <v>118.78459249999996</v>
      </c>
      <c r="O57" s="461">
        <v>0</v>
      </c>
      <c r="P57" s="461">
        <v>1309</v>
      </c>
      <c r="Q57" s="465">
        <v>1.5309380249812259</v>
      </c>
      <c r="R57" s="469" t="s">
        <v>563</v>
      </c>
      <c r="S57" s="465">
        <f>(L57-L54)/E57</f>
        <v>0.67636845215123109</v>
      </c>
      <c r="T57" s="465">
        <f t="shared" si="0"/>
        <v>1.4805243960448027</v>
      </c>
    </row>
    <row r="58" spans="1:20" s="468" customFormat="1" hidden="1" x14ac:dyDescent="0.25">
      <c r="A58" s="466" t="s">
        <v>12</v>
      </c>
      <c r="B58" s="466">
        <v>2</v>
      </c>
      <c r="C58" s="466" t="s">
        <v>554</v>
      </c>
      <c r="D58" s="467">
        <v>0</v>
      </c>
      <c r="E58" s="466">
        <v>0</v>
      </c>
      <c r="F58" s="466">
        <v>1398.7</v>
      </c>
      <c r="G58" s="466">
        <v>183.21428917999998</v>
      </c>
      <c r="H58" s="466">
        <v>308.9148606124088</v>
      </c>
      <c r="I58" s="466">
        <v>0</v>
      </c>
      <c r="J58" s="466">
        <v>605.99289954999983</v>
      </c>
      <c r="K58" s="466">
        <v>0</v>
      </c>
      <c r="L58" s="466">
        <v>2496.8220493424087</v>
      </c>
      <c r="M58" s="466">
        <v>1188.9628806392423</v>
      </c>
      <c r="N58" s="466">
        <v>605.99289954999983</v>
      </c>
      <c r="O58" s="461">
        <v>0</v>
      </c>
      <c r="P58" s="461">
        <v>1309</v>
      </c>
      <c r="Q58" s="465">
        <v>0.90829861011401247</v>
      </c>
      <c r="R58" s="469">
        <v>9.1701389885987528E-2</v>
      </c>
      <c r="S58"/>
      <c r="T58" s="465">
        <f t="shared" si="0"/>
        <v>0.68784937603856411</v>
      </c>
    </row>
    <row r="59" spans="1:20" s="468" customFormat="1" hidden="1" x14ac:dyDescent="0.25">
      <c r="A59" s="466" t="s">
        <v>12</v>
      </c>
      <c r="B59" s="466">
        <v>2</v>
      </c>
      <c r="C59" s="466" t="s">
        <v>554</v>
      </c>
      <c r="D59" s="467">
        <v>0.5</v>
      </c>
      <c r="E59" s="466">
        <v>699.35</v>
      </c>
      <c r="F59" s="466">
        <v>1398.7</v>
      </c>
      <c r="G59" s="466">
        <v>183.21428917999998</v>
      </c>
      <c r="H59" s="466">
        <v>106.52656054361321</v>
      </c>
      <c r="I59" s="466">
        <v>0</v>
      </c>
      <c r="J59" s="466">
        <v>412.61270875910469</v>
      </c>
      <c r="K59" s="466">
        <v>0</v>
      </c>
      <c r="L59" s="466">
        <v>2800.4035584827179</v>
      </c>
      <c r="M59" s="466">
        <v>1333.5255040393895</v>
      </c>
      <c r="N59" s="466">
        <v>412.61270875910469</v>
      </c>
      <c r="O59" s="461">
        <v>0</v>
      </c>
      <c r="P59" s="461">
        <v>1309</v>
      </c>
      <c r="Q59" s="465">
        <v>1.0187360611454466</v>
      </c>
      <c r="R59" s="469" t="s">
        <v>563</v>
      </c>
      <c r="S59" s="465">
        <f>(L59-L58)/E59</f>
        <v>0.43409095465833875</v>
      </c>
      <c r="T59" s="465">
        <f t="shared" si="0"/>
        <v>0.86863503573197032</v>
      </c>
    </row>
    <row r="60" spans="1:20" s="473" customFormat="1" ht="13" x14ac:dyDescent="0.3">
      <c r="A60" s="448" t="s">
        <v>12</v>
      </c>
      <c r="B60" s="448">
        <v>2</v>
      </c>
      <c r="C60" s="448" t="s">
        <v>554</v>
      </c>
      <c r="D60" s="470">
        <v>1</v>
      </c>
      <c r="E60" s="448">
        <v>1398.7</v>
      </c>
      <c r="F60" s="448">
        <v>1398.7</v>
      </c>
      <c r="G60" s="448">
        <v>183.21428917999998</v>
      </c>
      <c r="H60" s="448">
        <v>0</v>
      </c>
      <c r="I60" s="448">
        <v>0</v>
      </c>
      <c r="J60" s="448">
        <v>427.5079189999999</v>
      </c>
      <c r="K60" s="448">
        <v>0</v>
      </c>
      <c r="L60" s="448">
        <v>3408.1222081799997</v>
      </c>
      <c r="M60" s="448">
        <v>1622.9153372285712</v>
      </c>
      <c r="N60" s="448">
        <v>427.5079189999999</v>
      </c>
      <c r="O60" s="268">
        <v>0</v>
      </c>
      <c r="P60" s="461">
        <v>1309</v>
      </c>
      <c r="Q60" s="471">
        <v>1.239813091847648</v>
      </c>
      <c r="R60" s="472" t="s">
        <v>563</v>
      </c>
      <c r="S60" s="465">
        <f>(L60-L58)/E60</f>
        <v>0.65153368044440618</v>
      </c>
      <c r="T60" s="465">
        <f t="shared" si="0"/>
        <v>1.0842934589035613</v>
      </c>
    </row>
    <row r="61" spans="1:20" s="468" customFormat="1" hidden="1" x14ac:dyDescent="0.25">
      <c r="A61" s="466" t="s">
        <v>12</v>
      </c>
      <c r="B61" s="466">
        <v>2</v>
      </c>
      <c r="C61" s="466" t="s">
        <v>554</v>
      </c>
      <c r="D61" s="467">
        <v>1</v>
      </c>
      <c r="E61" s="466">
        <v>2098.0500000000002</v>
      </c>
      <c r="F61" s="466">
        <v>1398.7</v>
      </c>
      <c r="G61" s="466">
        <v>148.51449599999998</v>
      </c>
      <c r="H61" s="466">
        <v>0</v>
      </c>
      <c r="I61" s="466">
        <v>0</v>
      </c>
      <c r="J61" s="466">
        <v>156.12515150000016</v>
      </c>
      <c r="K61" s="466">
        <v>0</v>
      </c>
      <c r="L61" s="466">
        <v>3801.3896475000001</v>
      </c>
      <c r="M61" s="466">
        <v>1810.1855464285713</v>
      </c>
      <c r="N61" s="466">
        <v>156.12515150000016</v>
      </c>
      <c r="O61" s="461">
        <v>0</v>
      </c>
      <c r="P61" s="461">
        <v>1309</v>
      </c>
      <c r="Q61" s="465">
        <v>1.3828766588453563</v>
      </c>
      <c r="R61" s="469" t="s">
        <v>563</v>
      </c>
      <c r="S61" s="465">
        <f>(L61-L58)/E61</f>
        <v>0.6218000515514841</v>
      </c>
      <c r="T61" s="465">
        <f t="shared" si="0"/>
        <v>1.3260811582814942</v>
      </c>
    </row>
    <row r="62" spans="1:20" s="468" customFormat="1" hidden="1" x14ac:dyDescent="0.25">
      <c r="A62" s="466" t="s">
        <v>12</v>
      </c>
      <c r="B62" s="466">
        <v>3</v>
      </c>
      <c r="C62" s="466" t="s">
        <v>554</v>
      </c>
      <c r="D62" s="467">
        <v>0</v>
      </c>
      <c r="E62" s="466">
        <v>0</v>
      </c>
      <c r="F62" s="466">
        <v>1398.7</v>
      </c>
      <c r="G62" s="466">
        <v>698.17283380000003</v>
      </c>
      <c r="H62" s="466">
        <v>402.11344464487013</v>
      </c>
      <c r="I62" s="466">
        <v>0</v>
      </c>
      <c r="J62" s="466">
        <v>470.21454284999959</v>
      </c>
      <c r="K62" s="466">
        <v>0</v>
      </c>
      <c r="L62" s="466">
        <v>2969.2008212948699</v>
      </c>
      <c r="M62" s="466">
        <v>1237.1670088728624</v>
      </c>
      <c r="N62" s="466">
        <v>470.21454284999959</v>
      </c>
      <c r="O62" s="461">
        <v>0</v>
      </c>
      <c r="P62" s="461">
        <v>1309</v>
      </c>
      <c r="Q62" s="465">
        <v>0.9451237653726986</v>
      </c>
      <c r="R62" s="469">
        <v>5.4876234627301401E-2</v>
      </c>
      <c r="S62"/>
      <c r="T62" s="465">
        <f t="shared" si="0"/>
        <v>0.79545017775810745</v>
      </c>
    </row>
    <row r="63" spans="1:20" s="468" customFormat="1" hidden="1" x14ac:dyDescent="0.25">
      <c r="A63" s="466" t="s">
        <v>12</v>
      </c>
      <c r="B63" s="466">
        <v>3</v>
      </c>
      <c r="C63" s="466" t="s">
        <v>554</v>
      </c>
      <c r="D63" s="467">
        <v>0.5</v>
      </c>
      <c r="E63" s="466">
        <v>699.35</v>
      </c>
      <c r="F63" s="466">
        <v>1398.7</v>
      </c>
      <c r="G63" s="466">
        <v>698.17283380000003</v>
      </c>
      <c r="H63" s="466">
        <v>227.6147799673052</v>
      </c>
      <c r="I63" s="466">
        <v>0</v>
      </c>
      <c r="J63" s="466">
        <v>198.83177535000007</v>
      </c>
      <c r="K63" s="466">
        <v>0</v>
      </c>
      <c r="L63" s="466">
        <v>3222.6693891173054</v>
      </c>
      <c r="M63" s="466">
        <v>1342.7789121322107</v>
      </c>
      <c r="N63" s="466">
        <v>198.83177535000007</v>
      </c>
      <c r="O63" s="461">
        <v>0</v>
      </c>
      <c r="P63" s="461">
        <v>1309</v>
      </c>
      <c r="Q63" s="465">
        <v>1.0258051276793054</v>
      </c>
      <c r="R63" s="469" t="s">
        <v>563</v>
      </c>
      <c r="S63" s="465">
        <f>(L63-L62)/E63</f>
        <v>0.36243450035380781</v>
      </c>
      <c r="T63" s="465">
        <f t="shared" si="0"/>
        <v>0.96251515589741077</v>
      </c>
    </row>
    <row r="64" spans="1:20" s="473" customFormat="1" ht="13" x14ac:dyDescent="0.3">
      <c r="A64" s="476" t="s">
        <v>12</v>
      </c>
      <c r="B64" s="476">
        <v>3</v>
      </c>
      <c r="C64" s="476" t="s">
        <v>554</v>
      </c>
      <c r="D64" s="477">
        <v>1</v>
      </c>
      <c r="E64" s="476">
        <v>1398.7</v>
      </c>
      <c r="F64" s="476">
        <v>1398.7</v>
      </c>
      <c r="G64" s="476">
        <v>601.49917905999996</v>
      </c>
      <c r="H64" s="476">
        <v>53.116115289740293</v>
      </c>
      <c r="I64" s="476">
        <v>0</v>
      </c>
      <c r="J64" s="476">
        <v>238.87902758670813</v>
      </c>
      <c r="K64" s="476">
        <v>0</v>
      </c>
      <c r="L64" s="476">
        <v>3690.8943219364483</v>
      </c>
      <c r="M64" s="476">
        <v>1537.8726341401868</v>
      </c>
      <c r="N64" s="448">
        <v>238.87902758670813</v>
      </c>
      <c r="O64" s="268">
        <v>0</v>
      </c>
      <c r="P64" s="461">
        <v>1309</v>
      </c>
      <c r="Q64" s="471">
        <v>1.174845404232381</v>
      </c>
      <c r="R64" s="472" t="s">
        <v>563</v>
      </c>
      <c r="S64" s="478">
        <f>(L64-L62)/E64</f>
        <v>0.51597447675811703</v>
      </c>
      <c r="T64" s="465">
        <f t="shared" si="0"/>
        <v>1.0988080259580277</v>
      </c>
    </row>
    <row r="65" spans="1:20" s="468" customFormat="1" hidden="1" x14ac:dyDescent="0.25">
      <c r="A65" s="466" t="s">
        <v>12</v>
      </c>
      <c r="B65" s="466">
        <v>3</v>
      </c>
      <c r="C65" s="466" t="s">
        <v>554</v>
      </c>
      <c r="D65" s="467">
        <v>1</v>
      </c>
      <c r="E65" s="466">
        <v>2098.0500000000002</v>
      </c>
      <c r="F65" s="466">
        <v>1398.7</v>
      </c>
      <c r="G65" s="466">
        <v>601.49917905999996</v>
      </c>
      <c r="H65" s="466">
        <v>0</v>
      </c>
      <c r="I65" s="466">
        <v>0</v>
      </c>
      <c r="J65" s="466">
        <v>20.346794799999515</v>
      </c>
      <c r="K65" s="466">
        <v>0</v>
      </c>
      <c r="L65" s="466">
        <v>4118.5959738599995</v>
      </c>
      <c r="M65" s="466">
        <v>1716.0816557749999</v>
      </c>
      <c r="N65" s="466">
        <v>20.346794799999515</v>
      </c>
      <c r="O65" s="461">
        <v>0</v>
      </c>
      <c r="P65" s="461">
        <v>1309</v>
      </c>
      <c r="Q65" s="465">
        <v>1.3109867500190986</v>
      </c>
      <c r="R65" s="469" t="s">
        <v>563</v>
      </c>
      <c r="S65" s="465">
        <f>(L65-L62)/E65</f>
        <v>0.54783973335484359</v>
      </c>
      <c r="T65" s="465">
        <f t="shared" si="0"/>
        <v>1.3045101792271454</v>
      </c>
    </row>
    <row r="66" spans="1:20" hidden="1" x14ac:dyDescent="0.25">
      <c r="A66" s="461" t="s">
        <v>12</v>
      </c>
      <c r="B66" s="461">
        <v>0</v>
      </c>
      <c r="C66" s="461" t="s">
        <v>555</v>
      </c>
      <c r="D66" s="465">
        <v>0</v>
      </c>
      <c r="E66" s="461">
        <v>0</v>
      </c>
      <c r="F66" s="461">
        <v>2098.0500000000002</v>
      </c>
      <c r="G66" s="461">
        <v>0</v>
      </c>
      <c r="H66" s="461">
        <v>0</v>
      </c>
      <c r="I66" s="461">
        <v>0</v>
      </c>
      <c r="J66" s="461">
        <v>295.4110224999996</v>
      </c>
      <c r="K66" s="461">
        <v>0</v>
      </c>
      <c r="L66" s="461">
        <v>2393.4610224999997</v>
      </c>
      <c r="M66" s="461">
        <v>1595.6406816666665</v>
      </c>
      <c r="N66" s="461">
        <v>295.4110224999996</v>
      </c>
      <c r="O66" s="461">
        <v>0</v>
      </c>
      <c r="P66" s="461">
        <v>1309</v>
      </c>
      <c r="Q66" s="465">
        <v>1.2189768385536031</v>
      </c>
      <c r="R66" s="469" t="s">
        <v>563</v>
      </c>
      <c r="T66" s="465">
        <f t="shared" si="0"/>
        <v>1.0685255920550039</v>
      </c>
    </row>
    <row r="67" spans="1:20" hidden="1" x14ac:dyDescent="0.25">
      <c r="A67" s="461" t="s">
        <v>12</v>
      </c>
      <c r="B67" s="461">
        <v>0</v>
      </c>
      <c r="C67" s="461" t="s">
        <v>555</v>
      </c>
      <c r="D67" s="465">
        <v>0.5</v>
      </c>
      <c r="E67" s="461">
        <v>699.35</v>
      </c>
      <c r="F67" s="461">
        <v>2098.0500000000002</v>
      </c>
      <c r="G67" s="461">
        <v>0</v>
      </c>
      <c r="H67" s="461">
        <v>0</v>
      </c>
      <c r="I67" s="461">
        <v>0</v>
      </c>
      <c r="J67" s="461">
        <v>24.028254999999888</v>
      </c>
      <c r="K67" s="461">
        <v>0</v>
      </c>
      <c r="L67" s="461">
        <v>2821.4282549999998</v>
      </c>
      <c r="M67" s="461">
        <v>1880.9521699999998</v>
      </c>
      <c r="N67" s="461">
        <v>24.028254999999888</v>
      </c>
      <c r="O67" s="461">
        <v>0</v>
      </c>
      <c r="P67" s="461">
        <v>1309</v>
      </c>
      <c r="Q67" s="465">
        <v>1.4369382505729562</v>
      </c>
      <c r="R67" s="469" t="s">
        <v>563</v>
      </c>
      <c r="S67" s="465">
        <f>(L67-L66)/E67</f>
        <v>0.61195000000000022</v>
      </c>
      <c r="T67" s="465">
        <f t="shared" ref="T67:T81" si="1">(L67-J67)*Q67/L67</f>
        <v>1.4247007894066717</v>
      </c>
    </row>
    <row r="68" spans="1:20" x14ac:dyDescent="0.25">
      <c r="A68" s="461" t="s">
        <v>12</v>
      </c>
      <c r="B68" s="461">
        <v>0</v>
      </c>
      <c r="C68" s="461" t="s">
        <v>555</v>
      </c>
      <c r="D68" s="465">
        <v>1</v>
      </c>
      <c r="E68" s="461">
        <v>1398.7</v>
      </c>
      <c r="F68" s="461">
        <v>2098.0500000000002</v>
      </c>
      <c r="G68" s="461">
        <v>0</v>
      </c>
      <c r="H68" s="461">
        <v>0</v>
      </c>
      <c r="I68" s="461">
        <v>0</v>
      </c>
      <c r="J68" s="461">
        <v>0</v>
      </c>
      <c r="K68" s="461">
        <v>-86.061439929424481</v>
      </c>
      <c r="L68" s="461">
        <v>3410.6885600705755</v>
      </c>
      <c r="M68" s="461">
        <v>2273.7923733803837</v>
      </c>
      <c r="N68" s="461">
        <v>0</v>
      </c>
      <c r="O68" s="461">
        <v>0</v>
      </c>
      <c r="P68" s="461">
        <v>1309</v>
      </c>
      <c r="Q68" s="465">
        <v>1.7370453578154192</v>
      </c>
      <c r="R68" s="469" t="s">
        <v>563</v>
      </c>
      <c r="S68" s="465">
        <f>(L68-L66)/E68</f>
        <v>0.7272664170805575</v>
      </c>
      <c r="T68" s="465">
        <f t="shared" si="1"/>
        <v>1.7370453578154192</v>
      </c>
    </row>
    <row r="69" spans="1:20" hidden="1" x14ac:dyDescent="0.25">
      <c r="A69" s="461" t="s">
        <v>12</v>
      </c>
      <c r="B69" s="461">
        <v>0</v>
      </c>
      <c r="C69" s="461" t="s">
        <v>555</v>
      </c>
      <c r="D69" s="465">
        <v>1</v>
      </c>
      <c r="E69" s="461">
        <v>2098.0500000000002</v>
      </c>
      <c r="F69" s="461">
        <v>2098.0500000000002</v>
      </c>
      <c r="G69" s="461">
        <v>0</v>
      </c>
      <c r="H69" s="461">
        <v>0</v>
      </c>
      <c r="I69" s="461">
        <v>0</v>
      </c>
      <c r="J69" s="461">
        <v>0</v>
      </c>
      <c r="K69" s="461">
        <v>-190.32917068914978</v>
      </c>
      <c r="L69" s="461">
        <v>4005.7708293108508</v>
      </c>
      <c r="M69" s="461">
        <v>2670.513886207234</v>
      </c>
      <c r="N69" s="461">
        <v>0</v>
      </c>
      <c r="O69" s="461">
        <v>0</v>
      </c>
      <c r="P69" s="461">
        <v>1309</v>
      </c>
      <c r="Q69" s="465">
        <v>2.040117560127757</v>
      </c>
      <c r="R69" s="469" t="s">
        <v>563</v>
      </c>
      <c r="S69" s="465">
        <f>(L69-L66)/E69</f>
        <v>0.76848016339498626</v>
      </c>
      <c r="T69" s="465">
        <f t="shared" si="1"/>
        <v>2.040117560127757</v>
      </c>
    </row>
    <row r="70" spans="1:20" hidden="1" x14ac:dyDescent="0.25">
      <c r="A70" s="461" t="s">
        <v>12</v>
      </c>
      <c r="B70" s="461">
        <v>1</v>
      </c>
      <c r="C70" s="461" t="s">
        <v>555</v>
      </c>
      <c r="D70" s="465">
        <v>0</v>
      </c>
      <c r="E70" s="461">
        <v>0</v>
      </c>
      <c r="F70" s="461">
        <v>2098.0500000000002</v>
      </c>
      <c r="G70" s="461">
        <v>0</v>
      </c>
      <c r="H70" s="461">
        <v>0</v>
      </c>
      <c r="I70" s="461">
        <v>0</v>
      </c>
      <c r="J70" s="461">
        <v>481.26607749999982</v>
      </c>
      <c r="K70" s="461">
        <v>0</v>
      </c>
      <c r="L70" s="461">
        <v>2579.3160775000001</v>
      </c>
      <c r="M70" s="461">
        <v>1432.953376388889</v>
      </c>
      <c r="N70" s="461">
        <v>481.26607749999982</v>
      </c>
      <c r="O70" s="461">
        <v>0</v>
      </c>
      <c r="P70" s="461">
        <v>1309</v>
      </c>
      <c r="Q70" s="465">
        <v>1.0946931828792124</v>
      </c>
      <c r="R70" s="469" t="s">
        <v>563</v>
      </c>
      <c r="T70" s="465">
        <f t="shared" si="1"/>
        <v>0.89043799337916996</v>
      </c>
    </row>
    <row r="71" spans="1:20" hidden="1" x14ac:dyDescent="0.25">
      <c r="A71" s="461" t="s">
        <v>12</v>
      </c>
      <c r="B71" s="461">
        <v>1</v>
      </c>
      <c r="C71" s="461" t="s">
        <v>555</v>
      </c>
      <c r="D71" s="465">
        <v>0.5</v>
      </c>
      <c r="E71" s="461">
        <v>699.35</v>
      </c>
      <c r="F71" s="461">
        <v>2098.0500000000002</v>
      </c>
      <c r="G71" s="461">
        <v>0</v>
      </c>
      <c r="H71" s="461">
        <v>0</v>
      </c>
      <c r="I71" s="461">
        <v>0</v>
      </c>
      <c r="J71" s="461">
        <v>209.88330999999965</v>
      </c>
      <c r="K71" s="461">
        <v>0</v>
      </c>
      <c r="L71" s="461">
        <v>3007.2833099999998</v>
      </c>
      <c r="M71" s="461">
        <v>1670.7129499999999</v>
      </c>
      <c r="N71" s="461">
        <v>209.88330999999965</v>
      </c>
      <c r="O71" s="461">
        <v>0</v>
      </c>
      <c r="P71" s="461">
        <v>1309</v>
      </c>
      <c r="Q71" s="465">
        <v>1.2763276928953398</v>
      </c>
      <c r="R71" s="469" t="s">
        <v>563</v>
      </c>
      <c r="S71" s="465">
        <f>(L71-L70)/E71</f>
        <v>0.61194999999999955</v>
      </c>
      <c r="T71" s="465">
        <f t="shared" si="1"/>
        <v>1.1872506578388931</v>
      </c>
    </row>
    <row r="72" spans="1:20" x14ac:dyDescent="0.25">
      <c r="A72" s="461" t="s">
        <v>12</v>
      </c>
      <c r="B72" s="461">
        <v>1</v>
      </c>
      <c r="C72" s="461" t="s">
        <v>555</v>
      </c>
      <c r="D72" s="465">
        <v>1</v>
      </c>
      <c r="E72" s="461">
        <v>1398.7</v>
      </c>
      <c r="F72" s="461">
        <v>2098.0500000000002</v>
      </c>
      <c r="G72" s="461">
        <v>0</v>
      </c>
      <c r="H72" s="461">
        <v>0</v>
      </c>
      <c r="I72" s="461">
        <v>0</v>
      </c>
      <c r="J72" s="461">
        <v>118.78459249999996</v>
      </c>
      <c r="K72" s="461">
        <v>-8.3384180392352398</v>
      </c>
      <c r="L72" s="461">
        <v>3607.1961744607647</v>
      </c>
      <c r="M72" s="461">
        <v>2003.9978747004247</v>
      </c>
      <c r="N72" s="461">
        <v>118.78459249999996</v>
      </c>
      <c r="O72" s="461">
        <v>0</v>
      </c>
      <c r="P72" s="461">
        <v>1309</v>
      </c>
      <c r="Q72" s="465">
        <v>1.5309380249812259</v>
      </c>
      <c r="R72" s="469" t="s">
        <v>563</v>
      </c>
      <c r="S72" s="465">
        <f>(L72-L70)/E72</f>
        <v>0.73488246011350866</v>
      </c>
      <c r="T72" s="465">
        <f t="shared" si="1"/>
        <v>1.4805243960448027</v>
      </c>
    </row>
    <row r="73" spans="1:20" hidden="1" x14ac:dyDescent="0.25">
      <c r="A73" s="461" t="s">
        <v>12</v>
      </c>
      <c r="B73" s="461">
        <v>1</v>
      </c>
      <c r="C73" s="461" t="s">
        <v>555</v>
      </c>
      <c r="D73" s="465">
        <v>1</v>
      </c>
      <c r="E73" s="461">
        <v>2098.0500000000002</v>
      </c>
      <c r="F73" s="461">
        <v>2098.0500000000002</v>
      </c>
      <c r="G73" s="461">
        <v>0</v>
      </c>
      <c r="H73" s="461">
        <v>0</v>
      </c>
      <c r="I73" s="461">
        <v>0</v>
      </c>
      <c r="J73" s="461">
        <v>0</v>
      </c>
      <c r="K73" s="461">
        <v>-112.60614879896053</v>
      </c>
      <c r="L73" s="461">
        <v>4083.4938512010399</v>
      </c>
      <c r="M73" s="461">
        <v>2268.6076951116888</v>
      </c>
      <c r="N73" s="461">
        <v>0</v>
      </c>
      <c r="O73" s="461">
        <v>0</v>
      </c>
      <c r="P73" s="461">
        <v>1309</v>
      </c>
      <c r="Q73" s="465">
        <v>1.7330845646384176</v>
      </c>
      <c r="R73" s="469" t="s">
        <v>563</v>
      </c>
      <c r="S73" s="465">
        <f>(L73-L70)/E73</f>
        <v>0.71694086113345235</v>
      </c>
      <c r="T73" s="465">
        <f t="shared" si="1"/>
        <v>1.7330845646384176</v>
      </c>
    </row>
    <row r="74" spans="1:20" hidden="1" x14ac:dyDescent="0.25">
      <c r="A74" s="461" t="s">
        <v>12</v>
      </c>
      <c r="B74" s="461">
        <v>2</v>
      </c>
      <c r="C74" s="461" t="s">
        <v>555</v>
      </c>
      <c r="D74" s="465">
        <v>0</v>
      </c>
      <c r="E74" s="461">
        <v>0</v>
      </c>
      <c r="F74" s="461">
        <v>2098.0500000000002</v>
      </c>
      <c r="G74" s="461">
        <v>183.21428917999998</v>
      </c>
      <c r="H74" s="461">
        <v>106.52656054361321</v>
      </c>
      <c r="I74" s="461">
        <v>0</v>
      </c>
      <c r="J74" s="461">
        <v>412.61270875910469</v>
      </c>
      <c r="K74" s="461">
        <v>0</v>
      </c>
      <c r="L74" s="461">
        <v>2800.4035584827179</v>
      </c>
      <c r="M74" s="461">
        <v>1333.5255040393895</v>
      </c>
      <c r="N74" s="461">
        <v>412.61270875910469</v>
      </c>
      <c r="O74" s="461">
        <v>0</v>
      </c>
      <c r="P74" s="461">
        <v>1309</v>
      </c>
      <c r="Q74" s="465">
        <v>1.0187360611454466</v>
      </c>
      <c r="R74" s="469" t="s">
        <v>563</v>
      </c>
      <c r="T74" s="465">
        <f t="shared" si="1"/>
        <v>0.86863503573197032</v>
      </c>
    </row>
    <row r="75" spans="1:20" hidden="1" x14ac:dyDescent="0.25">
      <c r="A75" s="461" t="s">
        <v>12</v>
      </c>
      <c r="B75" s="461">
        <v>2</v>
      </c>
      <c r="C75" s="461" t="s">
        <v>555</v>
      </c>
      <c r="D75" s="465">
        <v>0.5</v>
      </c>
      <c r="E75" s="461">
        <v>699.35</v>
      </c>
      <c r="F75" s="461">
        <v>2098.0500000000002</v>
      </c>
      <c r="G75" s="461">
        <v>183.21428917999998</v>
      </c>
      <c r="H75" s="461">
        <v>0</v>
      </c>
      <c r="I75" s="461">
        <v>0</v>
      </c>
      <c r="J75" s="461">
        <v>247.22386899999984</v>
      </c>
      <c r="K75" s="461">
        <v>0</v>
      </c>
      <c r="L75" s="461">
        <v>3227.8381581799999</v>
      </c>
      <c r="M75" s="461">
        <v>1537.0657896095238</v>
      </c>
      <c r="N75" s="461">
        <v>247.22386899999984</v>
      </c>
      <c r="O75" s="461">
        <v>0</v>
      </c>
      <c r="P75" s="461">
        <v>1309</v>
      </c>
      <c r="Q75" s="465">
        <v>1.1742290218560152</v>
      </c>
      <c r="R75" s="469" t="s">
        <v>563</v>
      </c>
      <c r="S75" s="465">
        <f>(L75-L74)/E75</f>
        <v>0.61118838878570392</v>
      </c>
      <c r="T75" s="465">
        <f t="shared" si="1"/>
        <v>1.0842934589035615</v>
      </c>
    </row>
    <row r="76" spans="1:20" x14ac:dyDescent="0.25">
      <c r="A76" s="461" t="s">
        <v>12</v>
      </c>
      <c r="B76" s="461">
        <v>2</v>
      </c>
      <c r="C76" s="461" t="s">
        <v>555</v>
      </c>
      <c r="D76" s="465">
        <v>1</v>
      </c>
      <c r="E76" s="461">
        <v>1398.7</v>
      </c>
      <c r="F76" s="461">
        <v>2098.0500000000002</v>
      </c>
      <c r="G76" s="461">
        <v>148.51449599999998</v>
      </c>
      <c r="H76" s="461">
        <v>0</v>
      </c>
      <c r="I76" s="461">
        <v>0</v>
      </c>
      <c r="J76" s="461">
        <v>156.12515150000016</v>
      </c>
      <c r="K76" s="461">
        <v>0</v>
      </c>
      <c r="L76" s="461">
        <v>3801.3896475000001</v>
      </c>
      <c r="M76" s="461">
        <v>1810.1855464285713</v>
      </c>
      <c r="N76" s="461">
        <v>156.12515150000016</v>
      </c>
      <c r="O76" s="461">
        <v>0</v>
      </c>
      <c r="P76" s="461">
        <v>1309</v>
      </c>
      <c r="Q76" s="465">
        <v>1.3828766588453563</v>
      </c>
      <c r="R76" s="469" t="s">
        <v>563</v>
      </c>
      <c r="S76" s="465">
        <f>(L76-L74)/E76</f>
        <v>0.71565459999805692</v>
      </c>
      <c r="T76" s="465">
        <f t="shared" si="1"/>
        <v>1.3260811582814942</v>
      </c>
    </row>
    <row r="77" spans="1:20" hidden="1" x14ac:dyDescent="0.25">
      <c r="A77" s="461" t="s">
        <v>12</v>
      </c>
      <c r="B77" s="461">
        <v>2</v>
      </c>
      <c r="C77" s="461" t="s">
        <v>555</v>
      </c>
      <c r="D77" s="465">
        <v>1</v>
      </c>
      <c r="E77" s="461">
        <v>2098.0500000000002</v>
      </c>
      <c r="F77" s="461">
        <v>2098.0500000000002</v>
      </c>
      <c r="G77" s="461">
        <v>148.51449599999998</v>
      </c>
      <c r="H77" s="461">
        <v>0</v>
      </c>
      <c r="I77" s="461">
        <v>0</v>
      </c>
      <c r="J77" s="461">
        <v>0</v>
      </c>
      <c r="K77" s="461">
        <v>-34.883126908771331</v>
      </c>
      <c r="L77" s="461">
        <v>4309.7313690912288</v>
      </c>
      <c r="M77" s="461">
        <v>2052.2530329005849</v>
      </c>
      <c r="N77" s="461">
        <v>0</v>
      </c>
      <c r="O77" s="461">
        <v>0</v>
      </c>
      <c r="P77" s="461">
        <v>1309</v>
      </c>
      <c r="Q77" s="465">
        <v>1.5678021641715698</v>
      </c>
      <c r="R77" s="469" t="s">
        <v>563</v>
      </c>
      <c r="S77" s="465">
        <f>(L77-L74)/E77</f>
        <v>0.71939553900455699</v>
      </c>
      <c r="T77" s="465">
        <f t="shared" si="1"/>
        <v>1.5678021641715698</v>
      </c>
    </row>
    <row r="78" spans="1:20" hidden="1" x14ac:dyDescent="0.25">
      <c r="A78" s="461" t="s">
        <v>12</v>
      </c>
      <c r="B78" s="461">
        <v>3</v>
      </c>
      <c r="C78" s="461" t="s">
        <v>555</v>
      </c>
      <c r="D78" s="465">
        <v>0</v>
      </c>
      <c r="E78" s="461">
        <v>0</v>
      </c>
      <c r="F78" s="461">
        <v>2098.0500000000002</v>
      </c>
      <c r="G78" s="461">
        <v>601.49917905999996</v>
      </c>
      <c r="H78" s="461">
        <v>227.6147799673052</v>
      </c>
      <c r="I78" s="461">
        <v>0</v>
      </c>
      <c r="J78" s="461">
        <v>198.83177534999962</v>
      </c>
      <c r="K78" s="461">
        <v>0</v>
      </c>
      <c r="L78" s="461">
        <v>3125.9957343773049</v>
      </c>
      <c r="M78" s="461">
        <v>1302.4982226572104</v>
      </c>
      <c r="N78" s="461">
        <v>198.83177534999962</v>
      </c>
      <c r="O78" s="461">
        <v>0</v>
      </c>
      <c r="P78" s="461">
        <v>1309</v>
      </c>
      <c r="Q78" s="465">
        <v>0.99503301960061907</v>
      </c>
      <c r="R78" s="469">
        <v>4.9669803993809269E-3</v>
      </c>
      <c r="T78" s="465">
        <f t="shared" si="1"/>
        <v>0.93174304781872463</v>
      </c>
    </row>
    <row r="79" spans="1:20" hidden="1" x14ac:dyDescent="0.25">
      <c r="A79" s="461" t="s">
        <v>12</v>
      </c>
      <c r="B79" s="461">
        <v>3</v>
      </c>
      <c r="C79" s="461" t="s">
        <v>555</v>
      </c>
      <c r="D79" s="465">
        <v>0.5</v>
      </c>
      <c r="E79" s="461">
        <v>699.35</v>
      </c>
      <c r="F79" s="461">
        <v>2098.0500000000002</v>
      </c>
      <c r="G79" s="461">
        <v>601.49917905999996</v>
      </c>
      <c r="H79" s="461">
        <v>53.116115289740293</v>
      </c>
      <c r="I79" s="461">
        <v>0</v>
      </c>
      <c r="J79" s="461">
        <v>58.594977586708545</v>
      </c>
      <c r="K79" s="461">
        <v>0</v>
      </c>
      <c r="L79" s="461">
        <v>3510.610271936449</v>
      </c>
      <c r="M79" s="461">
        <v>1462.7542799735204</v>
      </c>
      <c r="N79" s="461">
        <v>58.594977586708545</v>
      </c>
      <c r="O79" s="461">
        <v>0</v>
      </c>
      <c r="P79" s="461">
        <v>1309</v>
      </c>
      <c r="Q79" s="465">
        <v>1.1174593429897024</v>
      </c>
      <c r="R79" s="469" t="s">
        <v>563</v>
      </c>
      <c r="S79" s="465">
        <f>(L79-L78)/E79</f>
        <v>0.54996001652841076</v>
      </c>
      <c r="T79" s="465">
        <f t="shared" si="1"/>
        <v>1.098808025958028</v>
      </c>
    </row>
    <row r="80" spans="1:20" x14ac:dyDescent="0.25">
      <c r="A80" s="461" t="s">
        <v>12</v>
      </c>
      <c r="B80" s="461">
        <v>3</v>
      </c>
      <c r="C80" s="461" t="s">
        <v>555</v>
      </c>
      <c r="D80" s="465">
        <v>1</v>
      </c>
      <c r="E80" s="461">
        <v>1398.7</v>
      </c>
      <c r="F80" s="461">
        <v>2098.0500000000002</v>
      </c>
      <c r="G80" s="461">
        <v>601.49917905999996</v>
      </c>
      <c r="H80" s="461">
        <v>0</v>
      </c>
      <c r="I80" s="461">
        <v>0</v>
      </c>
      <c r="J80" s="461">
        <v>20.346794799999515</v>
      </c>
      <c r="K80" s="461">
        <v>0</v>
      </c>
      <c r="L80" s="461">
        <v>4118.5959738599995</v>
      </c>
      <c r="M80" s="461">
        <v>1716.0816557749999</v>
      </c>
      <c r="N80" s="461">
        <v>20.346794799999515</v>
      </c>
      <c r="O80" s="461">
        <v>0</v>
      </c>
      <c r="P80" s="461">
        <v>1309</v>
      </c>
      <c r="Q80" s="465">
        <v>1.3109867500190986</v>
      </c>
      <c r="R80" s="469" t="s">
        <v>563</v>
      </c>
      <c r="S80" s="465">
        <f>(L80-L78)/E80</f>
        <v>0.70965914026073829</v>
      </c>
      <c r="T80" s="465">
        <f t="shared" si="1"/>
        <v>1.3045101792271454</v>
      </c>
    </row>
    <row r="81" spans="1:20" hidden="1" x14ac:dyDescent="0.25">
      <c r="A81" s="461" t="s">
        <v>12</v>
      </c>
      <c r="B81" s="461">
        <v>3</v>
      </c>
      <c r="C81" s="461" t="s">
        <v>555</v>
      </c>
      <c r="D81" s="465">
        <v>1</v>
      </c>
      <c r="E81" s="461">
        <v>2098.0500000000002</v>
      </c>
      <c r="F81" s="461">
        <v>2098.0500000000002</v>
      </c>
      <c r="G81" s="461">
        <v>532.0995926999999</v>
      </c>
      <c r="H81" s="461">
        <v>0</v>
      </c>
      <c r="I81" s="461">
        <v>0</v>
      </c>
      <c r="J81" s="461">
        <v>0</v>
      </c>
      <c r="K81" s="461">
        <v>0</v>
      </c>
      <c r="L81" s="461">
        <v>4728.1995927000007</v>
      </c>
      <c r="M81" s="461">
        <v>1970.0831636250005</v>
      </c>
      <c r="N81" s="461">
        <v>0</v>
      </c>
      <c r="O81" s="461">
        <v>0</v>
      </c>
      <c r="P81" s="461">
        <v>1309</v>
      </c>
      <c r="Q81" s="465">
        <v>1.505029154793736</v>
      </c>
      <c r="R81" s="469" t="s">
        <v>563</v>
      </c>
      <c r="S81" s="465">
        <f>(L81-L78)/E81</f>
        <v>0.76366333420209043</v>
      </c>
      <c r="T81" s="465">
        <f t="shared" si="1"/>
        <v>1.505029154793736</v>
      </c>
    </row>
  </sheetData>
  <autoFilter ref="A1:U81" xr:uid="{06BA5670-E00D-4C7C-B258-F1FFD02B92CB}">
    <filterColumn colId="0">
      <filters>
        <filter val="couple"/>
      </filters>
    </filterColumn>
    <filterColumn colId="4">
      <filters>
        <filter val="1399"/>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463</vt:i4>
      </vt:variant>
    </vt:vector>
  </HeadingPairs>
  <TitlesOfParts>
    <vt:vector size="468" baseType="lpstr">
      <vt:lpstr>Données 2024</vt:lpstr>
      <vt:lpstr>cas types</vt:lpstr>
      <vt:lpstr>Isole</vt:lpstr>
      <vt:lpstr>Cmono_ina</vt:lpstr>
      <vt:lpstr>synthese</vt:lpstr>
      <vt:lpstr>AAH_I0</vt:lpstr>
      <vt:lpstr>AAH_plaf_I0</vt:lpstr>
      <vt:lpstr>AAH_salmin_revact</vt:lpstr>
      <vt:lpstr>AAH_seuil_abat1</vt:lpstr>
      <vt:lpstr>AAH_Sup_enf</vt:lpstr>
      <vt:lpstr>AAH_taux_abat1</vt:lpstr>
      <vt:lpstr>AAH_taux_abat2</vt:lpstr>
      <vt:lpstr>ab</vt:lpstr>
      <vt:lpstr>ab_plaf1_couple_biact_ou_iso_1_enf</vt:lpstr>
      <vt:lpstr>ab_plaf1_couple_biact_ou_iso_2_enf</vt:lpstr>
      <vt:lpstr>ab_plaf1_couple_monact_2_enf</vt:lpstr>
      <vt:lpstr>ab_plaf1_couple_monoact_1_enf</vt:lpstr>
      <vt:lpstr>ab_plaf1_sup_enf</vt:lpstr>
      <vt:lpstr>ab_plaf2_couple_biact_ou_iso_1_enf</vt:lpstr>
      <vt:lpstr>ab_plaf2_couple_biact_ou_iso_2_enf</vt:lpstr>
      <vt:lpstr>ab_plaf2_couple_monact_2_enf</vt:lpstr>
      <vt:lpstr>ab_plaf2_couple_monoact_1_enf</vt:lpstr>
      <vt:lpstr>ab_plaf2_sup_enf</vt:lpstr>
      <vt:lpstr>ab_réduit</vt:lpstr>
      <vt:lpstr>af_1</vt:lpstr>
      <vt:lpstr>af_2</vt:lpstr>
      <vt:lpstr>af_3</vt:lpstr>
      <vt:lpstr>af_4</vt:lpstr>
      <vt:lpstr>af_5</vt:lpstr>
      <vt:lpstr>af_6</vt:lpstr>
      <vt:lpstr>af_forfait</vt:lpstr>
      <vt:lpstr>af_majo_âge</vt:lpstr>
      <vt:lpstr>af_plaf_suppl_enf</vt:lpstr>
      <vt:lpstr>af_plaf1</vt:lpstr>
      <vt:lpstr>af_plaf2</vt:lpstr>
      <vt:lpstr>al_forf_charges_0_pac</vt:lpstr>
      <vt:lpstr>al_forf_charges_1_pac</vt:lpstr>
      <vt:lpstr>al_forf_charges_sup_pac</vt:lpstr>
      <vt:lpstr>al_loy_plaf_1_pac_z1</vt:lpstr>
      <vt:lpstr>al_loy_plaf_1_pac_z2</vt:lpstr>
      <vt:lpstr>al_loy_plaf_1_pac_z3</vt:lpstr>
      <vt:lpstr>al_loy_plaf_c0_z1</vt:lpstr>
      <vt:lpstr>al_loy_plaf_C0_z2</vt:lpstr>
      <vt:lpstr>al_loy_plaf_C0_z3</vt:lpstr>
      <vt:lpstr>al_loy_plaf_I0_z1</vt:lpstr>
      <vt:lpstr>al_loy_plaf_I0_z2</vt:lpstr>
      <vt:lpstr>al_loy_plaf_I0_z3</vt:lpstr>
      <vt:lpstr>al_loy_plaf_sup_pac_z1</vt:lpstr>
      <vt:lpstr>al_loy_plaf_sup_pac_z2</vt:lpstr>
      <vt:lpstr>al_loy_plaf_sup_pac_z3</vt:lpstr>
      <vt:lpstr>al_p0</vt:lpstr>
      <vt:lpstr>al_p0_taux</vt:lpstr>
      <vt:lpstr>al_R0_1pac</vt:lpstr>
      <vt:lpstr>al_R0_2pac</vt:lpstr>
      <vt:lpstr>al_R0_3pac</vt:lpstr>
      <vt:lpstr>al_R0_4pac</vt:lpstr>
      <vt:lpstr>al_R0_5pac</vt:lpstr>
      <vt:lpstr>al_R0_6pac</vt:lpstr>
      <vt:lpstr>al_R0_C0</vt:lpstr>
      <vt:lpstr>al_R0_I0</vt:lpstr>
      <vt:lpstr>al_R0_suppac</vt:lpstr>
      <vt:lpstr>al_reduc</vt:lpstr>
      <vt:lpstr>al_seuil_versement</vt:lpstr>
      <vt:lpstr>al_seuil1_deg_z1</vt:lpstr>
      <vt:lpstr>al_seuil1_deg_z2</vt:lpstr>
      <vt:lpstr>al_seuil1_deg_z3</vt:lpstr>
      <vt:lpstr>al_seuil2_deg_z1</vt:lpstr>
      <vt:lpstr>al_seuil2_deg_z2</vt:lpstr>
      <vt:lpstr>al_seuil2_deg_z3</vt:lpstr>
      <vt:lpstr>al_tf_1pac</vt:lpstr>
      <vt:lpstr>al_tf_2pac</vt:lpstr>
      <vt:lpstr>al_tf_3pac</vt:lpstr>
      <vt:lpstr>al_tf_4pac</vt:lpstr>
      <vt:lpstr>al_tf_C0</vt:lpstr>
      <vt:lpstr>al_tf_I0</vt:lpstr>
      <vt:lpstr>al_tf_suppac</vt:lpstr>
      <vt:lpstr>al_tl_z1</vt:lpstr>
      <vt:lpstr>al_tl_z2</vt:lpstr>
      <vt:lpstr>al_tl_z3</vt:lpstr>
      <vt:lpstr>ars_11_14</vt:lpstr>
      <vt:lpstr>ars_15_18</vt:lpstr>
      <vt:lpstr>ars_6_10</vt:lpstr>
      <vt:lpstr>ars_plaf_1_enf</vt:lpstr>
      <vt:lpstr>ars_plaf_sup_enf</vt:lpstr>
      <vt:lpstr>asf</vt:lpstr>
      <vt:lpstr>ASF_à_déduire_du_RSA</vt:lpstr>
      <vt:lpstr>assiette_csgcrds</vt:lpstr>
      <vt:lpstr>assmat_cout_brut_total</vt:lpstr>
      <vt:lpstr>assmat_nb_heures_par_jour</vt:lpstr>
      <vt:lpstr>assmat_nb_jour</vt:lpstr>
      <vt:lpstr>bcol_montant1</vt:lpstr>
      <vt:lpstr>bcol_montant2</vt:lpstr>
      <vt:lpstr>bcol_montant3</vt:lpstr>
      <vt:lpstr>bcol_seuil1_1enf</vt:lpstr>
      <vt:lpstr>bcol_seuil1_enf_sup</vt:lpstr>
      <vt:lpstr>bcol_seuil2_1enf</vt:lpstr>
      <vt:lpstr>bcol_seuil2_enf_sup</vt:lpstr>
      <vt:lpstr>bcol_seuil3_1enf</vt:lpstr>
      <vt:lpstr>bcol_seuil3_enf_sup</vt:lpstr>
      <vt:lpstr>blyc_1enf_seuil1</vt:lpstr>
      <vt:lpstr>blyc_1enf_seuil2</vt:lpstr>
      <vt:lpstr>blyc_1enf_seuil3</vt:lpstr>
      <vt:lpstr>blyc_1enf_seuil4</vt:lpstr>
      <vt:lpstr>blyc_1enf_seuil5</vt:lpstr>
      <vt:lpstr>blyc_1enf_seuil6</vt:lpstr>
      <vt:lpstr>blyc_2enf_seuil1</vt:lpstr>
      <vt:lpstr>blyc_2enf_seuil2</vt:lpstr>
      <vt:lpstr>blyc_2enf_seuil3</vt:lpstr>
      <vt:lpstr>blyc_2enf_seuil4</vt:lpstr>
      <vt:lpstr>blyc_2enf_seuil5</vt:lpstr>
      <vt:lpstr>blyc_2enf_seuil6</vt:lpstr>
      <vt:lpstr>blyc_3enf_seuil1</vt:lpstr>
      <vt:lpstr>blyc_3enf_seuil2</vt:lpstr>
      <vt:lpstr>blyc_3enf_seuil3</vt:lpstr>
      <vt:lpstr>blyc_3enf_seuil4</vt:lpstr>
      <vt:lpstr>blyc_3enf_seuil5</vt:lpstr>
      <vt:lpstr>blyc_3enf_seuil6</vt:lpstr>
      <vt:lpstr>blyc_4enf_seuil1</vt:lpstr>
      <vt:lpstr>blyc_4enf_seuil2</vt:lpstr>
      <vt:lpstr>blyc_4enf_seuil3</vt:lpstr>
      <vt:lpstr>blyc_4enf_seuil4</vt:lpstr>
      <vt:lpstr>blyc_4enf_seuil5</vt:lpstr>
      <vt:lpstr>blyc_4enf_seuil6</vt:lpstr>
      <vt:lpstr>blyc_5enf_seuil1</vt:lpstr>
      <vt:lpstr>blyc_5enf_seuil2</vt:lpstr>
      <vt:lpstr>blyc_5enf_seuil3</vt:lpstr>
      <vt:lpstr>blyc_5enf_seuil4</vt:lpstr>
      <vt:lpstr>blyc_5enf_seuil5</vt:lpstr>
      <vt:lpstr>blyc_5enf_seuil6</vt:lpstr>
      <vt:lpstr>blyc_6enf_seuil1</vt:lpstr>
      <vt:lpstr>blyc_6enf_seuil2</vt:lpstr>
      <vt:lpstr>blyc_6enf_seuil3</vt:lpstr>
      <vt:lpstr>blyc_6enf_seuil4</vt:lpstr>
      <vt:lpstr>blyc_6enf_seuil5</vt:lpstr>
      <vt:lpstr>blyc_6enf_seuil6</vt:lpstr>
      <vt:lpstr>blyc_montant_ech1</vt:lpstr>
      <vt:lpstr>blyc_montant_ech2</vt:lpstr>
      <vt:lpstr>blyc_montant_ech3</vt:lpstr>
      <vt:lpstr>blyc_montant_ech4</vt:lpstr>
      <vt:lpstr>blyc_montant_ech5</vt:lpstr>
      <vt:lpstr>blyc_montant_ech6</vt:lpstr>
      <vt:lpstr>bmaf</vt:lpstr>
      <vt:lpstr>bs_montant_ech0bis</vt:lpstr>
      <vt:lpstr>bs_montant_ech1</vt:lpstr>
      <vt:lpstr>bs_montant_ech2</vt:lpstr>
      <vt:lpstr>bs_montant_ech3</vt:lpstr>
      <vt:lpstr>bs_montant_ech4</vt:lpstr>
      <vt:lpstr>bs_montant_ech5</vt:lpstr>
      <vt:lpstr>bs_montant_ech6</vt:lpstr>
      <vt:lpstr>bs_montant_ech7</vt:lpstr>
      <vt:lpstr>bs_pc0_seuil1</vt:lpstr>
      <vt:lpstr>bs_pc0_seuil2</vt:lpstr>
      <vt:lpstr>bs_pc0_seuil3</vt:lpstr>
      <vt:lpstr>bs_pc0_seuil4</vt:lpstr>
      <vt:lpstr>bs_pc0_seuil5</vt:lpstr>
      <vt:lpstr>bs_pc0_seuil6</vt:lpstr>
      <vt:lpstr>bs_pc0_seuil7</vt:lpstr>
      <vt:lpstr>bs_pc0_seuil8</vt:lpstr>
      <vt:lpstr>bs_pc1_seuil1</vt:lpstr>
      <vt:lpstr>bs_pc1_seuil2</vt:lpstr>
      <vt:lpstr>bs_pc1_seuil3</vt:lpstr>
      <vt:lpstr>bs_pc1_seuil4</vt:lpstr>
      <vt:lpstr>bs_pc1_seuil5</vt:lpstr>
      <vt:lpstr>bs_pc1_seuil6</vt:lpstr>
      <vt:lpstr>bs_pc1_seuil7</vt:lpstr>
      <vt:lpstr>bs_pc1_seuil8</vt:lpstr>
      <vt:lpstr>bs_pc10_seuil1</vt:lpstr>
      <vt:lpstr>bs_pc10_seuil2</vt:lpstr>
      <vt:lpstr>bs_pc10_seuil3</vt:lpstr>
      <vt:lpstr>bs_pc10_seuil4</vt:lpstr>
      <vt:lpstr>bs_pc10_seuil5</vt:lpstr>
      <vt:lpstr>bs_pc10_seuil6</vt:lpstr>
      <vt:lpstr>bs_pc10_seuil7</vt:lpstr>
      <vt:lpstr>bs_pc10_seuil8</vt:lpstr>
      <vt:lpstr>bs_pc11_seuil1</vt:lpstr>
      <vt:lpstr>bs_pc11_seuil2</vt:lpstr>
      <vt:lpstr>bs_pc11_seuil3</vt:lpstr>
      <vt:lpstr>bs_pc11_seuil4</vt:lpstr>
      <vt:lpstr>bs_pc11_seuil5</vt:lpstr>
      <vt:lpstr>bs_pc11_seuil6</vt:lpstr>
      <vt:lpstr>bs_pc11_seuil7</vt:lpstr>
      <vt:lpstr>bs_pc11_seuil8</vt:lpstr>
      <vt:lpstr>bs_pc12_seuil1</vt:lpstr>
      <vt:lpstr>bs_pc12_seuil2</vt:lpstr>
      <vt:lpstr>bs_pc12_seuil3</vt:lpstr>
      <vt:lpstr>bs_pc12_seuil4</vt:lpstr>
      <vt:lpstr>bs_pc12_seuil5</vt:lpstr>
      <vt:lpstr>bs_pc12_seuil6</vt:lpstr>
      <vt:lpstr>bs_pc12_seuil7</vt:lpstr>
      <vt:lpstr>bs_pc12_seuil8</vt:lpstr>
      <vt:lpstr>bs_pc13_seuil1</vt:lpstr>
      <vt:lpstr>bs_pc13_seuil2</vt:lpstr>
      <vt:lpstr>bs_pc13_seuil3</vt:lpstr>
      <vt:lpstr>bs_pc13_seuil4</vt:lpstr>
      <vt:lpstr>bs_pc13_seuil5</vt:lpstr>
      <vt:lpstr>bs_pc13_seuil6</vt:lpstr>
      <vt:lpstr>bs_pc13_seuil7</vt:lpstr>
      <vt:lpstr>bs_pc13_seuil8</vt:lpstr>
      <vt:lpstr>bs_pc14_seuil1</vt:lpstr>
      <vt:lpstr>bs_pc14_seuil2</vt:lpstr>
      <vt:lpstr>bs_pc14_seuil3</vt:lpstr>
      <vt:lpstr>bs_pc14_seuil4</vt:lpstr>
      <vt:lpstr>bs_pc14_seuil5</vt:lpstr>
      <vt:lpstr>bs_pc14_seuil6</vt:lpstr>
      <vt:lpstr>bs_pc14_seuil7</vt:lpstr>
      <vt:lpstr>bs_pc14_seuil8</vt:lpstr>
      <vt:lpstr>bs_pc15_seuil1</vt:lpstr>
      <vt:lpstr>bs_pc15_seuil2</vt:lpstr>
      <vt:lpstr>bs_pc15_seuil3</vt:lpstr>
      <vt:lpstr>bs_pc15_seuil4</vt:lpstr>
      <vt:lpstr>bs_pc15_seuil5</vt:lpstr>
      <vt:lpstr>bs_pc15_seuil6</vt:lpstr>
      <vt:lpstr>bs_pc15_seuil7</vt:lpstr>
      <vt:lpstr>bs_pc15_seuil8</vt:lpstr>
      <vt:lpstr>bs_pc16_seuil1</vt:lpstr>
      <vt:lpstr>bs_pc16_seuil2</vt:lpstr>
      <vt:lpstr>bs_pc16_seuil3</vt:lpstr>
      <vt:lpstr>bs_pc16_seuil4</vt:lpstr>
      <vt:lpstr>bs_pc16_seuil5</vt:lpstr>
      <vt:lpstr>bs_pc16_seuil6</vt:lpstr>
      <vt:lpstr>bs_pc16_seuil7</vt:lpstr>
      <vt:lpstr>bs_pc16_seuil8</vt:lpstr>
      <vt:lpstr>bs_pc17_seuil1</vt:lpstr>
      <vt:lpstr>bs_pc17_seuil2</vt:lpstr>
      <vt:lpstr>bs_pc17_seuil3</vt:lpstr>
      <vt:lpstr>bs_pc17_seuil4</vt:lpstr>
      <vt:lpstr>bs_pc17_seuil5</vt:lpstr>
      <vt:lpstr>bs_pc17_seuil6</vt:lpstr>
      <vt:lpstr>bs_pc17_seuil7</vt:lpstr>
      <vt:lpstr>bs_pc17_seuil8</vt:lpstr>
      <vt:lpstr>bs_pc2_seuil1</vt:lpstr>
      <vt:lpstr>bs_pc2_seuil2</vt:lpstr>
      <vt:lpstr>bs_pc2_seuil3</vt:lpstr>
      <vt:lpstr>bs_pc2_seuil4</vt:lpstr>
      <vt:lpstr>bs_pc2_seuil5</vt:lpstr>
      <vt:lpstr>bs_pc2_seuil6</vt:lpstr>
      <vt:lpstr>bs_pc2_seuil7</vt:lpstr>
      <vt:lpstr>bs_pc2_seuil8</vt:lpstr>
      <vt:lpstr>bs_pc3_seuil1</vt:lpstr>
      <vt:lpstr>bs_pc3_seuil2</vt:lpstr>
      <vt:lpstr>bs_pc3_seuil3</vt:lpstr>
      <vt:lpstr>bs_pc3_seuil4</vt:lpstr>
      <vt:lpstr>bs_pc3_seuil5</vt:lpstr>
      <vt:lpstr>bs_pc3_seuil6</vt:lpstr>
      <vt:lpstr>bs_pc3_seuil7</vt:lpstr>
      <vt:lpstr>bs_pc3_seuil8</vt:lpstr>
      <vt:lpstr>bs_pc4_seuil1</vt:lpstr>
      <vt:lpstr>bs_pc4_seuil2</vt:lpstr>
      <vt:lpstr>bs_pc4_seuil3</vt:lpstr>
      <vt:lpstr>bs_pc4_seuil4</vt:lpstr>
      <vt:lpstr>bs_pc4_seuil5</vt:lpstr>
      <vt:lpstr>bs_pc4_seuil6</vt:lpstr>
      <vt:lpstr>bs_pc4_seuil7</vt:lpstr>
      <vt:lpstr>bs_pc4_seuil8</vt:lpstr>
      <vt:lpstr>bs_pc5_seuil1</vt:lpstr>
      <vt:lpstr>bs_pc5_seuil2</vt:lpstr>
      <vt:lpstr>bs_pc5_seuil3</vt:lpstr>
      <vt:lpstr>bs_pc5_seuil4</vt:lpstr>
      <vt:lpstr>bs_pc5_seuil5</vt:lpstr>
      <vt:lpstr>bs_pc5_seuil6</vt:lpstr>
      <vt:lpstr>bs_pc5_seuil7</vt:lpstr>
      <vt:lpstr>bs_pc5_seuil8</vt:lpstr>
      <vt:lpstr>bs_pc6_seuil1</vt:lpstr>
      <vt:lpstr>bs_pc6_seuil2</vt:lpstr>
      <vt:lpstr>bs_pc6_seuil3</vt:lpstr>
      <vt:lpstr>bs_pc6_seuil4</vt:lpstr>
      <vt:lpstr>bs_pc6_seuil5</vt:lpstr>
      <vt:lpstr>bs_pc6_seuil6</vt:lpstr>
      <vt:lpstr>bs_pc6_seuil7</vt:lpstr>
      <vt:lpstr>bs_pc6_seuil8</vt:lpstr>
      <vt:lpstr>bs_pc7_seuil1</vt:lpstr>
      <vt:lpstr>bs_pc7_seuil2</vt:lpstr>
      <vt:lpstr>bs_pc7_seuil3</vt:lpstr>
      <vt:lpstr>bs_pc7_seuil4</vt:lpstr>
      <vt:lpstr>bs_pc7_seuil5</vt:lpstr>
      <vt:lpstr>bs_pc7_seuil6</vt:lpstr>
      <vt:lpstr>bs_pc7_seuil7</vt:lpstr>
      <vt:lpstr>bs_pc7_seuil8</vt:lpstr>
      <vt:lpstr>bs_pc8_seuil1</vt:lpstr>
      <vt:lpstr>bs_pc8_seuil2</vt:lpstr>
      <vt:lpstr>bs_pc8_seuil3</vt:lpstr>
      <vt:lpstr>bs_pc8_seuil4</vt:lpstr>
      <vt:lpstr>bs_pc8_seuil5</vt:lpstr>
      <vt:lpstr>bs_pc8_seuil6</vt:lpstr>
      <vt:lpstr>bs_pc8_seuil7</vt:lpstr>
      <vt:lpstr>bs_pc8_seuil8</vt:lpstr>
      <vt:lpstr>bs_pc9_seuil1</vt:lpstr>
      <vt:lpstr>bs_pc9_seuil2</vt:lpstr>
      <vt:lpstr>bs_pc9_seuil3</vt:lpstr>
      <vt:lpstr>bs_pc9_seuil4</vt:lpstr>
      <vt:lpstr>bs_pc9_seuil5</vt:lpstr>
      <vt:lpstr>bs_pc9_seuil6</vt:lpstr>
      <vt:lpstr>bs_pc9_seuil7</vt:lpstr>
      <vt:lpstr>bs_pc9_seuil8</vt:lpstr>
      <vt:lpstr>ceee_abat</vt:lpstr>
      <vt:lpstr>ceee_inter_coef</vt:lpstr>
      <vt:lpstr>ceee_inter_seuil1</vt:lpstr>
      <vt:lpstr>ceee_inter_seuil2</vt:lpstr>
      <vt:lpstr>ceee_taux_1enf</vt:lpstr>
      <vt:lpstr>ceee_taux_1enf_ga</vt:lpstr>
      <vt:lpstr>ceee_taux_2enf</vt:lpstr>
      <vt:lpstr>ceee_taux_2enf_ga</vt:lpstr>
      <vt:lpstr>ceee_taux_3enf</vt:lpstr>
      <vt:lpstr>ceee_taux_3enf_ga</vt:lpstr>
      <vt:lpstr>ceee_taux_4enf</vt:lpstr>
      <vt:lpstr>ceee_taux_4enf_ga</vt:lpstr>
      <vt:lpstr>ceee_taux_5enf</vt:lpstr>
      <vt:lpstr>ceee_taux_5enf_ga</vt:lpstr>
      <vt:lpstr>ceee_taux_6enf</vt:lpstr>
      <vt:lpstr>ceee_taux_6enf_ga</vt:lpstr>
      <vt:lpstr>ceeeb_reste_à_vivre</vt:lpstr>
      <vt:lpstr>ceeeb_taux_1enf</vt:lpstr>
      <vt:lpstr>ceeeb_taux_1enf_ga</vt:lpstr>
      <vt:lpstr>ceeeb_taux_2enf</vt:lpstr>
      <vt:lpstr>ceeeb_taux_2enf_ga</vt:lpstr>
      <vt:lpstr>ceeeb_taux_3enf</vt:lpstr>
      <vt:lpstr>ceeeb_taux_3enf_ga</vt:lpstr>
      <vt:lpstr>ceeeb_taux_4enf</vt:lpstr>
      <vt:lpstr>ceeeb_taux_4enf_ga</vt:lpstr>
      <vt:lpstr>ceeeb_taux_5enf</vt:lpstr>
      <vt:lpstr>ceeeb_taux_5enf_ga</vt:lpstr>
      <vt:lpstr>ceeeb_taux_6enf</vt:lpstr>
      <vt:lpstr>ceeeb_taux_6enf_ga</vt:lpstr>
      <vt:lpstr>cf_base</vt:lpstr>
      <vt:lpstr>cf_majoration</vt:lpstr>
      <vt:lpstr>cf_plaf1_couple_biact_ou_iso_3_enf</vt:lpstr>
      <vt:lpstr>cf_plaf1_couple_monoact_3_enf</vt:lpstr>
      <vt:lpstr>cf_plaf1_sup_enf</vt:lpstr>
      <vt:lpstr>cf_plaf2_couple_biact_ou_iso_3_enf</vt:lpstr>
      <vt:lpstr>cf_plaf2_couple_monoact_3_enf</vt:lpstr>
      <vt:lpstr>cf_plaf2_sup_enf</vt:lpstr>
      <vt:lpstr>cf_seuil_act</vt:lpstr>
      <vt:lpstr>clca_tp</vt:lpstr>
      <vt:lpstr>clca_tr_1</vt:lpstr>
      <vt:lpstr>clca_tr_2</vt:lpstr>
      <vt:lpstr>cmg_cotis_assmat</vt:lpstr>
      <vt:lpstr>cmg_cotis_gdom</vt:lpstr>
      <vt:lpstr>cmg_cout_net_assmat</vt:lpstr>
      <vt:lpstr>cmg_cout_net_gdom</vt:lpstr>
      <vt:lpstr>cmg_inter</vt:lpstr>
      <vt:lpstr>cmg_majo_iso</vt:lpstr>
      <vt:lpstr>cmg_majo_plaf_isolé</vt:lpstr>
      <vt:lpstr>cmg_max</vt:lpstr>
      <vt:lpstr>cmg_max_pccs_gdom</vt:lpstr>
      <vt:lpstr>cmg_min</vt:lpstr>
      <vt:lpstr>cmg_part_max_pcsn</vt:lpstr>
      <vt:lpstr>cmg_plaf_1_pct_plaf_inter</vt:lpstr>
      <vt:lpstr>cmg_plaf_inter_1_enf</vt:lpstr>
      <vt:lpstr>cmg_plaf_inter_2_enf</vt:lpstr>
      <vt:lpstr>cmg_plaf_inter_sup_enf</vt:lpstr>
      <vt:lpstr>Coef_impot</vt:lpstr>
      <vt:lpstr>Coef_n</vt:lpstr>
      <vt:lpstr>Coef_n_1</vt:lpstr>
      <vt:lpstr>Coef_n_2</vt:lpstr>
      <vt:lpstr>crds</vt:lpstr>
      <vt:lpstr>creche_coef_1_enf</vt:lpstr>
      <vt:lpstr>creche_coef_2_enf</vt:lpstr>
      <vt:lpstr>creche_coef_3_enf</vt:lpstr>
      <vt:lpstr>creche_coef_4_enf</vt:lpstr>
      <vt:lpstr>creche_plafond_ressources</vt:lpstr>
      <vt:lpstr>creche_plancher_ressource</vt:lpstr>
      <vt:lpstr>evol_ipc_n_1_n</vt:lpstr>
      <vt:lpstr>evol_ipc_n_2_n</vt:lpstr>
      <vt:lpstr>evol_smic</vt:lpstr>
      <vt:lpstr>évol_smic_21_12</vt:lpstr>
      <vt:lpstr>evol_smic_n_moins_1_n</vt:lpstr>
      <vt:lpstr>evol_smic_n_moins_2_n</vt:lpstr>
      <vt:lpstr>evol_smic_n_moins_2_n_moins_1</vt:lpstr>
      <vt:lpstr>gdom_cout_brut_total</vt:lpstr>
      <vt:lpstr>IPC2020_2020</vt:lpstr>
      <vt:lpstr>irpp_cout_net_assmat</vt:lpstr>
      <vt:lpstr>irpp_max_avqf_couple</vt:lpstr>
      <vt:lpstr>irpp_max_avqf_iso</vt:lpstr>
      <vt:lpstr>irpp_max_fg_assmat</vt:lpstr>
      <vt:lpstr>irpp_max_fg_gdom</vt:lpstr>
      <vt:lpstr>irpp_max_reduc_fp</vt:lpstr>
      <vt:lpstr>irpp_max_reduc_pens</vt:lpstr>
      <vt:lpstr>irpp_min_reduc_fp</vt:lpstr>
      <vt:lpstr>irpp_min_reduc_pens</vt:lpstr>
      <vt:lpstr>irpp_part_fg_assmat</vt:lpstr>
      <vt:lpstr>irpp_part_fg_gdom</vt:lpstr>
      <vt:lpstr>irpp_plaf_decote</vt:lpstr>
      <vt:lpstr>irpp_plaf_decote_couple</vt:lpstr>
      <vt:lpstr>irpp_reduc_coll</vt:lpstr>
      <vt:lpstr>irpp_reduc_es</vt:lpstr>
      <vt:lpstr>irpp_reduc_lyc</vt:lpstr>
      <vt:lpstr>irpp_reduc1</vt:lpstr>
      <vt:lpstr>irpp_reduc2</vt:lpstr>
      <vt:lpstr>irpp_reduc3</vt:lpstr>
      <vt:lpstr>irpp_reduc4</vt:lpstr>
      <vt:lpstr>irpp_seuil1</vt:lpstr>
      <vt:lpstr>irpp_seuil1_cont_excep</vt:lpstr>
      <vt:lpstr>irpp_seuil1_fg_gdom</vt:lpstr>
      <vt:lpstr>irpp_seuil2</vt:lpstr>
      <vt:lpstr>irpp_seuil2_cont_excep</vt:lpstr>
      <vt:lpstr>irpp_seuil3</vt:lpstr>
      <vt:lpstr>irpp_seuil4</vt:lpstr>
      <vt:lpstr>irpp_supp_enf_seuil_fg_gdom</vt:lpstr>
      <vt:lpstr>irpp_taux_decote</vt:lpstr>
      <vt:lpstr>irpp_taux_reduc_fp</vt:lpstr>
      <vt:lpstr>irpp_taux_reduc_pens</vt:lpstr>
      <vt:lpstr>irpp_taux1</vt:lpstr>
      <vt:lpstr>irpp_taux1_cont_excep</vt:lpstr>
      <vt:lpstr>irpp_taux2</vt:lpstr>
      <vt:lpstr>irpp_taux2_cont_excep</vt:lpstr>
      <vt:lpstr>irpp_taux3</vt:lpstr>
      <vt:lpstr>irpp_taux4</vt:lpstr>
      <vt:lpstr>pa_coeff_calcul_bonus</vt:lpstr>
      <vt:lpstr>pa_fl1</vt:lpstr>
      <vt:lpstr>pa_fl2</vt:lpstr>
      <vt:lpstr>pa_fl3</vt:lpstr>
      <vt:lpstr>pa_forf_c0</vt:lpstr>
      <vt:lpstr>pa_forf_c1</vt:lpstr>
      <vt:lpstr>pa_forf_c2</vt:lpstr>
      <vt:lpstr>pa_forf_I0</vt:lpstr>
      <vt:lpstr>pa_forf_I1</vt:lpstr>
      <vt:lpstr>pa_forf_I2</vt:lpstr>
      <vt:lpstr>pa_forfm_I0</vt:lpstr>
      <vt:lpstr>pa_forfm_I1</vt:lpstr>
      <vt:lpstr>pa_forfm_I2</vt:lpstr>
      <vt:lpstr>pa_forfm_supenf</vt:lpstr>
      <vt:lpstr>pa_max_BPA</vt:lpstr>
      <vt:lpstr>pa_seuil_versement</vt:lpstr>
      <vt:lpstr>pa_seuil1_BPA</vt:lpstr>
      <vt:lpstr>pa_seuil2_BPA</vt:lpstr>
      <vt:lpstr>pa_sup_enf</vt:lpstr>
      <vt:lpstr>pa_taux_rev_act</vt:lpstr>
      <vt:lpstr>pl_ss_n</vt:lpstr>
      <vt:lpstr>pl_ss_n_1</vt:lpstr>
      <vt:lpstr>pl_ss_n_2</vt:lpstr>
      <vt:lpstr>rsa_C0</vt:lpstr>
      <vt:lpstr>rsa_C1</vt:lpstr>
      <vt:lpstr>rsa_C2</vt:lpstr>
      <vt:lpstr>rsa_fl_1</vt:lpstr>
      <vt:lpstr>rsa_fl_2</vt:lpstr>
      <vt:lpstr>rsa_fl_3</vt:lpstr>
      <vt:lpstr>rsa_I0</vt:lpstr>
      <vt:lpstr>rsa_I1</vt:lpstr>
      <vt:lpstr>rsa_I2</vt:lpstr>
      <vt:lpstr>rsa_seuil_versement</vt:lpstr>
      <vt:lpstr>rsa_sup_enf</vt:lpstr>
      <vt:lpstr>rsam_I0</vt:lpstr>
      <vt:lpstr>rsam_I1</vt:lpstr>
      <vt:lpstr>rsam_I2</vt:lpstr>
      <vt:lpstr>rsam_sup_enf</vt:lpstr>
      <vt:lpstr>seuilpm</vt:lpstr>
      <vt:lpstr>smic</vt:lpstr>
      <vt:lpstr>smic_2012</vt:lpstr>
      <vt:lpstr>smic_aout</vt:lpstr>
      <vt:lpstr>smic_h</vt:lpstr>
      <vt:lpstr>smicb_h</vt:lpstr>
      <vt:lpstr>taux_CRDS</vt:lpstr>
      <vt:lpstr>taux_pat</vt:lpstr>
      <vt:lpstr>taux_sal</vt:lpstr>
      <vt:lpstr>tx_cotsal</vt:lpstr>
      <vt:lpstr>tx_cotsal2</vt:lpstr>
      <vt:lpstr>tx_csgded</vt:lpstr>
      <vt:lpstr>tx_csgimp</vt:lpstr>
      <vt:lpstr>uc_ado</vt:lpstr>
      <vt:lpstr>uc_ado_iso</vt:lpstr>
      <vt:lpstr>uc_ado_iso50</vt:lpstr>
      <vt:lpstr>uc_ado_pg</vt:lpstr>
      <vt:lpstr>uc_ado_png</vt:lpstr>
      <vt:lpstr>uc_enf</vt:lpstr>
      <vt:lpstr>uc_enf_iso</vt:lpstr>
      <vt:lpstr>uc_enf_iso50</vt:lpstr>
      <vt:lpstr>uc_enf_pg</vt:lpstr>
      <vt:lpstr>uc_enf_png</vt:lpstr>
    </vt:vector>
  </TitlesOfParts>
  <Company>cnaf-ep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cmpuccnf</dc:creator>
  <cp:lastModifiedBy>Muriel Pucci Porte</cp:lastModifiedBy>
  <cp:lastPrinted>2020-10-15T20:31:52Z</cp:lastPrinted>
  <dcterms:created xsi:type="dcterms:W3CDTF">2011-05-10T07:58:17Z</dcterms:created>
  <dcterms:modified xsi:type="dcterms:W3CDTF">2025-03-03T15:55:21Z</dcterms:modified>
</cp:coreProperties>
</file>